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868f7d9184b1ca7/Desktop/"/>
    </mc:Choice>
  </mc:AlternateContent>
  <xr:revisionPtr revIDLastSave="1767" documentId="11_F25DC773A252ABDACC1048E3A99B771E5BDE58EF" xr6:coauthVersionLast="47" xr6:coauthVersionMax="47" xr10:uidLastSave="{AB47F18D-4C46-4D25-9A3E-F23E9AF60099}"/>
  <bookViews>
    <workbookView xWindow="-108" yWindow="-108" windowWidth="23256" windowHeight="12456" tabRatio="879" firstSheet="7" activeTab="12" xr2:uid="{00000000-000D-0000-FFFF-FFFF00000000}"/>
  </bookViews>
  <sheets>
    <sheet name="Sales_Data" sheetId="1" r:id="rId1"/>
    <sheet name="Product_master" sheetId="6" r:id="rId2"/>
    <sheet name="Customer_master" sheetId="7" r:id="rId3"/>
    <sheet name="Q1" sheetId="2" r:id="rId4"/>
    <sheet name="Q2" sheetId="3" r:id="rId5"/>
    <sheet name="Q3" sheetId="4" r:id="rId6"/>
    <sheet name="Product Lookup Report (Q4)" sheetId="5" r:id="rId7"/>
    <sheet name="Sales Summary Report (Q5)" sheetId="8" r:id="rId8"/>
    <sheet name="Sales Statistics Report(Q6)" sheetId="9" r:id="rId9"/>
    <sheet name="Product Performance (Q7)" sheetId="10" r:id="rId10"/>
    <sheet name="Financial Analysis Report (Q8)" sheetId="12" r:id="rId11"/>
    <sheet name="Cleaned_Data (Q9)" sheetId="13" r:id="rId12"/>
    <sheet name="Sales Dashboard (Q10)" sheetId="15" r:id="rId13"/>
    <sheet name="Priliminary analysis (rough)" sheetId="19" r:id="rId14"/>
  </sheets>
  <definedNames>
    <definedName name="_xlnm._FilterDatabase" localSheetId="10" hidden="1">'Financial Analysis Report (Q8)'!$B$2:$B$2</definedName>
    <definedName name="NativeTimeline_Order_Date">#N/A</definedName>
    <definedName name="Slicer_Category">#N/A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8" l="1"/>
  <c r="Y3" i="4" a="1"/>
  <c r="Y3" i="4" s="1"/>
  <c r="Y2" i="4" a="1"/>
  <c r="Y2" i="4"/>
  <c r="Y4" i="4" a="1"/>
  <c r="Y4" i="4"/>
  <c r="Y5" i="4" a="1"/>
  <c r="Y5" i="4" s="1"/>
  <c r="Y6" i="4" a="1"/>
  <c r="Y6" i="4"/>
  <c r="Y7" i="4" a="1"/>
  <c r="Y7" i="4" s="1"/>
  <c r="Y8" i="4" a="1"/>
  <c r="Y8" i="4"/>
  <c r="Y9" i="4" a="1"/>
  <c r="Y9" i="4" s="1"/>
  <c r="Y10" i="4" a="1"/>
  <c r="Y10" i="4"/>
  <c r="Y11" i="4" a="1"/>
  <c r="Y11" i="4" s="1"/>
  <c r="Y12" i="4" a="1"/>
  <c r="Y12" i="4"/>
  <c r="Y13" i="4" a="1"/>
  <c r="Y13" i="4" s="1"/>
  <c r="Y14" i="4" a="1"/>
  <c r="Y14" i="4"/>
  <c r="Y15" i="4" a="1"/>
  <c r="Y15" i="4" s="1"/>
  <c r="Y16" i="4" a="1"/>
  <c r="Y16" i="4"/>
  <c r="Y17" i="4" a="1"/>
  <c r="Y17" i="4" s="1"/>
  <c r="Y18" i="4" a="1"/>
  <c r="Y18" i="4"/>
  <c r="Y19" i="4" a="1"/>
  <c r="Y19" i="4" s="1"/>
  <c r="Y20" i="4" a="1"/>
  <c r="Y20" i="4"/>
  <c r="Y21" i="4" a="1"/>
  <c r="Y21" i="4" s="1"/>
  <c r="Y22" i="4" a="1"/>
  <c r="Y22" i="4" s="1"/>
  <c r="Y23" i="4" a="1"/>
  <c r="Y23" i="4" s="1"/>
  <c r="Y24" i="4" a="1"/>
  <c r="Y24" i="4" s="1"/>
  <c r="Y25" i="4" a="1"/>
  <c r="Y25" i="4" s="1"/>
  <c r="Y26" i="4" a="1"/>
  <c r="Y26" i="4"/>
  <c r="Y27" i="4" a="1"/>
  <c r="Y27" i="4" s="1"/>
  <c r="Y28" i="4" a="1"/>
  <c r="Y28" i="4"/>
  <c r="Y29" i="4" a="1"/>
  <c r="Y29" i="4" s="1"/>
  <c r="Y30" i="4" a="1"/>
  <c r="Y30" i="4" s="1"/>
  <c r="Y31" i="4" a="1"/>
  <c r="Y31" i="4" s="1"/>
  <c r="Y32" i="4" a="1"/>
  <c r="Y32" i="4" s="1"/>
  <c r="Y33" i="4" a="1"/>
  <c r="Y33" i="4" s="1"/>
  <c r="Y34" i="4" a="1"/>
  <c r="Y34" i="4"/>
  <c r="Y35" i="4" a="1"/>
  <c r="Y35" i="4" s="1"/>
  <c r="Y36" i="4" a="1"/>
  <c r="Y36" i="4"/>
  <c r="Y37" i="4" a="1"/>
  <c r="Y37" i="4" s="1"/>
  <c r="Y38" i="4" a="1"/>
  <c r="Y38" i="4" s="1"/>
  <c r="Y39" i="4" a="1"/>
  <c r="Y39" i="4" s="1"/>
  <c r="Y40" i="4" a="1"/>
  <c r="Y40" i="4" s="1"/>
  <c r="Y41" i="4" a="1"/>
  <c r="Y41" i="4" s="1"/>
  <c r="Y42" i="4" a="1"/>
  <c r="Y42" i="4"/>
  <c r="Y43" i="4" a="1"/>
  <c r="Y43" i="4" s="1"/>
  <c r="Y44" i="4" a="1"/>
  <c r="Y44" i="4"/>
  <c r="Y45" i="4" a="1"/>
  <c r="Y45" i="4" s="1"/>
  <c r="Y46" i="4" a="1"/>
  <c r="Y46" i="4" s="1"/>
  <c r="Y47" i="4" a="1"/>
  <c r="Y47" i="4" s="1"/>
  <c r="Y48" i="4" a="1"/>
  <c r="Y48" i="4" s="1"/>
  <c r="Y49" i="4" a="1"/>
  <c r="Y49" i="4" s="1"/>
  <c r="Y50" i="4" a="1"/>
  <c r="Y50" i="4"/>
  <c r="Y51" i="4" a="1"/>
  <c r="Y51" i="4" s="1"/>
  <c r="Y52" i="4" a="1"/>
  <c r="Y52" i="4"/>
  <c r="Y53" i="4" a="1"/>
  <c r="Y53" i="4" s="1"/>
  <c r="Y54" i="4" a="1"/>
  <c r="Y54" i="4" s="1"/>
  <c r="Y55" i="4" a="1"/>
  <c r="Y55" i="4" s="1"/>
  <c r="Y56" i="4" a="1"/>
  <c r="Y56" i="4" s="1"/>
  <c r="Y57" i="4" a="1"/>
  <c r="Y57" i="4" s="1"/>
  <c r="Y58" i="4" a="1"/>
  <c r="Y58" i="4"/>
  <c r="Y59" i="4" a="1"/>
  <c r="Y59" i="4" s="1"/>
  <c r="Y60" i="4" a="1"/>
  <c r="Y60" i="4"/>
  <c r="Y61" i="4" a="1"/>
  <c r="Y61" i="4" s="1"/>
  <c r="Y62" i="4" a="1"/>
  <c r="Y62" i="4" s="1"/>
  <c r="Y63" i="4" a="1"/>
  <c r="Y63" i="4" s="1"/>
  <c r="Y64" i="4" a="1"/>
  <c r="Y64" i="4" s="1"/>
  <c r="Y65" i="4" a="1"/>
  <c r="Y65" i="4" s="1"/>
  <c r="Y66" i="4" a="1"/>
  <c r="Y66" i="4"/>
  <c r="Y67" i="4" a="1"/>
  <c r="Y67" i="4" s="1"/>
  <c r="Y68" i="4" a="1"/>
  <c r="Y68" i="4"/>
  <c r="Y69" i="4" a="1"/>
  <c r="Y69" i="4" s="1"/>
  <c r="Y70" i="4" a="1"/>
  <c r="Y70" i="4" s="1"/>
  <c r="Y71" i="4" a="1"/>
  <c r="Y71" i="4" s="1"/>
  <c r="Y72" i="4" a="1"/>
  <c r="Y72" i="4" s="1"/>
  <c r="Y73" i="4" a="1"/>
  <c r="Y73" i="4" s="1"/>
  <c r="Y74" i="4" a="1"/>
  <c r="Y74" i="4"/>
  <c r="Y75" i="4" a="1"/>
  <c r="Y75" i="4" s="1"/>
  <c r="Y76" i="4" a="1"/>
  <c r="Y76" i="4"/>
  <c r="Y77" i="4" a="1"/>
  <c r="Y77" i="4" s="1"/>
  <c r="Y78" i="4" a="1"/>
  <c r="Y78" i="4" s="1"/>
  <c r="Y79" i="4" a="1"/>
  <c r="Y79" i="4" s="1"/>
  <c r="Y80" i="4" a="1"/>
  <c r="Y80" i="4" s="1"/>
  <c r="Y81" i="4" a="1"/>
  <c r="Y81" i="4" s="1"/>
  <c r="Y82" i="4" a="1"/>
  <c r="Y82" i="4"/>
  <c r="Y83" i="4" a="1"/>
  <c r="Y83" i="4" s="1"/>
  <c r="Y84" i="4" a="1"/>
  <c r="Y84" i="4"/>
  <c r="Y85" i="4" a="1"/>
  <c r="Y85" i="4" s="1"/>
  <c r="Y86" i="4" a="1"/>
  <c r="Y86" i="4" s="1"/>
  <c r="Y87" i="4" a="1"/>
  <c r="Y87" i="4" s="1"/>
  <c r="Y88" i="4" a="1"/>
  <c r="Y88" i="4" s="1"/>
  <c r="Y89" i="4" a="1"/>
  <c r="Y89" i="4" s="1"/>
  <c r="Y90" i="4" a="1"/>
  <c r="Y90" i="4"/>
  <c r="Y91" i="4" a="1"/>
  <c r="Y91" i="4" s="1"/>
  <c r="Y92" i="4" a="1"/>
  <c r="Y92" i="4"/>
  <c r="Y93" i="4" a="1"/>
  <c r="Y93" i="4" s="1"/>
  <c r="Y94" i="4" a="1"/>
  <c r="Y94" i="4" s="1"/>
  <c r="Y95" i="4" a="1"/>
  <c r="Y95" i="4" s="1"/>
  <c r="Y96" i="4" a="1"/>
  <c r="Y96" i="4" s="1"/>
  <c r="Y97" i="4" a="1"/>
  <c r="Y97" i="4" s="1"/>
  <c r="Y98" i="4" a="1"/>
  <c r="Y98" i="4"/>
  <c r="Y99" i="4" a="1"/>
  <c r="Y99" i="4" s="1"/>
  <c r="Y100" i="4" a="1"/>
  <c r="Y100" i="4"/>
  <c r="Y101" i="4" a="1"/>
  <c r="Y101" i="4" s="1"/>
  <c r="Y102" i="4" a="1"/>
  <c r="Y102" i="4" s="1"/>
  <c r="Y103" i="4" a="1"/>
  <c r="Y103" i="4" s="1"/>
  <c r="Y104" i="4" a="1"/>
  <c r="Y104" i="4" s="1"/>
  <c r="Y105" i="4" a="1"/>
  <c r="Y105" i="4" s="1"/>
  <c r="Y106" i="4" a="1"/>
  <c r="Y106" i="4"/>
  <c r="Y107" i="4" a="1"/>
  <c r="Y107" i="4" s="1"/>
  <c r="Y108" i="4" a="1"/>
  <c r="Y108" i="4"/>
  <c r="Y109" i="4" a="1"/>
  <c r="Y109" i="4" s="1"/>
  <c r="Y110" i="4" a="1"/>
  <c r="Y110" i="4" s="1"/>
  <c r="Y111" i="4" a="1"/>
  <c r="Y111" i="4" s="1"/>
  <c r="Y112" i="4" a="1"/>
  <c r="Y112" i="4" s="1"/>
  <c r="Y113" i="4" a="1"/>
  <c r="Y113" i="4" s="1"/>
  <c r="Y114" i="4" a="1"/>
  <c r="Y114" i="4"/>
  <c r="Y115" i="4" a="1"/>
  <c r="Y115" i="4" s="1"/>
  <c r="Y116" i="4" a="1"/>
  <c r="Y116" i="4"/>
  <c r="Y117" i="4" a="1"/>
  <c r="Y117" i="4" s="1"/>
  <c r="Y118" i="4" a="1"/>
  <c r="Y118" i="4" s="1"/>
  <c r="Y119" i="4" a="1"/>
  <c r="Y119" i="4" s="1"/>
  <c r="Y120" i="4" a="1"/>
  <c r="Y120" i="4" s="1"/>
  <c r="Y121" i="4" a="1"/>
  <c r="Y121" i="4" s="1"/>
  <c r="Y122" i="4" a="1"/>
  <c r="Y122" i="4"/>
  <c r="Y123" i="4" a="1"/>
  <c r="Y123" i="4" s="1"/>
  <c r="Y124" i="4" a="1"/>
  <c r="Y124" i="4"/>
  <c r="Y125" i="4" a="1"/>
  <c r="Y125" i="4" s="1"/>
  <c r="Y126" i="4" a="1"/>
  <c r="Y126" i="4" s="1"/>
  <c r="Y127" i="4" a="1"/>
  <c r="Y127" i="4" s="1"/>
  <c r="Y128" i="4" a="1"/>
  <c r="Y128" i="4" s="1"/>
  <c r="Y129" i="4" a="1"/>
  <c r="Y129" i="4" s="1"/>
  <c r="Y130" i="4" a="1"/>
  <c r="Y130" i="4"/>
  <c r="Y131" i="4" a="1"/>
  <c r="Y131" i="4" s="1"/>
  <c r="Y132" i="4" a="1"/>
  <c r="Y132" i="4"/>
  <c r="Y133" i="4" a="1"/>
  <c r="Y133" i="4" s="1"/>
  <c r="Y134" i="4" a="1"/>
  <c r="Y134" i="4" s="1"/>
  <c r="Y135" i="4" a="1"/>
  <c r="Y135" i="4" s="1"/>
  <c r="Y136" i="4" a="1"/>
  <c r="Y136" i="4" s="1"/>
  <c r="Y137" i="4" a="1"/>
  <c r="Y137" i="4" s="1"/>
  <c r="Y138" i="4" a="1"/>
  <c r="Y138" i="4"/>
  <c r="Y139" i="4" a="1"/>
  <c r="Y139" i="4" s="1"/>
  <c r="Y140" i="4" a="1"/>
  <c r="Y140" i="4"/>
  <c r="Y141" i="4" a="1"/>
  <c r="Y141" i="4" s="1"/>
  <c r="Y142" i="4" a="1"/>
  <c r="Y142" i="4" s="1"/>
  <c r="Y143" i="4" a="1"/>
  <c r="Y143" i="4" s="1"/>
  <c r="Y144" i="4" a="1"/>
  <c r="Y144" i="4" s="1"/>
  <c r="Y145" i="4" a="1"/>
  <c r="Y145" i="4" s="1"/>
  <c r="Y146" i="4" a="1"/>
  <c r="Y146" i="4"/>
  <c r="Y147" i="4" a="1"/>
  <c r="Y147" i="4" s="1"/>
  <c r="Y148" i="4" a="1"/>
  <c r="Y148" i="4"/>
  <c r="Y149" i="4" a="1"/>
  <c r="Y149" i="4" s="1"/>
  <c r="Y150" i="4" a="1"/>
  <c r="Y150" i="4" s="1"/>
  <c r="Y151" i="4" a="1"/>
  <c r="Y151" i="4" s="1"/>
  <c r="Y152" i="4" a="1"/>
  <c r="Y152" i="4" s="1"/>
  <c r="Y153" i="4" a="1"/>
  <c r="Y153" i="4" s="1"/>
  <c r="Y154" i="4" a="1"/>
  <c r="Y154" i="4"/>
  <c r="Y155" i="4" a="1"/>
  <c r="Y155" i="4" s="1"/>
  <c r="Y156" i="4" a="1"/>
  <c r="Y156" i="4"/>
  <c r="Y157" i="4" a="1"/>
  <c r="Y157" i="4" s="1"/>
  <c r="Y158" i="4" a="1"/>
  <c r="Y158" i="4" s="1"/>
  <c r="Y159" i="4" a="1"/>
  <c r="Y159" i="4" s="1"/>
  <c r="Y160" i="4" a="1"/>
  <c r="Y160" i="4" s="1"/>
  <c r="Y161" i="4" a="1"/>
  <c r="Y161" i="4" s="1"/>
  <c r="Y162" i="4" a="1"/>
  <c r="Y162" i="4"/>
  <c r="Y163" i="4" a="1"/>
  <c r="Y163" i="4" s="1"/>
  <c r="Y164" i="4" a="1"/>
  <c r="Y164" i="4"/>
  <c r="Y165" i="4" a="1"/>
  <c r="Y165" i="4" s="1"/>
  <c r="Y166" i="4" a="1"/>
  <c r="Y166" i="4" s="1"/>
  <c r="Y167" i="4" a="1"/>
  <c r="Y167" i="4" s="1"/>
  <c r="Y168" i="4" a="1"/>
  <c r="Y168" i="4" s="1"/>
  <c r="Y169" i="4" a="1"/>
  <c r="Y169" i="4" s="1"/>
  <c r="Y170" i="4" a="1"/>
  <c r="Y170" i="4"/>
  <c r="Y171" i="4" a="1"/>
  <c r="Y171" i="4" s="1"/>
  <c r="Y172" i="4" a="1"/>
  <c r="Y172" i="4"/>
  <c r="Y173" i="4" a="1"/>
  <c r="Y173" i="4" s="1"/>
  <c r="Y174" i="4" a="1"/>
  <c r="Y174" i="4"/>
  <c r="Y175" i="4" a="1"/>
  <c r="Y175" i="4" s="1"/>
  <c r="Y176" i="4" a="1"/>
  <c r="Y176" i="4" s="1"/>
  <c r="Y177" i="4" a="1"/>
  <c r="Y177" i="4" s="1"/>
  <c r="Y178" i="4" a="1"/>
  <c r="Y178" i="4" s="1"/>
  <c r="Y179" i="4" a="1"/>
  <c r="Y179" i="4" s="1"/>
  <c r="Y180" i="4" a="1"/>
  <c r="Y180" i="4" s="1"/>
  <c r="Y181" i="4" a="1"/>
  <c r="Y181" i="4" s="1"/>
  <c r="Y182" i="4" a="1"/>
  <c r="Y182" i="4" s="1"/>
  <c r="Y183" i="4" a="1"/>
  <c r="Y183" i="4" s="1"/>
  <c r="Y184" i="4" a="1"/>
  <c r="Y184" i="4" s="1"/>
  <c r="Y185" i="4" a="1"/>
  <c r="Y185" i="4" s="1"/>
  <c r="Y186" i="4" a="1"/>
  <c r="Y186" i="4" s="1"/>
  <c r="Y187" i="4" a="1"/>
  <c r="Y187" i="4" s="1"/>
  <c r="Y188" i="4" a="1"/>
  <c r="Y188" i="4" s="1"/>
  <c r="Y189" i="4" a="1"/>
  <c r="Y189" i="4" s="1"/>
  <c r="Y190" i="4" a="1"/>
  <c r="Y190" i="4" s="1"/>
  <c r="Y191" i="4" a="1"/>
  <c r="Y191" i="4" s="1"/>
  <c r="Y192" i="4" a="1"/>
  <c r="Y192" i="4" s="1"/>
  <c r="Y193" i="4" a="1"/>
  <c r="Y193" i="4" s="1"/>
  <c r="Y194" i="4" a="1"/>
  <c r="Y194" i="4" s="1"/>
  <c r="Y195" i="4" a="1"/>
  <c r="Y195" i="4" s="1"/>
  <c r="Y196" i="4" a="1"/>
  <c r="Y196" i="4" s="1"/>
  <c r="Y197" i="4" a="1"/>
  <c r="Y197" i="4" s="1"/>
  <c r="Y198" i="4" a="1"/>
  <c r="Y198" i="4" s="1"/>
  <c r="Y199" i="4" a="1"/>
  <c r="Y199" i="4" s="1"/>
  <c r="Y200" i="4" a="1"/>
  <c r="Y200" i="4" s="1"/>
  <c r="Y201" i="4" a="1"/>
  <c r="Y201" i="4" s="1"/>
  <c r="Y202" i="4" a="1"/>
  <c r="Y202" i="4" s="1"/>
  <c r="Y203" i="4" a="1"/>
  <c r="Y203" i="4" s="1"/>
  <c r="Y204" i="4" a="1"/>
  <c r="Y204" i="4" s="1"/>
  <c r="Y205" i="4" a="1"/>
  <c r="Y205" i="4" s="1"/>
  <c r="Y206" i="4" a="1"/>
  <c r="Y206" i="4" s="1"/>
  <c r="Y207" i="4" a="1"/>
  <c r="Y207" i="4" s="1"/>
  <c r="Y208" i="4" a="1"/>
  <c r="Y208" i="4" s="1"/>
  <c r="Y209" i="4" a="1"/>
  <c r="Y209" i="4" s="1"/>
  <c r="Y210" i="4" a="1"/>
  <c r="Y210" i="4" s="1"/>
  <c r="Y211" i="4" a="1"/>
  <c r="Y211" i="4" s="1"/>
  <c r="Y212" i="4" a="1"/>
  <c r="Y212" i="4" s="1"/>
  <c r="Y213" i="4" a="1"/>
  <c r="Y213" i="4" s="1"/>
  <c r="Y214" i="4" a="1"/>
  <c r="Y214" i="4" s="1"/>
  <c r="Y215" i="4" a="1"/>
  <c r="Y215" i="4" s="1"/>
  <c r="Y216" i="4" a="1"/>
  <c r="Y216" i="4" s="1"/>
  <c r="Y217" i="4" a="1"/>
  <c r="Y217" i="4" s="1"/>
  <c r="Y218" i="4" a="1"/>
  <c r="Y218" i="4" s="1"/>
  <c r="Y219" i="4" a="1"/>
  <c r="Y219" i="4" s="1"/>
  <c r="Y220" i="4" a="1"/>
  <c r="Y220" i="4" s="1"/>
  <c r="Y221" i="4" a="1"/>
  <c r="Y221" i="4" s="1"/>
  <c r="Y222" i="4" a="1"/>
  <c r="Y222" i="4" s="1"/>
  <c r="Y223" i="4" a="1"/>
  <c r="Y223" i="4" s="1"/>
  <c r="Y224" i="4" a="1"/>
  <c r="Y224" i="4" s="1"/>
  <c r="Y225" i="4" a="1"/>
  <c r="Y225" i="4" s="1"/>
  <c r="Y226" i="4" a="1"/>
  <c r="Y226" i="4" s="1"/>
  <c r="Y227" i="4" a="1"/>
  <c r="Y227" i="4" s="1"/>
  <c r="Y228" i="4" a="1"/>
  <c r="Y228" i="4" s="1"/>
  <c r="Y229" i="4" a="1"/>
  <c r="Y229" i="4" s="1"/>
  <c r="Y230" i="4" a="1"/>
  <c r="Y230" i="4" s="1"/>
  <c r="Y231" i="4" a="1"/>
  <c r="Y231" i="4" s="1"/>
  <c r="Y232" i="4" a="1"/>
  <c r="Y232" i="4" s="1"/>
  <c r="Y233" i="4" a="1"/>
  <c r="Y233" i="4" s="1"/>
  <c r="Y234" i="4" a="1"/>
  <c r="Y234" i="4" s="1"/>
  <c r="Y235" i="4" a="1"/>
  <c r="Y235" i="4" s="1"/>
  <c r="Y236" i="4" a="1"/>
  <c r="Y236" i="4" s="1"/>
  <c r="Y237" i="4" a="1"/>
  <c r="Y237" i="4" s="1"/>
  <c r="Y238" i="4" a="1"/>
  <c r="Y238" i="4" s="1"/>
  <c r="Y239" i="4" a="1"/>
  <c r="Y239" i="4" s="1"/>
  <c r="Y240" i="4" a="1"/>
  <c r="Y240" i="4" s="1"/>
  <c r="Y241" i="4" a="1"/>
  <c r="Y241" i="4" s="1"/>
  <c r="Y242" i="4" a="1"/>
  <c r="Y242" i="4" s="1"/>
  <c r="Y243" i="4" a="1"/>
  <c r="Y243" i="4" s="1"/>
  <c r="Y244" i="4" a="1"/>
  <c r="Y244" i="4" s="1"/>
  <c r="Y245" i="4" a="1"/>
  <c r="Y245" i="4" s="1"/>
  <c r="Y246" i="4" a="1"/>
  <c r="Y246" i="4" s="1"/>
  <c r="Y247" i="4" a="1"/>
  <c r="Y247" i="4" s="1"/>
  <c r="Y248" i="4" a="1"/>
  <c r="Y248" i="4" s="1"/>
  <c r="Y249" i="4" a="1"/>
  <c r="Y249" i="4" s="1"/>
  <c r="Y250" i="4" a="1"/>
  <c r="Y250" i="4" s="1"/>
  <c r="Y251" i="4" a="1"/>
  <c r="Y251" i="4" s="1"/>
  <c r="Y252" i="4" a="1"/>
  <c r="Y252" i="4" s="1"/>
  <c r="Y253" i="4" a="1"/>
  <c r="Y253" i="4" s="1"/>
  <c r="Y254" i="4" a="1"/>
  <c r="Y254" i="4" s="1"/>
  <c r="Y255" i="4" a="1"/>
  <c r="Y255" i="4" s="1"/>
  <c r="Y256" i="4" a="1"/>
  <c r="Y256" i="4" s="1"/>
  <c r="Y257" i="4" a="1"/>
  <c r="Y257" i="4" s="1"/>
  <c r="Y258" i="4" a="1"/>
  <c r="Y258" i="4" s="1"/>
  <c r="Y259" i="4" a="1"/>
  <c r="Y259" i="4" s="1"/>
  <c r="Y260" i="4" a="1"/>
  <c r="Y260" i="4" s="1"/>
  <c r="Y261" i="4" a="1"/>
  <c r="Y261" i="4" s="1"/>
  <c r="Y262" i="4" a="1"/>
  <c r="Y262" i="4" s="1"/>
  <c r="Y263" i="4" a="1"/>
  <c r="Y263" i="4" s="1"/>
  <c r="Y264" i="4" a="1"/>
  <c r="Y264" i="4" s="1"/>
  <c r="Y265" i="4" a="1"/>
  <c r="Y265" i="4" s="1"/>
  <c r="Y266" i="4" a="1"/>
  <c r="Y266" i="4" s="1"/>
  <c r="Y267" i="4" a="1"/>
  <c r="Y267" i="4" s="1"/>
  <c r="Y268" i="4" a="1"/>
  <c r="Y268" i="4" s="1"/>
  <c r="Y269" i="4" a="1"/>
  <c r="Y269" i="4" s="1"/>
  <c r="Y270" i="4" a="1"/>
  <c r="Y270" i="4" s="1"/>
  <c r="Y271" i="4" a="1"/>
  <c r="Y271" i="4" s="1"/>
  <c r="Y272" i="4" a="1"/>
  <c r="Y272" i="4"/>
  <c r="Y273" i="4" a="1"/>
  <c r="Y273" i="4" s="1"/>
  <c r="Y274" i="4" a="1"/>
  <c r="Y274" i="4"/>
  <c r="Y275" i="4" a="1"/>
  <c r="Y275" i="4" s="1"/>
  <c r="Y276" i="4" a="1"/>
  <c r="Y276" i="4" s="1"/>
  <c r="Y277" i="4" a="1"/>
  <c r="Y277" i="4" s="1"/>
  <c r="Y278" i="4" a="1"/>
  <c r="Y278" i="4" s="1"/>
  <c r="Y279" i="4" a="1"/>
  <c r="Y279" i="4" s="1"/>
  <c r="Y280" i="4" a="1"/>
  <c r="Y280" i="4"/>
  <c r="Y281" i="4" a="1"/>
  <c r="Y281" i="4" s="1"/>
  <c r="Y282" i="4" a="1"/>
  <c r="Y282" i="4"/>
  <c r="Y283" i="4" a="1"/>
  <c r="Y283" i="4" s="1"/>
  <c r="Y284" i="4" a="1"/>
  <c r="Y284" i="4" s="1"/>
  <c r="Y285" i="4" a="1"/>
  <c r="Y285" i="4" s="1"/>
  <c r="Y286" i="4" a="1"/>
  <c r="Y286" i="4" s="1"/>
  <c r="Y287" i="4" a="1"/>
  <c r="Y287" i="4" s="1"/>
  <c r="Y288" i="4" a="1"/>
  <c r="Y288" i="4"/>
  <c r="Y289" i="4" a="1"/>
  <c r="Y289" i="4" s="1"/>
  <c r="Y290" i="4" a="1"/>
  <c r="Y290" i="4"/>
  <c r="Y291" i="4" a="1"/>
  <c r="Y291" i="4" s="1"/>
  <c r="Y292" i="4" a="1"/>
  <c r="Y292" i="4" s="1"/>
  <c r="Y293" i="4" a="1"/>
  <c r="Y293" i="4" s="1"/>
  <c r="Y294" i="4" a="1"/>
  <c r="Y294" i="4" s="1"/>
  <c r="Y295" i="4" a="1"/>
  <c r="Y295" i="4" s="1"/>
  <c r="Y296" i="4" a="1"/>
  <c r="Y296" i="4"/>
  <c r="Y297" i="4" a="1"/>
  <c r="Y297" i="4" s="1"/>
  <c r="Y298" i="4" a="1"/>
  <c r="Y298" i="4"/>
  <c r="Y299" i="4" a="1"/>
  <c r="Y299" i="4" s="1"/>
  <c r="Y300" i="4" a="1"/>
  <c r="Y300" i="4" s="1"/>
  <c r="Y301" i="4" a="1"/>
  <c r="Y301" i="4" s="1"/>
  <c r="Y302" i="4" a="1"/>
  <c r="Y302" i="4" s="1"/>
  <c r="Y303" i="4" a="1"/>
  <c r="Y303" i="4" s="1"/>
  <c r="Y304" i="4" a="1"/>
  <c r="Y304" i="4"/>
  <c r="Y305" i="4" a="1"/>
  <c r="Y305" i="4" s="1"/>
  <c r="Y306" i="4" a="1"/>
  <c r="Y306" i="4"/>
  <c r="Y307" i="4" a="1"/>
  <c r="Y307" i="4" s="1"/>
  <c r="Y308" i="4" a="1"/>
  <c r="Y308" i="4"/>
  <c r="Y309" i="4" a="1"/>
  <c r="Y309" i="4" s="1"/>
  <c r="Y310" i="4" a="1"/>
  <c r="Y310" i="4"/>
  <c r="Y311" i="4" a="1"/>
  <c r="Y311" i="4" s="1"/>
  <c r="Y312" i="4" a="1"/>
  <c r="Y312" i="4"/>
  <c r="Y313" i="4" a="1"/>
  <c r="Y313" i="4" s="1"/>
  <c r="Y314" i="4" a="1"/>
  <c r="Y314" i="4"/>
  <c r="Y315" i="4" a="1"/>
  <c r="Y315" i="4" s="1"/>
  <c r="Y316" i="4" a="1"/>
  <c r="Y316" i="4"/>
  <c r="Y317" i="4" a="1"/>
  <c r="Y317" i="4" s="1"/>
  <c r="Y318" i="4" a="1"/>
  <c r="Y318" i="4"/>
  <c r="Y319" i="4" a="1"/>
  <c r="Y319" i="4" s="1"/>
  <c r="Y320" i="4" a="1"/>
  <c r="Y320" i="4"/>
  <c r="Y321" i="4" a="1"/>
  <c r="Y321" i="4" s="1"/>
  <c r="Y322" i="4" a="1"/>
  <c r="Y322" i="4"/>
  <c r="Y323" i="4" a="1"/>
  <c r="Y323" i="4" s="1"/>
  <c r="Y324" i="4" a="1"/>
  <c r="Y324" i="4"/>
  <c r="Y325" i="4" a="1"/>
  <c r="Y325" i="4" s="1"/>
  <c r="Y326" i="4" a="1"/>
  <c r="Y326" i="4"/>
  <c r="Y327" i="4" a="1"/>
  <c r="Y327" i="4" s="1"/>
  <c r="Y328" i="4" a="1"/>
  <c r="Y328" i="4"/>
  <c r="Y329" i="4" a="1"/>
  <c r="Y329" i="4" s="1"/>
  <c r="Y330" i="4" a="1"/>
  <c r="Y330" i="4"/>
  <c r="Y331" i="4" a="1"/>
  <c r="Y331" i="4" s="1"/>
  <c r="Y332" i="4" a="1"/>
  <c r="Y332" i="4"/>
  <c r="Y333" i="4" a="1"/>
  <c r="Y333" i="4" s="1"/>
  <c r="Y334" i="4" a="1"/>
  <c r="Y334" i="4"/>
  <c r="Y335" i="4" a="1"/>
  <c r="Y335" i="4" s="1"/>
  <c r="Y336" i="4" a="1"/>
  <c r="Y336" i="4"/>
  <c r="Y337" i="4" a="1"/>
  <c r="Y337" i="4" s="1"/>
  <c r="Y338" i="4" a="1"/>
  <c r="Y338" i="4"/>
  <c r="Y339" i="4" a="1"/>
  <c r="Y339" i="4" s="1"/>
  <c r="Y340" i="4" a="1"/>
  <c r="Y340" i="4"/>
  <c r="Y341" i="4" a="1"/>
  <c r="Y341" i="4" s="1"/>
  <c r="Y342" i="4" a="1"/>
  <c r="Y342" i="4"/>
  <c r="Y343" i="4" a="1"/>
  <c r="Y343" i="4" s="1"/>
  <c r="Y344" i="4" a="1"/>
  <c r="Y344" i="4"/>
  <c r="Y345" i="4" a="1"/>
  <c r="Y345" i="4" s="1"/>
  <c r="Y346" i="4" a="1"/>
  <c r="Y346" i="4"/>
  <c r="Y347" i="4" a="1"/>
  <c r="Y347" i="4" s="1"/>
  <c r="Y348" i="4" a="1"/>
  <c r="Y348" i="4"/>
  <c r="Y349" i="4" a="1"/>
  <c r="Y349" i="4" s="1"/>
  <c r="Y350" i="4" a="1"/>
  <c r="Y350" i="4"/>
  <c r="Y351" i="4" a="1"/>
  <c r="Y351" i="4" s="1"/>
  <c r="Y352" i="4" a="1"/>
  <c r="Y352" i="4"/>
  <c r="Y353" i="4" a="1"/>
  <c r="Y353" i="4" s="1"/>
  <c r="Y354" i="4" a="1"/>
  <c r="Y354" i="4"/>
  <c r="Y355" i="4" a="1"/>
  <c r="Y355" i="4" s="1"/>
  <c r="Y356" i="4" a="1"/>
  <c r="Y356" i="4"/>
  <c r="Y357" i="4" a="1"/>
  <c r="Y357" i="4" s="1"/>
  <c r="Y358" i="4" a="1"/>
  <c r="Y358" i="4"/>
  <c r="Y359" i="4" a="1"/>
  <c r="Y359" i="4" s="1"/>
  <c r="Y360" i="4" a="1"/>
  <c r="Y360" i="4"/>
  <c r="Y361" i="4" a="1"/>
  <c r="Y361" i="4" s="1"/>
  <c r="Y362" i="4" a="1"/>
  <c r="Y362" i="4"/>
  <c r="Y363" i="4" a="1"/>
  <c r="Y363" i="4" s="1"/>
  <c r="Y364" i="4" a="1"/>
  <c r="Y364" i="4"/>
  <c r="Y365" i="4" a="1"/>
  <c r="Y365" i="4" s="1"/>
  <c r="Y366" i="4" a="1"/>
  <c r="Y366" i="4"/>
  <c r="Y367" i="4" a="1"/>
  <c r="Y367" i="4" s="1"/>
  <c r="Y368" i="4" a="1"/>
  <c r="Y368" i="4"/>
  <c r="Y369" i="4" a="1"/>
  <c r="Y369" i="4" s="1"/>
  <c r="Y370" i="4" a="1"/>
  <c r="Y370" i="4"/>
  <c r="Y371" i="4" a="1"/>
  <c r="Y371" i="4" s="1"/>
  <c r="Y372" i="4" a="1"/>
  <c r="Y372" i="4"/>
  <c r="Y373" i="4" a="1"/>
  <c r="Y373" i="4" s="1"/>
  <c r="Y374" i="4" a="1"/>
  <c r="Y374" i="4"/>
  <c r="Y375" i="4" a="1"/>
  <c r="Y375" i="4" s="1"/>
  <c r="Y376" i="4" a="1"/>
  <c r="Y376" i="4"/>
  <c r="Y377" i="4" a="1"/>
  <c r="Y377" i="4" s="1"/>
  <c r="Y378" i="4" a="1"/>
  <c r="Y378" i="4"/>
  <c r="Y379" i="4" a="1"/>
  <c r="Y379" i="4" s="1"/>
  <c r="Y380" i="4" a="1"/>
  <c r="Y380" i="4"/>
  <c r="Y381" i="4" a="1"/>
  <c r="Y381" i="4" s="1"/>
  <c r="Y382" i="4" a="1"/>
  <c r="Y382" i="4"/>
  <c r="Y383" i="4" a="1"/>
  <c r="Y383" i="4" s="1"/>
  <c r="Y384" i="4" a="1"/>
  <c r="Y384" i="4"/>
  <c r="Y385" i="4" a="1"/>
  <c r="Y385" i="4" s="1"/>
  <c r="Y386" i="4" a="1"/>
  <c r="Y386" i="4"/>
  <c r="Y387" i="4" a="1"/>
  <c r="Y387" i="4" s="1"/>
  <c r="Y388" i="4" a="1"/>
  <c r="Y388" i="4"/>
  <c r="Y389" i="4" a="1"/>
  <c r="Y389" i="4" s="1"/>
  <c r="Y390" i="4" a="1"/>
  <c r="Y390" i="4"/>
  <c r="Y391" i="4" a="1"/>
  <c r="Y391" i="4" s="1"/>
  <c r="Y392" i="4" a="1"/>
  <c r="Y392" i="4"/>
  <c r="Y393" i="4" a="1"/>
  <c r="Y393" i="4" s="1"/>
  <c r="Y394" i="4" a="1"/>
  <c r="Y394" i="4"/>
  <c r="Y395" i="4" a="1"/>
  <c r="Y395" i="4" s="1"/>
  <c r="Y396" i="4" a="1"/>
  <c r="Y396" i="4"/>
  <c r="Y397" i="4" a="1"/>
  <c r="Y397" i="4" s="1"/>
  <c r="Y398" i="4" a="1"/>
  <c r="Y398" i="4"/>
  <c r="Y399" i="4" a="1"/>
  <c r="Y399" i="4" s="1"/>
  <c r="Y400" i="4" a="1"/>
  <c r="Y400" i="4"/>
  <c r="Y401" i="4" a="1"/>
  <c r="Y401" i="4" s="1"/>
  <c r="Y402" i="4" a="1"/>
  <c r="Y402" i="4"/>
  <c r="Y403" i="4" a="1"/>
  <c r="Y403" i="4" s="1"/>
  <c r="Y404" i="4" a="1"/>
  <c r="Y404" i="4"/>
  <c r="Y405" i="4" a="1"/>
  <c r="Y405" i="4" s="1"/>
  <c r="Y406" i="4" a="1"/>
  <c r="Y406" i="4"/>
  <c r="Y407" i="4" a="1"/>
  <c r="Y407" i="4" s="1"/>
  <c r="Y408" i="4" a="1"/>
  <c r="Y408" i="4"/>
  <c r="Y409" i="4" a="1"/>
  <c r="Y409" i="4" s="1"/>
  <c r="Y410" i="4" a="1"/>
  <c r="Y410" i="4"/>
  <c r="Y411" i="4" a="1"/>
  <c r="Y411" i="4" s="1"/>
  <c r="Y412" i="4" a="1"/>
  <c r="Y412" i="4"/>
  <c r="Y413" i="4" a="1"/>
  <c r="Y413" i="4" s="1"/>
  <c r="Y414" i="4" a="1"/>
  <c r="Y414" i="4"/>
  <c r="Y415" i="4" a="1"/>
  <c r="Y415" i="4" s="1"/>
  <c r="Y416" i="4" a="1"/>
  <c r="Y416" i="4"/>
  <c r="Y417" i="4" a="1"/>
  <c r="Y417" i="4" s="1"/>
  <c r="Y418" i="4" a="1"/>
  <c r="Y418" i="4"/>
  <c r="Y419" i="4" a="1"/>
  <c r="Y419" i="4" s="1"/>
  <c r="Y420" i="4" a="1"/>
  <c r="Y420" i="4"/>
  <c r="Y421" i="4" a="1"/>
  <c r="Y421" i="4" s="1"/>
  <c r="Y422" i="4" a="1"/>
  <c r="Y422" i="4"/>
  <c r="Y423" i="4" a="1"/>
  <c r="Y423" i="4" s="1"/>
  <c r="Y424" i="4" a="1"/>
  <c r="Y424" i="4"/>
  <c r="Y425" i="4" a="1"/>
  <c r="Y425" i="4" s="1"/>
  <c r="Y426" i="4" a="1"/>
  <c r="Y426" i="4"/>
  <c r="Y427" i="4" a="1"/>
  <c r="Y427" i="4" s="1"/>
  <c r="Y428" i="4" a="1"/>
  <c r="Y428" i="4"/>
  <c r="Y429" i="4" a="1"/>
  <c r="Y429" i="4" s="1"/>
  <c r="Y430" i="4" a="1"/>
  <c r="Y430" i="4"/>
  <c r="Y431" i="4" a="1"/>
  <c r="Y431" i="4" s="1"/>
  <c r="Y432" i="4" a="1"/>
  <c r="Y432" i="4"/>
  <c r="Y433" i="4" a="1"/>
  <c r="Y433" i="4" s="1"/>
  <c r="Y434" i="4" a="1"/>
  <c r="Y434" i="4"/>
  <c r="Y435" i="4" a="1"/>
  <c r="Y435" i="4" s="1"/>
  <c r="Y436" i="4" a="1"/>
  <c r="Y436" i="4"/>
  <c r="Y437" i="4" a="1"/>
  <c r="Y437" i="4" s="1"/>
  <c r="Y438" i="4" a="1"/>
  <c r="Y438" i="4"/>
  <c r="Y439" i="4" a="1"/>
  <c r="Y439" i="4" s="1"/>
  <c r="Y440" i="4" a="1"/>
  <c r="Y440" i="4"/>
  <c r="Y441" i="4" a="1"/>
  <c r="Y441" i="4" s="1"/>
  <c r="Y442" i="4" a="1"/>
  <c r="Y442" i="4"/>
  <c r="Y443" i="4" a="1"/>
  <c r="Y443" i="4" s="1"/>
  <c r="Y444" i="4" a="1"/>
  <c r="Y444" i="4"/>
  <c r="Y445" i="4" a="1"/>
  <c r="Y445" i="4" s="1"/>
  <c r="Y446" i="4" a="1"/>
  <c r="Y446" i="4"/>
  <c r="Y447" i="4" a="1"/>
  <c r="Y447" i="4" s="1"/>
  <c r="Y448" i="4" a="1"/>
  <c r="Y448" i="4"/>
  <c r="Y449" i="4" a="1"/>
  <c r="Y449" i="4" s="1"/>
  <c r="Y450" i="4" a="1"/>
  <c r="Y450" i="4"/>
  <c r="Y451" i="4" a="1"/>
  <c r="Y451" i="4" s="1"/>
  <c r="Y452" i="4" a="1"/>
  <c r="Y452" i="4"/>
  <c r="Y453" i="4" a="1"/>
  <c r="Y453" i="4" s="1"/>
  <c r="Y454" i="4" a="1"/>
  <c r="Y454" i="4"/>
  <c r="Y455" i="4" a="1"/>
  <c r="Y455" i="4" s="1"/>
  <c r="Y456" i="4" a="1"/>
  <c r="Y456" i="4"/>
  <c r="Y457" i="4" a="1"/>
  <c r="Y457" i="4" s="1"/>
  <c r="Y458" i="4" a="1"/>
  <c r="Y458" i="4"/>
  <c r="Y459" i="4" a="1"/>
  <c r="Y459" i="4" s="1"/>
  <c r="Y460" i="4" a="1"/>
  <c r="Y460" i="4"/>
  <c r="Y461" i="4" a="1"/>
  <c r="Y461" i="4" s="1"/>
  <c r="Y462" i="4" a="1"/>
  <c r="Y462" i="4"/>
  <c r="Y463" i="4" a="1"/>
  <c r="Y463" i="4" s="1"/>
  <c r="Y464" i="4" a="1"/>
  <c r="Y464" i="4"/>
  <c r="Y465" i="4" a="1"/>
  <c r="Y465" i="4" s="1"/>
  <c r="Y466" i="4" a="1"/>
  <c r="Y466" i="4"/>
  <c r="Y467" i="4" a="1"/>
  <c r="Y467" i="4" s="1"/>
  <c r="Y468" i="4" a="1"/>
  <c r="Y468" i="4"/>
  <c r="Y469" i="4" a="1"/>
  <c r="Y469" i="4" s="1"/>
  <c r="Y470" i="4" a="1"/>
  <c r="Y470" i="4"/>
  <c r="Y471" i="4" a="1"/>
  <c r="Y471" i="4" s="1"/>
  <c r="Y472" i="4" a="1"/>
  <c r="Y472" i="4"/>
  <c r="Y473" i="4" a="1"/>
  <c r="Y473" i="4" s="1"/>
  <c r="Y474" i="4" a="1"/>
  <c r="Y474" i="4"/>
  <c r="Y475" i="4" a="1"/>
  <c r="Y475" i="4" s="1"/>
  <c r="Y476" i="4" a="1"/>
  <c r="Y476" i="4"/>
  <c r="Y477" i="4" a="1"/>
  <c r="Y477" i="4" s="1"/>
  <c r="Y478" i="4" a="1"/>
  <c r="Y478" i="4"/>
  <c r="Y479" i="4" a="1"/>
  <c r="Y479" i="4" s="1"/>
  <c r="Y480" i="4" a="1"/>
  <c r="Y480" i="4"/>
  <c r="Y481" i="4" a="1"/>
  <c r="Y481" i="4" s="1"/>
  <c r="Y482" i="4" a="1"/>
  <c r="Y482" i="4"/>
  <c r="Y483" i="4" a="1"/>
  <c r="Y483" i="4" s="1"/>
  <c r="Y484" i="4" a="1"/>
  <c r="Y484" i="4"/>
  <c r="Y485" i="4" a="1"/>
  <c r="Y485" i="4" s="1"/>
  <c r="Y486" i="4" a="1"/>
  <c r="Y486" i="4"/>
  <c r="Y487" i="4" a="1"/>
  <c r="Y487" i="4" s="1"/>
  <c r="Y488" i="4" a="1"/>
  <c r="Y488" i="4"/>
  <c r="Y489" i="4" a="1"/>
  <c r="Y489" i="4" s="1"/>
  <c r="Y490" i="4" a="1"/>
  <c r="Y490" i="4"/>
  <c r="Y491" i="4" a="1"/>
  <c r="Y491" i="4" s="1"/>
  <c r="Y492" i="4" a="1"/>
  <c r="Y492" i="4"/>
  <c r="Y493" i="4" a="1"/>
  <c r="Y493" i="4" s="1"/>
  <c r="Y494" i="4" a="1"/>
  <c r="Y494" i="4"/>
  <c r="Y495" i="4" a="1"/>
  <c r="Y495" i="4" s="1"/>
  <c r="Y496" i="4" a="1"/>
  <c r="Y496" i="4"/>
  <c r="Y497" i="4" a="1"/>
  <c r="Y497" i="4" s="1"/>
  <c r="Y498" i="4" a="1"/>
  <c r="Y498" i="4"/>
  <c r="Y499" i="4" a="1"/>
  <c r="Y499" i="4" s="1"/>
  <c r="Y500" i="4" a="1"/>
  <c r="Y500" i="4"/>
  <c r="Y501" i="4" a="1"/>
  <c r="Y501" i="4" s="1"/>
  <c r="C2" i="3"/>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2" i="2"/>
  <c r="X501" i="13"/>
  <c r="X500" i="13"/>
  <c r="X499" i="13"/>
  <c r="X498" i="13"/>
  <c r="X497" i="13"/>
  <c r="X496" i="13"/>
  <c r="X495" i="13"/>
  <c r="X494" i="13"/>
  <c r="X493" i="13"/>
  <c r="X492" i="13"/>
  <c r="X491" i="13"/>
  <c r="X490" i="13"/>
  <c r="X489" i="13"/>
  <c r="X488" i="13"/>
  <c r="X487" i="13"/>
  <c r="X486" i="13"/>
  <c r="X485" i="13"/>
  <c r="X484" i="13"/>
  <c r="X483" i="13"/>
  <c r="X482" i="13"/>
  <c r="X481" i="13"/>
  <c r="X480" i="13"/>
  <c r="X479" i="13"/>
  <c r="X478" i="13"/>
  <c r="X477" i="13"/>
  <c r="X476" i="13"/>
  <c r="X475" i="13"/>
  <c r="X474" i="13"/>
  <c r="X473" i="13"/>
  <c r="X472" i="13"/>
  <c r="X471" i="13"/>
  <c r="X470" i="13"/>
  <c r="X469" i="13"/>
  <c r="X468" i="13"/>
  <c r="X467" i="13"/>
  <c r="X466" i="13"/>
  <c r="X465" i="13"/>
  <c r="X464" i="13"/>
  <c r="X463" i="13"/>
  <c r="X462" i="13"/>
  <c r="X461" i="13"/>
  <c r="X460" i="13"/>
  <c r="X459" i="13"/>
  <c r="X458" i="13"/>
  <c r="X457" i="13"/>
  <c r="X456" i="13"/>
  <c r="X455" i="13"/>
  <c r="X454" i="13"/>
  <c r="X453" i="13"/>
  <c r="X452" i="13"/>
  <c r="X451" i="13"/>
  <c r="X450" i="13"/>
  <c r="X449" i="13"/>
  <c r="X448" i="13"/>
  <c r="X447" i="13"/>
  <c r="X446" i="13"/>
  <c r="X445" i="13"/>
  <c r="X444" i="13"/>
  <c r="X443" i="13"/>
  <c r="X442" i="13"/>
  <c r="X441" i="13"/>
  <c r="X440" i="13"/>
  <c r="X439" i="13"/>
  <c r="X438" i="13"/>
  <c r="X437" i="13"/>
  <c r="X436" i="13"/>
  <c r="X435" i="13"/>
  <c r="X434" i="13"/>
  <c r="X433" i="13"/>
  <c r="X432" i="13"/>
  <c r="X431" i="13"/>
  <c r="X430" i="13"/>
  <c r="X429" i="13"/>
  <c r="X428" i="13"/>
  <c r="X427" i="13"/>
  <c r="X426" i="13"/>
  <c r="X425" i="13"/>
  <c r="X424" i="13"/>
  <c r="X423" i="13"/>
  <c r="X422" i="13"/>
  <c r="X421" i="13"/>
  <c r="X420" i="13"/>
  <c r="X419" i="13"/>
  <c r="X418" i="13"/>
  <c r="X417" i="13"/>
  <c r="X416" i="13"/>
  <c r="X415" i="13"/>
  <c r="X414" i="13"/>
  <c r="X413" i="13"/>
  <c r="X412" i="13"/>
  <c r="X411" i="13"/>
  <c r="X410" i="13"/>
  <c r="X409" i="13"/>
  <c r="X408" i="13"/>
  <c r="X407" i="13"/>
  <c r="X406" i="13"/>
  <c r="X405" i="13"/>
  <c r="X404" i="13"/>
  <c r="X403" i="13"/>
  <c r="X402" i="13"/>
  <c r="X401" i="13"/>
  <c r="X400" i="13"/>
  <c r="X399" i="13"/>
  <c r="X398" i="13"/>
  <c r="X397" i="13"/>
  <c r="X396" i="13"/>
  <c r="X395" i="13"/>
  <c r="X394" i="13"/>
  <c r="X393" i="13"/>
  <c r="X392" i="13"/>
  <c r="X391" i="13"/>
  <c r="X390" i="13"/>
  <c r="X389" i="13"/>
  <c r="X388" i="13"/>
  <c r="X387" i="13"/>
  <c r="X386" i="13"/>
  <c r="X385" i="13"/>
  <c r="X384" i="13"/>
  <c r="X383" i="13"/>
  <c r="X382" i="13"/>
  <c r="X381" i="13"/>
  <c r="X380" i="13"/>
  <c r="X379" i="13"/>
  <c r="X378" i="13"/>
  <c r="X377" i="13"/>
  <c r="X376" i="13"/>
  <c r="X375" i="13"/>
  <c r="X374" i="13"/>
  <c r="X373" i="13"/>
  <c r="X372" i="13"/>
  <c r="X371" i="13"/>
  <c r="X370" i="13"/>
  <c r="X369" i="13"/>
  <c r="X368" i="13"/>
  <c r="X367" i="13"/>
  <c r="X366" i="13"/>
  <c r="X365" i="13"/>
  <c r="X364" i="13"/>
  <c r="X363" i="13"/>
  <c r="X362" i="13"/>
  <c r="X361" i="13"/>
  <c r="X360" i="13"/>
  <c r="X359" i="13"/>
  <c r="X358" i="13"/>
  <c r="X357" i="13"/>
  <c r="X356" i="13"/>
  <c r="X355" i="13"/>
  <c r="X354" i="13"/>
  <c r="X353" i="13"/>
  <c r="X352" i="13"/>
  <c r="X351" i="13"/>
  <c r="X350" i="13"/>
  <c r="X349" i="13"/>
  <c r="X348" i="13"/>
  <c r="X347" i="13"/>
  <c r="X346" i="13"/>
  <c r="X345" i="13"/>
  <c r="X344" i="13"/>
  <c r="X343" i="13"/>
  <c r="X342" i="13"/>
  <c r="X341" i="13"/>
  <c r="X340" i="13"/>
  <c r="X339" i="13"/>
  <c r="X338" i="13"/>
  <c r="X337" i="13"/>
  <c r="X336" i="13"/>
  <c r="X335" i="13"/>
  <c r="X334" i="13"/>
  <c r="X333" i="13"/>
  <c r="X332" i="13"/>
  <c r="X331" i="13"/>
  <c r="X330" i="13"/>
  <c r="X329" i="13"/>
  <c r="X328" i="13"/>
  <c r="X327" i="13"/>
  <c r="X326" i="13"/>
  <c r="X325" i="13"/>
  <c r="X324" i="13"/>
  <c r="X323" i="13"/>
  <c r="X322" i="13"/>
  <c r="X321" i="13"/>
  <c r="X320" i="13"/>
  <c r="X319" i="13"/>
  <c r="X318" i="13"/>
  <c r="X317" i="13"/>
  <c r="X316" i="13"/>
  <c r="X315" i="13"/>
  <c r="X314" i="13"/>
  <c r="X313" i="13"/>
  <c r="X312" i="13"/>
  <c r="X311" i="13"/>
  <c r="X310" i="13"/>
  <c r="X309" i="13"/>
  <c r="X308" i="13"/>
  <c r="X307" i="13"/>
  <c r="X306" i="13"/>
  <c r="X305" i="13"/>
  <c r="X304" i="13"/>
  <c r="X303" i="13"/>
  <c r="X302" i="13"/>
  <c r="X301" i="13"/>
  <c r="X300" i="13"/>
  <c r="X299" i="13"/>
  <c r="X298" i="13"/>
  <c r="X297" i="13"/>
  <c r="X296" i="13"/>
  <c r="X295" i="13"/>
  <c r="X294" i="13"/>
  <c r="X293" i="13"/>
  <c r="X292" i="13"/>
  <c r="X291" i="13"/>
  <c r="X290" i="13"/>
  <c r="X289" i="13"/>
  <c r="X288" i="13"/>
  <c r="X287" i="13"/>
  <c r="X286" i="13"/>
  <c r="X285" i="13"/>
  <c r="X284" i="13"/>
  <c r="X283" i="13"/>
  <c r="X282" i="13"/>
  <c r="X281" i="13"/>
  <c r="X280" i="13"/>
  <c r="X279" i="13"/>
  <c r="X278" i="13"/>
  <c r="X277" i="13"/>
  <c r="X276" i="13"/>
  <c r="X275" i="13"/>
  <c r="X274" i="13"/>
  <c r="X273" i="13"/>
  <c r="X272" i="13"/>
  <c r="X271" i="13"/>
  <c r="X270" i="13"/>
  <c r="X269" i="13"/>
  <c r="X268" i="13"/>
  <c r="X267" i="13"/>
  <c r="X266" i="13"/>
  <c r="X265" i="13"/>
  <c r="X264" i="13"/>
  <c r="X263" i="13"/>
  <c r="X262" i="13"/>
  <c r="X261" i="13"/>
  <c r="X260" i="13"/>
  <c r="X259" i="13"/>
  <c r="X258" i="13"/>
  <c r="X257" i="13"/>
  <c r="X256" i="13"/>
  <c r="X255" i="13"/>
  <c r="X254" i="13"/>
  <c r="X253" i="13"/>
  <c r="X252" i="13"/>
  <c r="X251" i="13"/>
  <c r="X250" i="13"/>
  <c r="X249" i="13"/>
  <c r="X248" i="13"/>
  <c r="X247" i="13"/>
  <c r="X246" i="13"/>
  <c r="X245" i="13"/>
  <c r="X244" i="13"/>
  <c r="X243" i="13"/>
  <c r="X242" i="13"/>
  <c r="X241" i="13"/>
  <c r="X240" i="13"/>
  <c r="X239" i="13"/>
  <c r="X238" i="13"/>
  <c r="X237" i="13"/>
  <c r="X236" i="13"/>
  <c r="X235" i="13"/>
  <c r="X234" i="13"/>
  <c r="X233" i="13"/>
  <c r="X232" i="13"/>
  <c r="X231" i="13"/>
  <c r="X230" i="13"/>
  <c r="X229" i="13"/>
  <c r="X228" i="13"/>
  <c r="X227" i="13"/>
  <c r="X226" i="13"/>
  <c r="X225" i="13"/>
  <c r="X224" i="13"/>
  <c r="X223" i="13"/>
  <c r="X222" i="13"/>
  <c r="X221" i="13"/>
  <c r="X220" i="13"/>
  <c r="X219" i="13"/>
  <c r="X218" i="13"/>
  <c r="X217" i="13"/>
  <c r="X216" i="13"/>
  <c r="X215" i="13"/>
  <c r="X214" i="13"/>
  <c r="X213" i="13"/>
  <c r="X212" i="13"/>
  <c r="X211" i="13"/>
  <c r="X210" i="13"/>
  <c r="X209" i="13"/>
  <c r="X208" i="13"/>
  <c r="X207" i="13"/>
  <c r="X206" i="13"/>
  <c r="X205" i="13"/>
  <c r="X204" i="13"/>
  <c r="X203" i="13"/>
  <c r="X202" i="13"/>
  <c r="X201" i="13"/>
  <c r="X200" i="13"/>
  <c r="X199" i="13"/>
  <c r="X198" i="13"/>
  <c r="X197" i="13"/>
  <c r="X196" i="13"/>
  <c r="X195" i="13"/>
  <c r="X194" i="13"/>
  <c r="X193" i="13"/>
  <c r="X192" i="13"/>
  <c r="X191" i="13"/>
  <c r="X190" i="13"/>
  <c r="X189" i="13"/>
  <c r="X188" i="13"/>
  <c r="X187" i="13"/>
  <c r="X186" i="13"/>
  <c r="X185" i="13"/>
  <c r="X184" i="13"/>
  <c r="X183" i="13"/>
  <c r="X182" i="13"/>
  <c r="X181" i="13"/>
  <c r="X180" i="13"/>
  <c r="X179" i="13"/>
  <c r="X178" i="13"/>
  <c r="X177" i="13"/>
  <c r="X176" i="13"/>
  <c r="X175" i="13"/>
  <c r="X174" i="13"/>
  <c r="X173" i="13"/>
  <c r="X172" i="13"/>
  <c r="X171" i="13"/>
  <c r="X170" i="13"/>
  <c r="X169" i="13"/>
  <c r="X168" i="13"/>
  <c r="X167" i="13"/>
  <c r="X166" i="13"/>
  <c r="X165" i="13"/>
  <c r="X164" i="13"/>
  <c r="X163" i="13"/>
  <c r="X162" i="13"/>
  <c r="X161" i="13"/>
  <c r="X160" i="13"/>
  <c r="X159" i="13"/>
  <c r="X158" i="13"/>
  <c r="X157" i="13"/>
  <c r="X156" i="13"/>
  <c r="X155" i="13"/>
  <c r="X154" i="13"/>
  <c r="X153" i="13"/>
  <c r="X152" i="13"/>
  <c r="X151" i="13"/>
  <c r="X150" i="13"/>
  <c r="X149" i="13"/>
  <c r="X148" i="13"/>
  <c r="X147" i="13"/>
  <c r="X146" i="13"/>
  <c r="X145" i="13"/>
  <c r="X144" i="13"/>
  <c r="X143" i="13"/>
  <c r="X142" i="13"/>
  <c r="X141" i="13"/>
  <c r="X140" i="13"/>
  <c r="X139" i="13"/>
  <c r="X138" i="13"/>
  <c r="X137" i="13"/>
  <c r="X136" i="13"/>
  <c r="X135" i="13"/>
  <c r="X134" i="13"/>
  <c r="X133" i="13"/>
  <c r="X132" i="13"/>
  <c r="X131" i="13"/>
  <c r="X130" i="13"/>
  <c r="X129" i="13"/>
  <c r="X128" i="13"/>
  <c r="X127" i="13"/>
  <c r="X126" i="13"/>
  <c r="X125" i="13"/>
  <c r="X124" i="13"/>
  <c r="X123" i="13"/>
  <c r="X122" i="13"/>
  <c r="X121" i="13"/>
  <c r="X120" i="13"/>
  <c r="X119" i="13"/>
  <c r="X118" i="13"/>
  <c r="X117" i="13"/>
  <c r="X116" i="13"/>
  <c r="X115" i="13"/>
  <c r="X114" i="13"/>
  <c r="X113" i="13"/>
  <c r="X112" i="13"/>
  <c r="X111" i="13"/>
  <c r="X110" i="13"/>
  <c r="X109" i="13"/>
  <c r="X108" i="13"/>
  <c r="X107" i="13"/>
  <c r="X106" i="13"/>
  <c r="X105" i="13"/>
  <c r="X104" i="13"/>
  <c r="X103" i="13"/>
  <c r="X102" i="13"/>
  <c r="X101" i="13"/>
  <c r="X100" i="13"/>
  <c r="X99" i="13"/>
  <c r="X98" i="13"/>
  <c r="X97" i="13"/>
  <c r="X96" i="13"/>
  <c r="X95" i="13"/>
  <c r="X94" i="13"/>
  <c r="X93" i="13"/>
  <c r="X92" i="13"/>
  <c r="X91" i="13"/>
  <c r="X90" i="13"/>
  <c r="X89" i="13"/>
  <c r="X88" i="13"/>
  <c r="X87" i="13"/>
  <c r="X86" i="13"/>
  <c r="X85" i="13"/>
  <c r="X84" i="13"/>
  <c r="X83" i="13"/>
  <c r="X82" i="13"/>
  <c r="X81" i="13"/>
  <c r="X80" i="13"/>
  <c r="X79" i="13"/>
  <c r="X78" i="13"/>
  <c r="X77" i="13"/>
  <c r="X76" i="13"/>
  <c r="X75" i="13"/>
  <c r="X74" i="13"/>
  <c r="X73" i="13"/>
  <c r="X72" i="13"/>
  <c r="X71" i="13"/>
  <c r="X70" i="13"/>
  <c r="X69" i="13"/>
  <c r="X68" i="13"/>
  <c r="X67" i="13"/>
  <c r="X66" i="13"/>
  <c r="X65" i="13"/>
  <c r="X64" i="13"/>
  <c r="X63" i="13"/>
  <c r="X62" i="13"/>
  <c r="X61" i="13"/>
  <c r="X60" i="13"/>
  <c r="X59" i="13"/>
  <c r="X58" i="13"/>
  <c r="X57" i="13"/>
  <c r="X56" i="13"/>
  <c r="X55" i="13"/>
  <c r="X54" i="13"/>
  <c r="X53" i="13"/>
  <c r="X52" i="13"/>
  <c r="X51" i="13"/>
  <c r="X50" i="13"/>
  <c r="X49" i="13"/>
  <c r="X48" i="13"/>
  <c r="X47" i="13"/>
  <c r="X46" i="13"/>
  <c r="X45" i="13"/>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X4" i="13"/>
  <c r="X3" i="13"/>
  <c r="X2" i="13"/>
  <c r="F371" i="19"/>
  <c r="J371" i="19"/>
  <c r="K371" i="19"/>
  <c r="F358" i="19"/>
  <c r="J358" i="19"/>
  <c r="K358" i="19"/>
  <c r="K501" i="19"/>
  <c r="J501" i="19"/>
  <c r="F501" i="19"/>
  <c r="K500" i="19"/>
  <c r="J500" i="19"/>
  <c r="F500" i="19"/>
  <c r="K499" i="19"/>
  <c r="J499" i="19"/>
  <c r="F499" i="19"/>
  <c r="K498" i="19"/>
  <c r="J498" i="19"/>
  <c r="F498" i="19"/>
  <c r="K497" i="19"/>
  <c r="J497" i="19"/>
  <c r="F497" i="19"/>
  <c r="K496" i="19"/>
  <c r="J496" i="19"/>
  <c r="F496" i="19"/>
  <c r="K495" i="19"/>
  <c r="J495" i="19"/>
  <c r="F495" i="19"/>
  <c r="K494" i="19"/>
  <c r="J494" i="19"/>
  <c r="F494" i="19"/>
  <c r="K493" i="19"/>
  <c r="J493" i="19"/>
  <c r="F493" i="19"/>
  <c r="K492" i="19"/>
  <c r="J492" i="19"/>
  <c r="F492" i="19"/>
  <c r="K491" i="19"/>
  <c r="J491" i="19"/>
  <c r="F491" i="19"/>
  <c r="K490" i="19"/>
  <c r="J490" i="19"/>
  <c r="F490" i="19"/>
  <c r="K489" i="19"/>
  <c r="J489" i="19"/>
  <c r="F489" i="19"/>
  <c r="K488" i="19"/>
  <c r="J488" i="19"/>
  <c r="F488" i="19"/>
  <c r="K487" i="19"/>
  <c r="J487" i="19"/>
  <c r="F487" i="19"/>
  <c r="K486" i="19"/>
  <c r="J486" i="19"/>
  <c r="F486" i="19"/>
  <c r="K485" i="19"/>
  <c r="J485" i="19"/>
  <c r="F485" i="19"/>
  <c r="K484" i="19"/>
  <c r="J484" i="19"/>
  <c r="F484" i="19"/>
  <c r="K483" i="19"/>
  <c r="J483" i="19"/>
  <c r="F483" i="19"/>
  <c r="K482" i="19"/>
  <c r="J482" i="19"/>
  <c r="F482" i="19"/>
  <c r="K481" i="19"/>
  <c r="J481" i="19"/>
  <c r="F481" i="19"/>
  <c r="K480" i="19"/>
  <c r="J480" i="19"/>
  <c r="F480" i="19"/>
  <c r="K479" i="19"/>
  <c r="J479" i="19"/>
  <c r="F479" i="19"/>
  <c r="K478" i="19"/>
  <c r="J478" i="19"/>
  <c r="F478" i="19"/>
  <c r="K477" i="19"/>
  <c r="J477" i="19"/>
  <c r="F477" i="19"/>
  <c r="K476" i="19"/>
  <c r="J476" i="19"/>
  <c r="F476" i="19"/>
  <c r="K475" i="19"/>
  <c r="J475" i="19"/>
  <c r="F475" i="19"/>
  <c r="K474" i="19"/>
  <c r="J474" i="19"/>
  <c r="F474" i="19"/>
  <c r="K473" i="19"/>
  <c r="J473" i="19"/>
  <c r="F473" i="19"/>
  <c r="K472" i="19"/>
  <c r="J472" i="19"/>
  <c r="F472" i="19"/>
  <c r="K471" i="19"/>
  <c r="J471" i="19"/>
  <c r="F471" i="19"/>
  <c r="K470" i="19"/>
  <c r="J470" i="19"/>
  <c r="F470" i="19"/>
  <c r="K469" i="19"/>
  <c r="J469" i="19"/>
  <c r="F469" i="19"/>
  <c r="K468" i="19"/>
  <c r="J468" i="19"/>
  <c r="F468" i="19"/>
  <c r="K467" i="19"/>
  <c r="J467" i="19"/>
  <c r="F467" i="19"/>
  <c r="K466" i="19"/>
  <c r="J466" i="19"/>
  <c r="F466" i="19"/>
  <c r="K465" i="19"/>
  <c r="J465" i="19"/>
  <c r="F465" i="19"/>
  <c r="K464" i="19"/>
  <c r="J464" i="19"/>
  <c r="F464" i="19"/>
  <c r="K463" i="19"/>
  <c r="J463" i="19"/>
  <c r="F463" i="19"/>
  <c r="K462" i="19"/>
  <c r="J462" i="19"/>
  <c r="F462" i="19"/>
  <c r="K461" i="19"/>
  <c r="J461" i="19"/>
  <c r="F461" i="19"/>
  <c r="K460" i="19"/>
  <c r="J460" i="19"/>
  <c r="F460" i="19"/>
  <c r="K459" i="19"/>
  <c r="J459" i="19"/>
  <c r="F459" i="19"/>
  <c r="K458" i="19"/>
  <c r="J458" i="19"/>
  <c r="F458" i="19"/>
  <c r="K457" i="19"/>
  <c r="J457" i="19"/>
  <c r="F457" i="19"/>
  <c r="K456" i="19"/>
  <c r="J456" i="19"/>
  <c r="F456" i="19"/>
  <c r="K455" i="19"/>
  <c r="J455" i="19"/>
  <c r="F455" i="19"/>
  <c r="K454" i="19"/>
  <c r="J454" i="19"/>
  <c r="F454" i="19"/>
  <c r="K453" i="19"/>
  <c r="J453" i="19"/>
  <c r="F453" i="19"/>
  <c r="K452" i="19"/>
  <c r="J452" i="19"/>
  <c r="F452" i="19"/>
  <c r="K451" i="19"/>
  <c r="J451" i="19"/>
  <c r="F451" i="19"/>
  <c r="K450" i="19"/>
  <c r="J450" i="19"/>
  <c r="F450" i="19"/>
  <c r="K449" i="19"/>
  <c r="J449" i="19"/>
  <c r="F449" i="19"/>
  <c r="K448" i="19"/>
  <c r="J448" i="19"/>
  <c r="F448" i="19"/>
  <c r="K447" i="19"/>
  <c r="J447" i="19"/>
  <c r="F447" i="19"/>
  <c r="K446" i="19"/>
  <c r="J446" i="19"/>
  <c r="F446" i="19"/>
  <c r="K445" i="19"/>
  <c r="J445" i="19"/>
  <c r="F445" i="19"/>
  <c r="K444" i="19"/>
  <c r="J444" i="19"/>
  <c r="F444" i="19"/>
  <c r="K443" i="19"/>
  <c r="J443" i="19"/>
  <c r="F443" i="19"/>
  <c r="K442" i="19"/>
  <c r="J442" i="19"/>
  <c r="F442" i="19"/>
  <c r="K441" i="19"/>
  <c r="J441" i="19"/>
  <c r="F441" i="19"/>
  <c r="K440" i="19"/>
  <c r="J440" i="19"/>
  <c r="F440" i="19"/>
  <c r="K439" i="19"/>
  <c r="J439" i="19"/>
  <c r="F439" i="19"/>
  <c r="K438" i="19"/>
  <c r="J438" i="19"/>
  <c r="F438" i="19"/>
  <c r="K437" i="19"/>
  <c r="J437" i="19"/>
  <c r="F437" i="19"/>
  <c r="K436" i="19"/>
  <c r="J436" i="19"/>
  <c r="F436" i="19"/>
  <c r="K435" i="19"/>
  <c r="J435" i="19"/>
  <c r="F435" i="19"/>
  <c r="K434" i="19"/>
  <c r="J434" i="19"/>
  <c r="F434" i="19"/>
  <c r="K433" i="19"/>
  <c r="J433" i="19"/>
  <c r="F433" i="19"/>
  <c r="K432" i="19"/>
  <c r="J432" i="19"/>
  <c r="F432" i="19"/>
  <c r="K431" i="19"/>
  <c r="J431" i="19"/>
  <c r="F431" i="19"/>
  <c r="K430" i="19"/>
  <c r="J430" i="19"/>
  <c r="F430" i="19"/>
  <c r="K429" i="19"/>
  <c r="J429" i="19"/>
  <c r="F429" i="19"/>
  <c r="K428" i="19"/>
  <c r="J428" i="19"/>
  <c r="F428" i="19"/>
  <c r="K427" i="19"/>
  <c r="J427" i="19"/>
  <c r="F427" i="19"/>
  <c r="K426" i="19"/>
  <c r="J426" i="19"/>
  <c r="F426" i="19"/>
  <c r="K425" i="19"/>
  <c r="J425" i="19"/>
  <c r="F425" i="19"/>
  <c r="K424" i="19"/>
  <c r="J424" i="19"/>
  <c r="F424" i="19"/>
  <c r="K423" i="19"/>
  <c r="J423" i="19"/>
  <c r="F423" i="19"/>
  <c r="K422" i="19"/>
  <c r="J422" i="19"/>
  <c r="F422" i="19"/>
  <c r="K421" i="19"/>
  <c r="J421" i="19"/>
  <c r="F421" i="19"/>
  <c r="K420" i="19"/>
  <c r="J420" i="19"/>
  <c r="F420" i="19"/>
  <c r="K419" i="19"/>
  <c r="J419" i="19"/>
  <c r="F419" i="19"/>
  <c r="K418" i="19"/>
  <c r="J418" i="19"/>
  <c r="F418" i="19"/>
  <c r="K417" i="19"/>
  <c r="J417" i="19"/>
  <c r="F417" i="19"/>
  <c r="K416" i="19"/>
  <c r="J416" i="19"/>
  <c r="F416" i="19"/>
  <c r="K415" i="19"/>
  <c r="J415" i="19"/>
  <c r="F415" i="19"/>
  <c r="K414" i="19"/>
  <c r="J414" i="19"/>
  <c r="F414" i="19"/>
  <c r="K413" i="19"/>
  <c r="J413" i="19"/>
  <c r="F413" i="19"/>
  <c r="K412" i="19"/>
  <c r="J412" i="19"/>
  <c r="F412" i="19"/>
  <c r="K411" i="19"/>
  <c r="J411" i="19"/>
  <c r="F411" i="19"/>
  <c r="K410" i="19"/>
  <c r="J410" i="19"/>
  <c r="F410" i="19"/>
  <c r="K409" i="19"/>
  <c r="J409" i="19"/>
  <c r="F409" i="19"/>
  <c r="K408" i="19"/>
  <c r="J408" i="19"/>
  <c r="F408" i="19"/>
  <c r="K407" i="19"/>
  <c r="J407" i="19"/>
  <c r="F407" i="19"/>
  <c r="K406" i="19"/>
  <c r="J406" i="19"/>
  <c r="F406" i="19"/>
  <c r="K405" i="19"/>
  <c r="J405" i="19"/>
  <c r="F405" i="19"/>
  <c r="K404" i="19"/>
  <c r="J404" i="19"/>
  <c r="F404" i="19"/>
  <c r="K403" i="19"/>
  <c r="J403" i="19"/>
  <c r="F403" i="19"/>
  <c r="K402" i="19"/>
  <c r="J402" i="19"/>
  <c r="F402" i="19"/>
  <c r="K401" i="19"/>
  <c r="J401" i="19"/>
  <c r="F401" i="19"/>
  <c r="K400" i="19"/>
  <c r="J400" i="19"/>
  <c r="F400" i="19"/>
  <c r="K399" i="19"/>
  <c r="J399" i="19"/>
  <c r="F399" i="19"/>
  <c r="K398" i="19"/>
  <c r="J398" i="19"/>
  <c r="F398" i="19"/>
  <c r="K397" i="19"/>
  <c r="J397" i="19"/>
  <c r="F397" i="19"/>
  <c r="K396" i="19"/>
  <c r="J396" i="19"/>
  <c r="F396" i="19"/>
  <c r="K395" i="19"/>
  <c r="J395" i="19"/>
  <c r="F395" i="19"/>
  <c r="K394" i="19"/>
  <c r="J394" i="19"/>
  <c r="F394" i="19"/>
  <c r="K393" i="19"/>
  <c r="J393" i="19"/>
  <c r="F393" i="19"/>
  <c r="K392" i="19"/>
  <c r="J392" i="19"/>
  <c r="F392" i="19"/>
  <c r="K391" i="19"/>
  <c r="J391" i="19"/>
  <c r="F391" i="19"/>
  <c r="K390" i="19"/>
  <c r="J390" i="19"/>
  <c r="F390" i="19"/>
  <c r="K389" i="19"/>
  <c r="J389" i="19"/>
  <c r="F389" i="19"/>
  <c r="K388" i="19"/>
  <c r="J388" i="19"/>
  <c r="F388" i="19"/>
  <c r="K387" i="19"/>
  <c r="J387" i="19"/>
  <c r="F387" i="19"/>
  <c r="K386" i="19"/>
  <c r="J386" i="19"/>
  <c r="F386" i="19"/>
  <c r="K385" i="19"/>
  <c r="J385" i="19"/>
  <c r="F385" i="19"/>
  <c r="K384" i="19"/>
  <c r="J384" i="19"/>
  <c r="F384" i="19"/>
  <c r="K383" i="19"/>
  <c r="J383" i="19"/>
  <c r="F383" i="19"/>
  <c r="K382" i="19"/>
  <c r="J382" i="19"/>
  <c r="F382" i="19"/>
  <c r="K381" i="19"/>
  <c r="J381" i="19"/>
  <c r="F381" i="19"/>
  <c r="K380" i="19"/>
  <c r="J380" i="19"/>
  <c r="F380" i="19"/>
  <c r="K379" i="19"/>
  <c r="J379" i="19"/>
  <c r="F379" i="19"/>
  <c r="K378" i="19"/>
  <c r="J378" i="19"/>
  <c r="F378" i="19"/>
  <c r="K377" i="19"/>
  <c r="J377" i="19"/>
  <c r="F377" i="19"/>
  <c r="K376" i="19"/>
  <c r="J376" i="19"/>
  <c r="F376" i="19"/>
  <c r="K375" i="19"/>
  <c r="J375" i="19"/>
  <c r="F375" i="19"/>
  <c r="K374" i="19"/>
  <c r="J374" i="19"/>
  <c r="F374" i="19"/>
  <c r="K373" i="19"/>
  <c r="J373" i="19"/>
  <c r="F373" i="19"/>
  <c r="K372" i="19"/>
  <c r="J372" i="19"/>
  <c r="F372" i="19"/>
  <c r="K370" i="19"/>
  <c r="J370" i="19"/>
  <c r="F370" i="19"/>
  <c r="K369" i="19"/>
  <c r="J369" i="19"/>
  <c r="F369" i="19"/>
  <c r="K368" i="19"/>
  <c r="J368" i="19"/>
  <c r="F368" i="19"/>
  <c r="K367" i="19"/>
  <c r="J367" i="19"/>
  <c r="F367" i="19"/>
  <c r="K366" i="19"/>
  <c r="J366" i="19"/>
  <c r="F366" i="19"/>
  <c r="K365" i="19"/>
  <c r="J365" i="19"/>
  <c r="F365" i="19"/>
  <c r="K364" i="19"/>
  <c r="J364" i="19"/>
  <c r="F364" i="19"/>
  <c r="K363" i="19"/>
  <c r="J363" i="19"/>
  <c r="F363" i="19"/>
  <c r="K362" i="19"/>
  <c r="J362" i="19"/>
  <c r="F362" i="19"/>
  <c r="K361" i="19"/>
  <c r="J361" i="19"/>
  <c r="F361" i="19"/>
  <c r="K360" i="19"/>
  <c r="J360" i="19"/>
  <c r="F360" i="19"/>
  <c r="K359" i="19"/>
  <c r="J359" i="19"/>
  <c r="F359" i="19"/>
  <c r="K357" i="19"/>
  <c r="J357" i="19"/>
  <c r="F357" i="19"/>
  <c r="K356" i="19"/>
  <c r="J356" i="19"/>
  <c r="F356" i="19"/>
  <c r="K355" i="19"/>
  <c r="J355" i="19"/>
  <c r="F355" i="19"/>
  <c r="K354" i="19"/>
  <c r="J354" i="19"/>
  <c r="F354" i="19"/>
  <c r="K353" i="19"/>
  <c r="J353" i="19"/>
  <c r="F353" i="19"/>
  <c r="K352" i="19"/>
  <c r="J352" i="19"/>
  <c r="F352" i="19"/>
  <c r="K351" i="19"/>
  <c r="J351" i="19"/>
  <c r="F351" i="19"/>
  <c r="K350" i="19"/>
  <c r="J350" i="19"/>
  <c r="F350" i="19"/>
  <c r="K349" i="19"/>
  <c r="J349" i="19"/>
  <c r="F349" i="19"/>
  <c r="K348" i="19"/>
  <c r="J348" i="19"/>
  <c r="F348" i="19"/>
  <c r="K347" i="19"/>
  <c r="J347" i="19"/>
  <c r="F347" i="19"/>
  <c r="K346" i="19"/>
  <c r="J346" i="19"/>
  <c r="F346" i="19"/>
  <c r="K345" i="19"/>
  <c r="J345" i="19"/>
  <c r="F345" i="19"/>
  <c r="K344" i="19"/>
  <c r="J344" i="19"/>
  <c r="F344" i="19"/>
  <c r="K343" i="19"/>
  <c r="J343" i="19"/>
  <c r="F343" i="19"/>
  <c r="K342" i="19"/>
  <c r="J342" i="19"/>
  <c r="F342" i="19"/>
  <c r="K341" i="19"/>
  <c r="J341" i="19"/>
  <c r="F341" i="19"/>
  <c r="K340" i="19"/>
  <c r="J340" i="19"/>
  <c r="F340" i="19"/>
  <c r="K339" i="19"/>
  <c r="J339" i="19"/>
  <c r="F339" i="19"/>
  <c r="K338" i="19"/>
  <c r="J338" i="19"/>
  <c r="F338" i="19"/>
  <c r="K337" i="19"/>
  <c r="J337" i="19"/>
  <c r="F337" i="19"/>
  <c r="K336" i="19"/>
  <c r="J336" i="19"/>
  <c r="F336" i="19"/>
  <c r="K335" i="19"/>
  <c r="J335" i="19"/>
  <c r="F335" i="19"/>
  <c r="K334" i="19"/>
  <c r="J334" i="19"/>
  <c r="F334" i="19"/>
  <c r="K333" i="19"/>
  <c r="J333" i="19"/>
  <c r="F333" i="19"/>
  <c r="K332" i="19"/>
  <c r="J332" i="19"/>
  <c r="F332" i="19"/>
  <c r="K331" i="19"/>
  <c r="J331" i="19"/>
  <c r="F331" i="19"/>
  <c r="K330" i="19"/>
  <c r="J330" i="19"/>
  <c r="F330" i="19"/>
  <c r="K329" i="19"/>
  <c r="J329" i="19"/>
  <c r="F329" i="19"/>
  <c r="K328" i="19"/>
  <c r="J328" i="19"/>
  <c r="F328" i="19"/>
  <c r="K327" i="19"/>
  <c r="J327" i="19"/>
  <c r="F327" i="19"/>
  <c r="K326" i="19"/>
  <c r="J326" i="19"/>
  <c r="F326" i="19"/>
  <c r="K325" i="19"/>
  <c r="J325" i="19"/>
  <c r="F325" i="19"/>
  <c r="K324" i="19"/>
  <c r="J324" i="19"/>
  <c r="F324" i="19"/>
  <c r="K323" i="19"/>
  <c r="J323" i="19"/>
  <c r="F323" i="19"/>
  <c r="K322" i="19"/>
  <c r="J322" i="19"/>
  <c r="F322" i="19"/>
  <c r="K321" i="19"/>
  <c r="J321" i="19"/>
  <c r="F321" i="19"/>
  <c r="K320" i="19"/>
  <c r="J320" i="19"/>
  <c r="F320" i="19"/>
  <c r="K319" i="19"/>
  <c r="J319" i="19"/>
  <c r="F319" i="19"/>
  <c r="K318" i="19"/>
  <c r="J318" i="19"/>
  <c r="F318" i="19"/>
  <c r="K317" i="19"/>
  <c r="J317" i="19"/>
  <c r="F317" i="19"/>
  <c r="K316" i="19"/>
  <c r="J316" i="19"/>
  <c r="F316" i="19"/>
  <c r="K315" i="19"/>
  <c r="J315" i="19"/>
  <c r="F315" i="19"/>
  <c r="K314" i="19"/>
  <c r="J314" i="19"/>
  <c r="F314" i="19"/>
  <c r="K313" i="19"/>
  <c r="J313" i="19"/>
  <c r="F313" i="19"/>
  <c r="K312" i="19"/>
  <c r="J312" i="19"/>
  <c r="F312" i="19"/>
  <c r="K311" i="19"/>
  <c r="J311" i="19"/>
  <c r="F311" i="19"/>
  <c r="K310" i="19"/>
  <c r="J310" i="19"/>
  <c r="F310" i="19"/>
  <c r="K309" i="19"/>
  <c r="J309" i="19"/>
  <c r="F309" i="19"/>
  <c r="K308" i="19"/>
  <c r="J308" i="19"/>
  <c r="F308" i="19"/>
  <c r="K307" i="19"/>
  <c r="J307" i="19"/>
  <c r="F307" i="19"/>
  <c r="K306" i="19"/>
  <c r="J306" i="19"/>
  <c r="F306" i="19"/>
  <c r="K305" i="19"/>
  <c r="J305" i="19"/>
  <c r="F305" i="19"/>
  <c r="K304" i="19"/>
  <c r="J304" i="19"/>
  <c r="F304" i="19"/>
  <c r="K303" i="19"/>
  <c r="J303" i="19"/>
  <c r="F303" i="19"/>
  <c r="K302" i="19"/>
  <c r="J302" i="19"/>
  <c r="F302" i="19"/>
  <c r="K301" i="19"/>
  <c r="J301" i="19"/>
  <c r="F301" i="19"/>
  <c r="K300" i="19"/>
  <c r="J300" i="19"/>
  <c r="F300" i="19"/>
  <c r="K299" i="19"/>
  <c r="J299" i="19"/>
  <c r="F299" i="19"/>
  <c r="K298" i="19"/>
  <c r="J298" i="19"/>
  <c r="F298" i="19"/>
  <c r="K297" i="19"/>
  <c r="J297" i="19"/>
  <c r="F297" i="19"/>
  <c r="K296" i="19"/>
  <c r="J296" i="19"/>
  <c r="F296" i="19"/>
  <c r="K295" i="19"/>
  <c r="J295" i="19"/>
  <c r="F295" i="19"/>
  <c r="K294" i="19"/>
  <c r="J294" i="19"/>
  <c r="F294" i="19"/>
  <c r="K293" i="19"/>
  <c r="J293" i="19"/>
  <c r="F293" i="19"/>
  <c r="K292" i="19"/>
  <c r="J292" i="19"/>
  <c r="F292" i="19"/>
  <c r="K291" i="19"/>
  <c r="J291" i="19"/>
  <c r="F291" i="19"/>
  <c r="K290" i="19"/>
  <c r="J290" i="19"/>
  <c r="F290" i="19"/>
  <c r="K289" i="19"/>
  <c r="J289" i="19"/>
  <c r="F289" i="19"/>
  <c r="K288" i="19"/>
  <c r="J288" i="19"/>
  <c r="F288" i="19"/>
  <c r="K287" i="19"/>
  <c r="J287" i="19"/>
  <c r="F287" i="19"/>
  <c r="K286" i="19"/>
  <c r="J286" i="19"/>
  <c r="F286" i="19"/>
  <c r="K285" i="19"/>
  <c r="J285" i="19"/>
  <c r="F285" i="19"/>
  <c r="K284" i="19"/>
  <c r="J284" i="19"/>
  <c r="F284" i="19"/>
  <c r="K283" i="19"/>
  <c r="J283" i="19"/>
  <c r="F283" i="19"/>
  <c r="K282" i="19"/>
  <c r="J282" i="19"/>
  <c r="F282" i="19"/>
  <c r="K281" i="19"/>
  <c r="J281" i="19"/>
  <c r="F281" i="19"/>
  <c r="K280" i="19"/>
  <c r="J280" i="19"/>
  <c r="F280" i="19"/>
  <c r="K279" i="19"/>
  <c r="J279" i="19"/>
  <c r="F279" i="19"/>
  <c r="K278" i="19"/>
  <c r="J278" i="19"/>
  <c r="F278" i="19"/>
  <c r="K277" i="19"/>
  <c r="J277" i="19"/>
  <c r="F277" i="19"/>
  <c r="K276" i="19"/>
  <c r="J276" i="19"/>
  <c r="F276" i="19"/>
  <c r="K275" i="19"/>
  <c r="J275" i="19"/>
  <c r="F275" i="19"/>
  <c r="K274" i="19"/>
  <c r="J274" i="19"/>
  <c r="F274" i="19"/>
  <c r="K273" i="19"/>
  <c r="J273" i="19"/>
  <c r="F273" i="19"/>
  <c r="K272" i="19"/>
  <c r="J272" i="19"/>
  <c r="F272" i="19"/>
  <c r="K271" i="19"/>
  <c r="J271" i="19"/>
  <c r="F271" i="19"/>
  <c r="K270" i="19"/>
  <c r="J270" i="19"/>
  <c r="F270" i="19"/>
  <c r="K269" i="19"/>
  <c r="J269" i="19"/>
  <c r="F269" i="19"/>
  <c r="K268" i="19"/>
  <c r="J268" i="19"/>
  <c r="F268" i="19"/>
  <c r="K267" i="19"/>
  <c r="J267" i="19"/>
  <c r="F267" i="19"/>
  <c r="K266" i="19"/>
  <c r="J266" i="19"/>
  <c r="F266" i="19"/>
  <c r="K265" i="19"/>
  <c r="J265" i="19"/>
  <c r="F265" i="19"/>
  <c r="K264" i="19"/>
  <c r="J264" i="19"/>
  <c r="F264" i="19"/>
  <c r="K263" i="19"/>
  <c r="J263" i="19"/>
  <c r="F263" i="19"/>
  <c r="K262" i="19"/>
  <c r="J262" i="19"/>
  <c r="F262" i="19"/>
  <c r="K261" i="19"/>
  <c r="J261" i="19"/>
  <c r="F261" i="19"/>
  <c r="K260" i="19"/>
  <c r="J260" i="19"/>
  <c r="F260" i="19"/>
  <c r="K259" i="19"/>
  <c r="J259" i="19"/>
  <c r="F259" i="19"/>
  <c r="K258" i="19"/>
  <c r="J258" i="19"/>
  <c r="F258" i="19"/>
  <c r="K257" i="19"/>
  <c r="J257" i="19"/>
  <c r="F257" i="19"/>
  <c r="K256" i="19"/>
  <c r="J256" i="19"/>
  <c r="F256" i="19"/>
  <c r="K255" i="19"/>
  <c r="J255" i="19"/>
  <c r="F255" i="19"/>
  <c r="K254" i="19"/>
  <c r="J254" i="19"/>
  <c r="F254" i="19"/>
  <c r="K253" i="19"/>
  <c r="J253" i="19"/>
  <c r="F253" i="19"/>
  <c r="K252" i="19"/>
  <c r="J252" i="19"/>
  <c r="F252" i="19"/>
  <c r="K251" i="19"/>
  <c r="J251" i="19"/>
  <c r="F251" i="19"/>
  <c r="K250" i="19"/>
  <c r="J250" i="19"/>
  <c r="F250" i="19"/>
  <c r="K249" i="19"/>
  <c r="J249" i="19"/>
  <c r="F249" i="19"/>
  <c r="K248" i="19"/>
  <c r="J248" i="19"/>
  <c r="F248" i="19"/>
  <c r="K247" i="19"/>
  <c r="J247" i="19"/>
  <c r="F247" i="19"/>
  <c r="K246" i="19"/>
  <c r="J246" i="19"/>
  <c r="F246" i="19"/>
  <c r="K245" i="19"/>
  <c r="J245" i="19"/>
  <c r="F245" i="19"/>
  <c r="K244" i="19"/>
  <c r="J244" i="19"/>
  <c r="F244" i="19"/>
  <c r="K243" i="19"/>
  <c r="J243" i="19"/>
  <c r="F243" i="19"/>
  <c r="K242" i="19"/>
  <c r="J242" i="19"/>
  <c r="F242" i="19"/>
  <c r="K241" i="19"/>
  <c r="J241" i="19"/>
  <c r="F241" i="19"/>
  <c r="K240" i="19"/>
  <c r="J240" i="19"/>
  <c r="F240" i="19"/>
  <c r="K239" i="19"/>
  <c r="J239" i="19"/>
  <c r="F239" i="19"/>
  <c r="K238" i="19"/>
  <c r="J238" i="19"/>
  <c r="F238" i="19"/>
  <c r="K237" i="19"/>
  <c r="J237" i="19"/>
  <c r="F237" i="19"/>
  <c r="K236" i="19"/>
  <c r="J236" i="19"/>
  <c r="F236" i="19"/>
  <c r="K235" i="19"/>
  <c r="J235" i="19"/>
  <c r="F235" i="19"/>
  <c r="K234" i="19"/>
  <c r="J234" i="19"/>
  <c r="F234" i="19"/>
  <c r="K233" i="19"/>
  <c r="J233" i="19"/>
  <c r="F233" i="19"/>
  <c r="K232" i="19"/>
  <c r="J232" i="19"/>
  <c r="F232" i="19"/>
  <c r="K231" i="19"/>
  <c r="J231" i="19"/>
  <c r="F231" i="19"/>
  <c r="K230" i="19"/>
  <c r="J230" i="19"/>
  <c r="F230" i="19"/>
  <c r="K229" i="19"/>
  <c r="J229" i="19"/>
  <c r="F229" i="19"/>
  <c r="K228" i="19"/>
  <c r="J228" i="19"/>
  <c r="F228" i="19"/>
  <c r="K227" i="19"/>
  <c r="J227" i="19"/>
  <c r="F227" i="19"/>
  <c r="K226" i="19"/>
  <c r="J226" i="19"/>
  <c r="F226" i="19"/>
  <c r="K225" i="19"/>
  <c r="J225" i="19"/>
  <c r="F225" i="19"/>
  <c r="K224" i="19"/>
  <c r="J224" i="19"/>
  <c r="F224" i="19"/>
  <c r="K223" i="19"/>
  <c r="J223" i="19"/>
  <c r="F223" i="19"/>
  <c r="K222" i="19"/>
  <c r="J222" i="19"/>
  <c r="F222" i="19"/>
  <c r="K221" i="19"/>
  <c r="J221" i="19"/>
  <c r="F221" i="19"/>
  <c r="K220" i="19"/>
  <c r="J220" i="19"/>
  <c r="F220" i="19"/>
  <c r="K219" i="19"/>
  <c r="J219" i="19"/>
  <c r="F219" i="19"/>
  <c r="K218" i="19"/>
  <c r="J218" i="19"/>
  <c r="F218" i="19"/>
  <c r="K217" i="19"/>
  <c r="J217" i="19"/>
  <c r="F217" i="19"/>
  <c r="K216" i="19"/>
  <c r="J216" i="19"/>
  <c r="F216" i="19"/>
  <c r="K215" i="19"/>
  <c r="J215" i="19"/>
  <c r="F215" i="19"/>
  <c r="K214" i="19"/>
  <c r="J214" i="19"/>
  <c r="F214" i="19"/>
  <c r="K213" i="19"/>
  <c r="J213" i="19"/>
  <c r="F213" i="19"/>
  <c r="K212" i="19"/>
  <c r="J212" i="19"/>
  <c r="F212" i="19"/>
  <c r="K211" i="19"/>
  <c r="J211" i="19"/>
  <c r="F211" i="19"/>
  <c r="K210" i="19"/>
  <c r="J210" i="19"/>
  <c r="F210" i="19"/>
  <c r="K209" i="19"/>
  <c r="J209" i="19"/>
  <c r="F209" i="19"/>
  <c r="K208" i="19"/>
  <c r="J208" i="19"/>
  <c r="F208" i="19"/>
  <c r="K207" i="19"/>
  <c r="J207" i="19"/>
  <c r="F207" i="19"/>
  <c r="K206" i="19"/>
  <c r="J206" i="19"/>
  <c r="F206" i="19"/>
  <c r="K205" i="19"/>
  <c r="J205" i="19"/>
  <c r="F205" i="19"/>
  <c r="K204" i="19"/>
  <c r="J204" i="19"/>
  <c r="F204" i="19"/>
  <c r="K203" i="19"/>
  <c r="J203" i="19"/>
  <c r="F203" i="19"/>
  <c r="K202" i="19"/>
  <c r="J202" i="19"/>
  <c r="F202" i="19"/>
  <c r="K201" i="19"/>
  <c r="J201" i="19"/>
  <c r="F201" i="19"/>
  <c r="K200" i="19"/>
  <c r="Y27" i="19" s="1"/>
  <c r="J200" i="19"/>
  <c r="F200" i="19"/>
  <c r="K199" i="19"/>
  <c r="J199" i="19"/>
  <c r="F199" i="19"/>
  <c r="K198" i="19"/>
  <c r="J198" i="19"/>
  <c r="F198" i="19"/>
  <c r="K197" i="19"/>
  <c r="J197" i="19"/>
  <c r="F197" i="19"/>
  <c r="K196" i="19"/>
  <c r="J196" i="19"/>
  <c r="F196" i="19"/>
  <c r="K195" i="19"/>
  <c r="J195" i="19"/>
  <c r="F195" i="19"/>
  <c r="K194" i="19"/>
  <c r="J194" i="19"/>
  <c r="F194" i="19"/>
  <c r="K193" i="19"/>
  <c r="J193" i="19"/>
  <c r="F193" i="19"/>
  <c r="K192" i="19"/>
  <c r="J192" i="19"/>
  <c r="F192" i="19"/>
  <c r="K191" i="19"/>
  <c r="J191" i="19"/>
  <c r="F191" i="19"/>
  <c r="K190" i="19"/>
  <c r="J190" i="19"/>
  <c r="F190" i="19"/>
  <c r="K189" i="19"/>
  <c r="J189" i="19"/>
  <c r="F189" i="19"/>
  <c r="K188" i="19"/>
  <c r="J188" i="19"/>
  <c r="F188" i="19"/>
  <c r="K187" i="19"/>
  <c r="J187" i="19"/>
  <c r="F187" i="19"/>
  <c r="K186" i="19"/>
  <c r="J186" i="19"/>
  <c r="F186" i="19"/>
  <c r="K185" i="19"/>
  <c r="J185" i="19"/>
  <c r="F185" i="19"/>
  <c r="K184" i="19"/>
  <c r="J184" i="19"/>
  <c r="F184" i="19"/>
  <c r="K183" i="19"/>
  <c r="J183" i="19"/>
  <c r="F183" i="19"/>
  <c r="K182" i="19"/>
  <c r="J182" i="19"/>
  <c r="F182" i="19"/>
  <c r="K181" i="19"/>
  <c r="J181" i="19"/>
  <c r="F181" i="19"/>
  <c r="K180" i="19"/>
  <c r="J180" i="19"/>
  <c r="F180" i="19"/>
  <c r="K179" i="19"/>
  <c r="J179" i="19"/>
  <c r="F179" i="19"/>
  <c r="K178" i="19"/>
  <c r="J178" i="19"/>
  <c r="F178" i="19"/>
  <c r="K177" i="19"/>
  <c r="J177" i="19"/>
  <c r="F177" i="19"/>
  <c r="K176" i="19"/>
  <c r="J176" i="19"/>
  <c r="F176" i="19"/>
  <c r="K175" i="19"/>
  <c r="J175" i="19"/>
  <c r="F175" i="19"/>
  <c r="K174" i="19"/>
  <c r="J174" i="19"/>
  <c r="F174" i="19"/>
  <c r="K173" i="19"/>
  <c r="J173" i="19"/>
  <c r="F173" i="19"/>
  <c r="K172" i="19"/>
  <c r="J172" i="19"/>
  <c r="F172" i="19"/>
  <c r="K171" i="19"/>
  <c r="J171" i="19"/>
  <c r="F171" i="19"/>
  <c r="K170" i="19"/>
  <c r="J170" i="19"/>
  <c r="F170" i="19"/>
  <c r="K169" i="19"/>
  <c r="J169" i="19"/>
  <c r="F169" i="19"/>
  <c r="K168" i="19"/>
  <c r="J168" i="19"/>
  <c r="F168" i="19"/>
  <c r="K167" i="19"/>
  <c r="J167" i="19"/>
  <c r="F167" i="19"/>
  <c r="K166" i="19"/>
  <c r="J166" i="19"/>
  <c r="F166" i="19"/>
  <c r="K165" i="19"/>
  <c r="J165" i="19"/>
  <c r="F165" i="19"/>
  <c r="K164" i="19"/>
  <c r="J164" i="19"/>
  <c r="F164" i="19"/>
  <c r="K163" i="19"/>
  <c r="J163" i="19"/>
  <c r="F163" i="19"/>
  <c r="K162" i="19"/>
  <c r="J162" i="19"/>
  <c r="F162" i="19"/>
  <c r="K161" i="19"/>
  <c r="J161" i="19"/>
  <c r="F161" i="19"/>
  <c r="K160" i="19"/>
  <c r="J160" i="19"/>
  <c r="F160" i="19"/>
  <c r="K159" i="19"/>
  <c r="J159" i="19"/>
  <c r="F159" i="19"/>
  <c r="K158" i="19"/>
  <c r="J158" i="19"/>
  <c r="F158" i="19"/>
  <c r="K157" i="19"/>
  <c r="J157" i="19"/>
  <c r="F157" i="19"/>
  <c r="K156" i="19"/>
  <c r="J156" i="19"/>
  <c r="F156" i="19"/>
  <c r="K155" i="19"/>
  <c r="J155" i="19"/>
  <c r="F155" i="19"/>
  <c r="K154" i="19"/>
  <c r="J154" i="19"/>
  <c r="F154" i="19"/>
  <c r="K153" i="19"/>
  <c r="J153" i="19"/>
  <c r="F153" i="19"/>
  <c r="K152" i="19"/>
  <c r="J152" i="19"/>
  <c r="F152" i="19"/>
  <c r="K151" i="19"/>
  <c r="J151" i="19"/>
  <c r="F151" i="19"/>
  <c r="K150" i="19"/>
  <c r="J150" i="19"/>
  <c r="F150" i="19"/>
  <c r="K149" i="19"/>
  <c r="J149" i="19"/>
  <c r="F149" i="19"/>
  <c r="K148" i="19"/>
  <c r="J148" i="19"/>
  <c r="F148" i="19"/>
  <c r="K147" i="19"/>
  <c r="J147" i="19"/>
  <c r="F147" i="19"/>
  <c r="K146" i="19"/>
  <c r="J146" i="19"/>
  <c r="F146" i="19"/>
  <c r="K145" i="19"/>
  <c r="J145" i="19"/>
  <c r="F145" i="19"/>
  <c r="K144" i="19"/>
  <c r="J144" i="19"/>
  <c r="F144" i="19"/>
  <c r="K143" i="19"/>
  <c r="J143" i="19"/>
  <c r="F143" i="19"/>
  <c r="K142" i="19"/>
  <c r="J142" i="19"/>
  <c r="F142" i="19"/>
  <c r="K141" i="19"/>
  <c r="J141" i="19"/>
  <c r="F141" i="19"/>
  <c r="K140" i="19"/>
  <c r="J140" i="19"/>
  <c r="F140" i="19"/>
  <c r="K139" i="19"/>
  <c r="J139" i="19"/>
  <c r="F139" i="19"/>
  <c r="K138" i="19"/>
  <c r="J138" i="19"/>
  <c r="F138" i="19"/>
  <c r="K137" i="19"/>
  <c r="J137" i="19"/>
  <c r="F137" i="19"/>
  <c r="K136" i="19"/>
  <c r="J136" i="19"/>
  <c r="F136" i="19"/>
  <c r="K135" i="19"/>
  <c r="J135" i="19"/>
  <c r="F135" i="19"/>
  <c r="K134" i="19"/>
  <c r="J134" i="19"/>
  <c r="F134" i="19"/>
  <c r="K133" i="19"/>
  <c r="J133" i="19"/>
  <c r="F133" i="19"/>
  <c r="K132" i="19"/>
  <c r="J132" i="19"/>
  <c r="F132" i="19"/>
  <c r="K131" i="19"/>
  <c r="J131" i="19"/>
  <c r="F131" i="19"/>
  <c r="K130" i="19"/>
  <c r="J130" i="19"/>
  <c r="F130" i="19"/>
  <c r="K129" i="19"/>
  <c r="J129" i="19"/>
  <c r="F129" i="19"/>
  <c r="K128" i="19"/>
  <c r="J128" i="19"/>
  <c r="F128" i="19"/>
  <c r="K127" i="19"/>
  <c r="J127" i="19"/>
  <c r="F127" i="19"/>
  <c r="K126" i="19"/>
  <c r="J126" i="19"/>
  <c r="F126" i="19"/>
  <c r="K125" i="19"/>
  <c r="J125" i="19"/>
  <c r="F125" i="19"/>
  <c r="K124" i="19"/>
  <c r="J124" i="19"/>
  <c r="F124" i="19"/>
  <c r="K123" i="19"/>
  <c r="J123" i="19"/>
  <c r="F123" i="19"/>
  <c r="K122" i="19"/>
  <c r="J122" i="19"/>
  <c r="F122" i="19"/>
  <c r="K121" i="19"/>
  <c r="J121" i="19"/>
  <c r="F121" i="19"/>
  <c r="K120" i="19"/>
  <c r="J120" i="19"/>
  <c r="F120" i="19"/>
  <c r="K119" i="19"/>
  <c r="J119" i="19"/>
  <c r="F119" i="19"/>
  <c r="K118" i="19"/>
  <c r="J118" i="19"/>
  <c r="F118" i="19"/>
  <c r="K117" i="19"/>
  <c r="J117" i="19"/>
  <c r="F117" i="19"/>
  <c r="K116" i="19"/>
  <c r="J116" i="19"/>
  <c r="F116" i="19"/>
  <c r="K115" i="19"/>
  <c r="J115" i="19"/>
  <c r="F115" i="19"/>
  <c r="K114" i="19"/>
  <c r="J114" i="19"/>
  <c r="F114" i="19"/>
  <c r="K113" i="19"/>
  <c r="J113" i="19"/>
  <c r="F113" i="19"/>
  <c r="K112" i="19"/>
  <c r="J112" i="19"/>
  <c r="F112" i="19"/>
  <c r="K111" i="19"/>
  <c r="J111" i="19"/>
  <c r="F111" i="19"/>
  <c r="K110" i="19"/>
  <c r="J110" i="19"/>
  <c r="F110" i="19"/>
  <c r="K109" i="19"/>
  <c r="J109" i="19"/>
  <c r="F109" i="19"/>
  <c r="K108" i="19"/>
  <c r="J108" i="19"/>
  <c r="F108" i="19"/>
  <c r="K107" i="19"/>
  <c r="J107" i="19"/>
  <c r="F107" i="19"/>
  <c r="K106" i="19"/>
  <c r="J106" i="19"/>
  <c r="F106" i="19"/>
  <c r="K105" i="19"/>
  <c r="J105" i="19"/>
  <c r="F105" i="19"/>
  <c r="K104" i="19"/>
  <c r="J104" i="19"/>
  <c r="F104" i="19"/>
  <c r="K103" i="19"/>
  <c r="J103" i="19"/>
  <c r="F103" i="19"/>
  <c r="K102" i="19"/>
  <c r="J102" i="19"/>
  <c r="F102" i="19"/>
  <c r="K101" i="19"/>
  <c r="J101" i="19"/>
  <c r="F101" i="19"/>
  <c r="K100" i="19"/>
  <c r="J100" i="19"/>
  <c r="F100" i="19"/>
  <c r="K99" i="19"/>
  <c r="J99" i="19"/>
  <c r="F99" i="19"/>
  <c r="K98" i="19"/>
  <c r="J98" i="19"/>
  <c r="F98" i="19"/>
  <c r="K97" i="19"/>
  <c r="J97" i="19"/>
  <c r="F97" i="19"/>
  <c r="K96" i="19"/>
  <c r="J96" i="19"/>
  <c r="F96" i="19"/>
  <c r="K95" i="19"/>
  <c r="J95" i="19"/>
  <c r="F95" i="19"/>
  <c r="K94" i="19"/>
  <c r="J94" i="19"/>
  <c r="F94" i="19"/>
  <c r="K93" i="19"/>
  <c r="J93" i="19"/>
  <c r="F93" i="19"/>
  <c r="K92" i="19"/>
  <c r="J92" i="19"/>
  <c r="F92" i="19"/>
  <c r="K91" i="19"/>
  <c r="J91" i="19"/>
  <c r="F91" i="19"/>
  <c r="K90" i="19"/>
  <c r="J90" i="19"/>
  <c r="F90" i="19"/>
  <c r="K89" i="19"/>
  <c r="J89" i="19"/>
  <c r="F89" i="19"/>
  <c r="K88" i="19"/>
  <c r="J88" i="19"/>
  <c r="F88" i="19"/>
  <c r="K87" i="19"/>
  <c r="J87" i="19"/>
  <c r="F87" i="19"/>
  <c r="K86" i="19"/>
  <c r="J86" i="19"/>
  <c r="F86" i="19"/>
  <c r="K85" i="19"/>
  <c r="J85" i="19"/>
  <c r="F85" i="19"/>
  <c r="K84" i="19"/>
  <c r="J84" i="19"/>
  <c r="F84" i="19"/>
  <c r="K83" i="19"/>
  <c r="J83" i="19"/>
  <c r="F83" i="19"/>
  <c r="K82" i="19"/>
  <c r="J82" i="19"/>
  <c r="F82" i="19"/>
  <c r="K81" i="19"/>
  <c r="J81" i="19"/>
  <c r="F81" i="19"/>
  <c r="K80" i="19"/>
  <c r="J80" i="19"/>
  <c r="F80" i="19"/>
  <c r="K79" i="19"/>
  <c r="J79" i="19"/>
  <c r="F79" i="19"/>
  <c r="K78" i="19"/>
  <c r="J78" i="19"/>
  <c r="F78" i="19"/>
  <c r="K77" i="19"/>
  <c r="J77" i="19"/>
  <c r="F77" i="19"/>
  <c r="K76" i="19"/>
  <c r="J76" i="19"/>
  <c r="F76" i="19"/>
  <c r="K75" i="19"/>
  <c r="J75" i="19"/>
  <c r="F75" i="19"/>
  <c r="K74" i="19"/>
  <c r="J74" i="19"/>
  <c r="F74" i="19"/>
  <c r="K73" i="19"/>
  <c r="J73" i="19"/>
  <c r="F73" i="19"/>
  <c r="K72" i="19"/>
  <c r="J72" i="19"/>
  <c r="F72" i="19"/>
  <c r="K71" i="19"/>
  <c r="J71" i="19"/>
  <c r="F71" i="19"/>
  <c r="K70" i="19"/>
  <c r="J70" i="19"/>
  <c r="F70" i="19"/>
  <c r="K69" i="19"/>
  <c r="J69" i="19"/>
  <c r="F69" i="19"/>
  <c r="K68" i="19"/>
  <c r="J68" i="19"/>
  <c r="F68" i="19"/>
  <c r="K67" i="19"/>
  <c r="J67" i="19"/>
  <c r="F67" i="19"/>
  <c r="K66" i="19"/>
  <c r="J66" i="19"/>
  <c r="F66" i="19"/>
  <c r="K65" i="19"/>
  <c r="J65" i="19"/>
  <c r="F65" i="19"/>
  <c r="K64" i="19"/>
  <c r="J64" i="19"/>
  <c r="F64" i="19"/>
  <c r="K63" i="19"/>
  <c r="J63" i="19"/>
  <c r="F63" i="19"/>
  <c r="K62" i="19"/>
  <c r="J62" i="19"/>
  <c r="F62" i="19"/>
  <c r="K61" i="19"/>
  <c r="J61" i="19"/>
  <c r="F61" i="19"/>
  <c r="K60" i="19"/>
  <c r="J60" i="19"/>
  <c r="F60" i="19"/>
  <c r="K59" i="19"/>
  <c r="J59" i="19"/>
  <c r="F59" i="19"/>
  <c r="K58" i="19"/>
  <c r="J58" i="19"/>
  <c r="F58" i="19"/>
  <c r="K57" i="19"/>
  <c r="J57" i="19"/>
  <c r="F57" i="19"/>
  <c r="K56" i="19"/>
  <c r="J56" i="19"/>
  <c r="F56" i="19"/>
  <c r="K55" i="19"/>
  <c r="J55" i="19"/>
  <c r="F55" i="19"/>
  <c r="K54" i="19"/>
  <c r="J54" i="19"/>
  <c r="F54" i="19"/>
  <c r="K53" i="19"/>
  <c r="J53" i="19"/>
  <c r="F53" i="19"/>
  <c r="K52" i="19"/>
  <c r="J52" i="19"/>
  <c r="F52" i="19"/>
  <c r="K51" i="19"/>
  <c r="J51" i="19"/>
  <c r="F51" i="19"/>
  <c r="K50" i="19"/>
  <c r="J50" i="19"/>
  <c r="F50" i="19"/>
  <c r="K49" i="19"/>
  <c r="J49" i="19"/>
  <c r="F49" i="19"/>
  <c r="K48" i="19"/>
  <c r="J48" i="19"/>
  <c r="F48" i="19"/>
  <c r="K47" i="19"/>
  <c r="J47" i="19"/>
  <c r="F47" i="19"/>
  <c r="K46" i="19"/>
  <c r="J46" i="19"/>
  <c r="F46" i="19"/>
  <c r="K45" i="19"/>
  <c r="J45" i="19"/>
  <c r="F45" i="19"/>
  <c r="K44" i="19"/>
  <c r="J44" i="19"/>
  <c r="F44" i="19"/>
  <c r="K43" i="19"/>
  <c r="J43" i="19"/>
  <c r="F43" i="19"/>
  <c r="K42" i="19"/>
  <c r="J42" i="19"/>
  <c r="F42" i="19"/>
  <c r="K41" i="19"/>
  <c r="J41" i="19"/>
  <c r="F41" i="19"/>
  <c r="K40" i="19"/>
  <c r="J40" i="19"/>
  <c r="F40" i="19"/>
  <c r="K39" i="19"/>
  <c r="J39" i="19"/>
  <c r="F39" i="19"/>
  <c r="K38" i="19"/>
  <c r="J38" i="19"/>
  <c r="F38" i="19"/>
  <c r="K37" i="19"/>
  <c r="J37" i="19"/>
  <c r="F37" i="19"/>
  <c r="K36" i="19"/>
  <c r="J36" i="19"/>
  <c r="F36" i="19"/>
  <c r="K35" i="19"/>
  <c r="J35" i="19"/>
  <c r="F35" i="19"/>
  <c r="K34" i="19"/>
  <c r="J34" i="19"/>
  <c r="F34" i="19"/>
  <c r="K33" i="19"/>
  <c r="J33" i="19"/>
  <c r="F33" i="19"/>
  <c r="K32" i="19"/>
  <c r="J32" i="19"/>
  <c r="F32" i="19"/>
  <c r="K31" i="19"/>
  <c r="J31" i="19"/>
  <c r="F31" i="19"/>
  <c r="K30" i="19"/>
  <c r="J30" i="19"/>
  <c r="F30" i="19"/>
  <c r="K29" i="19"/>
  <c r="J29" i="19"/>
  <c r="F29" i="19"/>
  <c r="K28" i="19"/>
  <c r="J28" i="19"/>
  <c r="F28" i="19"/>
  <c r="K27" i="19"/>
  <c r="J27" i="19"/>
  <c r="F27" i="19"/>
  <c r="K26" i="19"/>
  <c r="J26" i="19"/>
  <c r="F26" i="19"/>
  <c r="K25" i="19"/>
  <c r="J25" i="19"/>
  <c r="F25" i="19"/>
  <c r="K24" i="19"/>
  <c r="J24" i="19"/>
  <c r="F24" i="19"/>
  <c r="K23" i="19"/>
  <c r="J23" i="19"/>
  <c r="F23" i="19"/>
  <c r="K22" i="19"/>
  <c r="J22" i="19"/>
  <c r="F22" i="19"/>
  <c r="K21" i="19"/>
  <c r="J21" i="19"/>
  <c r="F21" i="19"/>
  <c r="K20" i="19"/>
  <c r="J20" i="19"/>
  <c r="F20" i="19"/>
  <c r="K19" i="19"/>
  <c r="J19" i="19"/>
  <c r="F19" i="19"/>
  <c r="K18" i="19"/>
  <c r="J18" i="19"/>
  <c r="F18" i="19"/>
  <c r="K17" i="19"/>
  <c r="J17" i="19"/>
  <c r="F17" i="19"/>
  <c r="K16" i="19"/>
  <c r="J16" i="19"/>
  <c r="F16" i="19"/>
  <c r="K15" i="19"/>
  <c r="J15" i="19"/>
  <c r="F15" i="19"/>
  <c r="K14" i="19"/>
  <c r="J14" i="19"/>
  <c r="F14" i="19"/>
  <c r="K13" i="19"/>
  <c r="J13" i="19"/>
  <c r="F13" i="19"/>
  <c r="K12" i="19"/>
  <c r="J12" i="19"/>
  <c r="F12" i="19"/>
  <c r="K11" i="19"/>
  <c r="J11" i="19"/>
  <c r="F11" i="19"/>
  <c r="K10" i="19"/>
  <c r="J10" i="19"/>
  <c r="F10" i="19"/>
  <c r="K9" i="19"/>
  <c r="J9" i="19"/>
  <c r="F9" i="19"/>
  <c r="K8" i="19"/>
  <c r="J8" i="19"/>
  <c r="F8" i="19"/>
  <c r="K7" i="19"/>
  <c r="J7" i="19"/>
  <c r="F7" i="19"/>
  <c r="K6" i="19"/>
  <c r="J6" i="19"/>
  <c r="F6" i="19"/>
  <c r="K5" i="19"/>
  <c r="J5" i="19"/>
  <c r="F5" i="19"/>
  <c r="K4" i="19"/>
  <c r="J4" i="19"/>
  <c r="F4" i="19"/>
  <c r="K3" i="19"/>
  <c r="J3" i="19"/>
  <c r="F3" i="19"/>
  <c r="K2" i="19"/>
  <c r="J2" i="19"/>
  <c r="F2" i="19"/>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2"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2" i="13"/>
  <c r="C5" i="12"/>
  <c r="C3" i="12"/>
  <c r="C4" i="12"/>
  <c r="E8" i="10"/>
  <c r="E6" i="10"/>
  <c r="G5" i="10"/>
  <c r="G4" i="10"/>
  <c r="D4" i="10"/>
  <c r="D5" i="10"/>
  <c r="C17" i="3"/>
  <c r="B7" i="9"/>
  <c r="B6" i="9"/>
  <c r="B5" i="9"/>
  <c r="B4" i="9"/>
  <c r="B3" i="9"/>
  <c r="B2" i="9"/>
  <c r="C11" i="8"/>
  <c r="C9" i="8"/>
  <c r="C8" i="8"/>
  <c r="C7" i="8"/>
  <c r="C3" i="5"/>
  <c r="D3" i="5"/>
  <c r="E3" i="5"/>
  <c r="F3" i="5"/>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2" i="4"/>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6" i="3"/>
  <c r="C15" i="3"/>
  <c r="C14" i="3"/>
  <c r="C13" i="3"/>
  <c r="C12" i="3"/>
  <c r="C11" i="3"/>
  <c r="C10" i="3"/>
  <c r="C9" i="3"/>
  <c r="C8" i="3"/>
  <c r="C7" i="3"/>
  <c r="C6" i="3"/>
  <c r="C5" i="3"/>
  <c r="C4" i="3"/>
  <c r="C3"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2" i="3"/>
  <c r="A502" i="3"/>
  <c r="A50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<sst xmlns="http://schemas.openxmlformats.org/spreadsheetml/2006/main" count="37543" uniqueCount="2147">
  <si>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</si>
  <si>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</si>
  <si>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</si>
  <si>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</si>
  <si>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</si>
  <si>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</si>
  <si>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</si>
  <si>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</si>
  <si>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</si>
  <si>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</si>
  <si>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</si>
  <si>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</si>
  <si>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</si>
  <si>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</si>
  <si>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</si>
  <si>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</si>
  <si>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</si>
  <si>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</si>
  <si>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</si>
  <si>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</si>
  <si>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</si>
  <si>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</si>
  <si>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</si>
  <si>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</si>
  <si>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</si>
  <si>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</si>
  <si>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</si>
  <si>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</si>
  <si>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</si>
  <si>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</si>
  <si>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</si>
  <si>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</si>
  <si>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</si>
  <si>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</si>
  <si>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</si>
  <si>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</si>
  <si>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</si>
  <si>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</si>
  <si>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</si>
  <si>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</si>
  <si>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</si>
  <si>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</si>
  <si>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</si>
  <si>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</si>
  <si>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</si>
  <si>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</si>
  <si>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</si>
  <si>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</si>
  <si>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</si>
  <si>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</si>
  <si>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</si>
  <si>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</si>
  <si>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</si>
  <si>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</si>
  <si>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</si>
  <si>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</si>
  <si>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</si>
  <si>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</si>
  <si>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</si>
  <si>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</si>
  <si>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</si>
  <si>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</si>
  <si>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</si>
  <si>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</si>
  <si>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</si>
  <si>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</si>
  <si>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</si>
  <si>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</si>
  <si>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</si>
  <si>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</si>
  <si>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</si>
  <si>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</si>
  <si>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</si>
  <si>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</si>
  <si>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</si>
  <si>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</si>
  <si>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</si>
  <si>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</si>
  <si>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</si>
  <si>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</si>
  <si>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</si>
  <si>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</si>
  <si>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</si>
  <si>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</si>
  <si>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</si>
  <si>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</si>
  <si>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</si>
  <si>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</si>
  <si>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</si>
  <si>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</si>
  <si>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</si>
  <si>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</si>
  <si>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</si>
  <si>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</si>
  <si>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</si>
  <si>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</si>
  <si>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</si>
  <si>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</si>
  <si>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</si>
  <si>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</si>
  <si>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</si>
  <si>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</si>
  <si>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</si>
  <si>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</si>
  <si>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</si>
  <si>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</si>
  <si>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</si>
  <si>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</si>
  <si>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</si>
  <si>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</si>
  <si>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</si>
  <si>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</si>
  <si>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</si>
  <si>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</si>
  <si>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</si>
  <si>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</si>
  <si>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</si>
  <si>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</si>
  <si>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</si>
  <si>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</si>
  <si>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</si>
  <si>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</si>
  <si>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</si>
  <si>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</si>
  <si>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</si>
  <si>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</si>
  <si>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</si>
  <si>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</si>
  <si>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</si>
  <si>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</si>
  <si>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</si>
  <si>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</si>
  <si>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</si>
  <si>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</si>
  <si>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</si>
  <si>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</si>
  <si>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</si>
  <si>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</si>
  <si>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</si>
  <si>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</si>
  <si>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</si>
  <si>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</si>
  <si>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</si>
  <si>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</si>
  <si>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</si>
  <si>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</si>
  <si>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</si>
  <si>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</si>
  <si>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</si>
  <si>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</si>
  <si>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</si>
  <si>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</si>
  <si>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</si>
  <si>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</si>
  <si>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</si>
  <si>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</si>
  <si>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</si>
  <si>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</si>
  <si>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</si>
  <si>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</si>
  <si>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</si>
  <si>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</si>
  <si>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</si>
  <si>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</si>
  <si>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</si>
  <si>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</si>
  <si>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</si>
  <si>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</si>
  <si>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</si>
  <si>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</si>
  <si>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</si>
  <si>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</si>
  <si>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</si>
  <si>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</si>
  <si>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</si>
  <si>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</si>
  <si>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</si>
  <si>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</si>
  <si>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</si>
  <si>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</si>
  <si>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</si>
  <si>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</si>
  <si>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</si>
  <si>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</si>
  <si>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</si>
  <si>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</si>
  <si>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</si>
  <si>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</si>
  <si>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</si>
  <si>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</si>
  <si>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</si>
  <si>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</si>
  <si>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</si>
  <si>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</si>
  <si>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</si>
  <si>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</si>
  <si>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</si>
  <si>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</si>
  <si>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</si>
  <si>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</si>
  <si>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</si>
  <si>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</si>
  <si>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</si>
  <si>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</si>
  <si>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</si>
  <si>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</si>
  <si>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</si>
  <si>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</si>
  <si>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</si>
  <si>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</si>
  <si>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</si>
  <si>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</si>
  <si>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</si>
  <si>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</si>
  <si>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</si>
  <si>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</si>
  <si>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</si>
  <si>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</si>
  <si>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</si>
  <si>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</si>
  <si>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</si>
  <si>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</si>
  <si>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</si>
  <si>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</si>
  <si>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</si>
  <si>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</si>
  <si>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</si>
  <si>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</si>
  <si>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</si>
  <si>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</si>
  <si>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</si>
  <si>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</si>
  <si>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</si>
  <si>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</si>
  <si>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</si>
  <si>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</si>
  <si>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</si>
  <si>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</si>
  <si>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</si>
  <si>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</si>
  <si>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</si>
  <si>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</si>
  <si>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</si>
  <si>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</si>
  <si>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</si>
  <si>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</si>
  <si>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</si>
  <si>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</si>
  <si>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</si>
  <si>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</si>
  <si>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</si>
  <si>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</si>
  <si>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</si>
  <si>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</si>
  <si>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</si>
  <si>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</si>
  <si>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</si>
  <si>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</si>
  <si>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</si>
  <si>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</si>
  <si>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</si>
  <si>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</si>
  <si>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</si>
  <si>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</si>
  <si>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</si>
  <si>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</si>
  <si>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</si>
  <si>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</si>
  <si>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</si>
  <si>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</si>
  <si>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</si>
  <si>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</si>
  <si>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</si>
  <si>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</si>
  <si>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</si>
  <si>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</si>
  <si>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</si>
  <si>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</si>
  <si>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</si>
  <si>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</si>
  <si>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</si>
  <si>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</si>
  <si>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</si>
  <si>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</si>
  <si>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</si>
  <si>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</si>
  <si>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</si>
  <si>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</si>
  <si>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</si>
  <si>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</si>
  <si>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</si>
  <si>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</si>
  <si>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</si>
  <si>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</si>
  <si>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</si>
  <si>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</si>
  <si>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</si>
  <si>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</si>
  <si>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</si>
  <si>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</si>
  <si>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</si>
  <si>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</si>
  <si>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</si>
  <si>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</si>
  <si>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</si>
  <si>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</si>
  <si>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</si>
  <si>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</si>
  <si>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</si>
  <si>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</si>
  <si>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</si>
  <si>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</si>
  <si>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</si>
  <si>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</si>
  <si>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</si>
  <si>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</si>
  <si>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</si>
  <si>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</si>
  <si>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</si>
  <si>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</si>
  <si>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</si>
  <si>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</si>
  <si>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</si>
  <si>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</si>
  <si>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</si>
  <si>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</si>
  <si>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</si>
  <si>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</si>
  <si>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</si>
  <si>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</si>
  <si>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</si>
  <si>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</si>
  <si>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</si>
  <si>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</si>
  <si>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</si>
  <si>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</si>
  <si>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</si>
  <si>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</si>
  <si>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</si>
  <si>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</si>
  <si>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</si>
  <si>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</si>
  <si>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</si>
  <si>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</si>
  <si>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</si>
  <si>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</si>
  <si>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</si>
  <si>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</si>
  <si>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</si>
  <si>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</si>
  <si>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</si>
  <si>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</si>
  <si>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</si>
  <si>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</si>
  <si>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</si>
  <si>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</si>
  <si>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</si>
  <si>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</si>
  <si>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</si>
  <si>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</si>
  <si>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</si>
  <si>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</si>
  <si>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</si>
  <si>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</si>
  <si>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</si>
  <si>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</si>
  <si>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</si>
  <si>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</si>
  <si>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</si>
  <si>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</si>
  <si>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</si>
  <si>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</si>
  <si>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</si>
  <si>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</si>
  <si>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</si>
  <si>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</si>
  <si>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</si>
  <si>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</si>
  <si>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</si>
  <si>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</si>
  <si>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</si>
  <si>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</si>
  <si>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</si>
  <si>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</si>
  <si>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</si>
  <si>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</si>
  <si>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</si>
  <si>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</si>
  <si>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</si>
  <si>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</si>
  <si>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</si>
  <si>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</si>
  <si>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</si>
  <si>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</si>
  <si>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</si>
  <si>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</si>
  <si>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</si>
  <si>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</si>
  <si>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</si>
  <si>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</si>
  <si>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</si>
  <si>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</si>
  <si>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</si>
  <si>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</si>
  <si>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</si>
  <si>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</si>
  <si>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</si>
  <si>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</si>
  <si>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</si>
  <si>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</si>
  <si>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</si>
  <si>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</si>
  <si>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</si>
  <si>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</si>
  <si>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</si>
  <si>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</si>
  <si>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</si>
  <si>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</si>
  <si>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</si>
  <si>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</si>
  <si>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</si>
  <si>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</si>
  <si>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</si>
  <si>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</si>
  <si>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</si>
  <si>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</si>
  <si>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</si>
  <si>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</si>
  <si>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</si>
  <si>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</si>
  <si>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</si>
  <si>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</si>
  <si>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</si>
  <si>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</si>
  <si>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</si>
  <si>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</si>
  <si>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</si>
  <si>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</si>
  <si>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</si>
  <si>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</si>
  <si>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</si>
  <si>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</si>
  <si>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</si>
  <si>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</si>
  <si>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</si>
  <si>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</si>
  <si>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</si>
  <si>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</si>
  <si>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</si>
  <si>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</si>
  <si>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</si>
  <si>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</si>
  <si>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</si>
  <si>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</si>
  <si>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</si>
  <si>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</si>
  <si>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</si>
  <si>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</si>
  <si>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</si>
  <si>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</si>
  <si>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</si>
  <si>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</si>
  <si>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</si>
  <si>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</si>
  <si>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</si>
  <si>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</si>
  <si>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</si>
  <si>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</si>
  <si>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</si>
  <si>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</si>
  <si>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</si>
  <si>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</si>
  <si>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</si>
  <si>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</si>
  <si>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</si>
  <si>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</si>
  <si>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</si>
  <si>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</si>
  <si>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</si>
  <si>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</si>
  <si>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</si>
  <si>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</si>
  <si>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</si>
  <si>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</si>
  <si>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</si>
  <si>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</si>
  <si>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</si>
  <si>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</si>
  <si>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</si>
  <si>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</si>
  <si>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</si>
  <si>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</si>
  <si>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</si>
  <si>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</si>
  <si>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</si>
  <si>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</si>
  <si>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</si>
  <si>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</si>
  <si>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</si>
  <si>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</si>
  <si>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</si>
  <si>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</si>
  <si>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</si>
  <si>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</si>
  <si>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</si>
  <si>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</si>
  <si>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</si>
  <si>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</si>
  <si>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</si>
  <si>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</si>
  <si>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</si>
  <si>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</si>
  <si>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</si>
  <si>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</si>
  <si>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</si>
  <si>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</si>
  <si>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</si>
  <si>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</si>
  <si>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</si>
  <si>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</si>
  <si>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</si>
  <si>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</si>
  <si>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</si>
  <si>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</si>
  <si>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</si>
  <si>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</si>
  <si>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</si>
  <si>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</si>
  <si>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</si>
  <si>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</si>
  <si>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</si>
  <si>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</si>
  <si>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</si>
  <si>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</si>
  <si>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</si>
  <si>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</si>
  <si>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</si>
  <si>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</si>
  <si>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</si>
  <si>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</si>
  <si>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</si>
  <si>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</si>
  <si>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</si>
  <si>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</si>
  <si>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</si>
  <si>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</si>
  <si>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</si>
  <si>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</si>
  <si>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</si>
  <si>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</si>
  <si>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</si>
  <si>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</si>
  <si>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</si>
  <si>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</si>
  <si>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</si>
  <si>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</si>
  <si>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</si>
  <si>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</si>
  <si>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</si>
  <si>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</si>
  <si>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</si>
  <si>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</si>
  <si>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</si>
  <si>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</si>
  <si>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</si>
  <si>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</si>
  <si>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</si>
  <si>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</si>
  <si>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</si>
  <si>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</si>
  <si>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</si>
  <si>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</si>
  <si>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</si>
  <si>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</si>
  <si>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</si>
  <si>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</si>
  <si>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</si>
  <si>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</si>
  <si>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</si>
  <si>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</si>
  <si>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</si>
  <si>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</si>
  <si>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</si>
  <si>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</si>
  <si>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</si>
  <si>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</si>
  <si>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</si>
  <si>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</si>
  <si>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</si>
  <si>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</si>
  <si>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</si>
  <si>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</si>
  <si>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</si>
  <si>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</si>
  <si>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</si>
  <si>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</si>
  <si>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</si>
  <si>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</si>
  <si>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</si>
  <si>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</si>
  <si>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</si>
  <si>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</si>
  <si>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</si>
  <si>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</si>
  <si>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</si>
  <si>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</si>
  <si>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</si>
  <si>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</si>
  <si>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</si>
  <si>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</si>
  <si>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</si>
  <si>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</si>
  <si>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</si>
  <si>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</si>
  <si>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</si>
  <si>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</si>
  <si>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</si>
  <si>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</si>
  <si>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</si>
  <si>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</si>
  <si>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</si>
  <si>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</si>
  <si>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</si>
  <si>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</si>
  <si>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</si>
  <si>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</si>
  <si>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</si>
  <si>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</si>
  <si>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</si>
  <si>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</si>
  <si>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</si>
  <si>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</si>
  <si>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</si>
  <si>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</si>
  <si>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</si>
  <si>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</si>
  <si>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</si>
  <si>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</si>
  <si>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</si>
  <si>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</si>
  <si>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</si>
  <si>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</si>
  <si>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</si>
  <si>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</si>
  <si>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</si>
  <si>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</si>
  <si>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</si>
  <si>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</si>
  <si>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</si>
  <si>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</si>
  <si>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</si>
  <si>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</si>
  <si>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</si>
  <si>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</si>
  <si>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</si>
  <si>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</si>
  <si>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</si>
  <si>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</si>
  <si>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</si>
  <si>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</si>
  <si>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</si>
  <si>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</si>
  <si>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</si>
  <si>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</si>
  <si>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</si>
  <si>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</si>
  <si>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</si>
  <si>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</si>
  <si>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</si>
  <si>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</si>
  <si>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</si>
  <si>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</si>
  <si>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</si>
  <si>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</si>
  <si>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</si>
  <si>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</si>
  <si>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</si>
  <si>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</si>
  <si>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</si>
  <si>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</si>
  <si>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</si>
  <si>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</si>
  <si>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</si>
  <si>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</si>
  <si>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</si>
  <si>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</si>
  <si>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</si>
  <si>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</si>
  <si>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</si>
  <si>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</si>
  <si>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</si>
  <si>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</si>
  <si>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</si>
  <si>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</si>
  <si>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</si>
  <si>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</si>
  <si>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</si>
  <si>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</si>
  <si>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</si>
  <si>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</si>
  <si>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</si>
  <si>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</si>
  <si>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</si>
  <si>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</si>
  <si>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</si>
  <si>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</si>
  <si>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</si>
  <si>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</si>
  <si>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</si>
  <si>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</si>
  <si>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</si>
  <si>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</si>
  <si>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</si>
  <si>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</si>
  <si>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</si>
  <si>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</si>
  <si>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</si>
  <si>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</si>
  <si>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</si>
  <si>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</si>
  <si>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</si>
  <si>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</si>
  <si>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</si>
  <si>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</si>
  <si>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</si>
  <si>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</si>
  <si>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</si>
  <si>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</si>
  <si>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</si>
  <si>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</si>
  <si>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</si>
  <si>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</si>
  <si>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</si>
  <si>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</si>
  <si>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</si>
  <si>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</si>
  <si>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</si>
  <si>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</si>
  <si>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</si>
  <si>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</si>
  <si>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</si>
  <si>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</si>
  <si>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</si>
  <si>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</si>
  <si>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</si>
  <si>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</si>
  <si>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</si>
  <si>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</si>
  <si>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</si>
  <si>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</si>
  <si>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</si>
  <si>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</si>
  <si>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</si>
  <si>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</si>
  <si>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</si>
  <si>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</si>
  <si>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</si>
  <si>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</si>
  <si>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</si>
  <si>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</si>
  <si>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</si>
  <si>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</si>
  <si>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</si>
  <si>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</si>
  <si>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</si>
  <si>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</si>
  <si>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</si>
  <si>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</si>
  <si>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</si>
  <si>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</si>
  <si>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</si>
  <si>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</si>
  <si>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</si>
  <si>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</si>
  <si>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</si>
  <si>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</si>
  <si>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</si>
  <si>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</si>
  <si>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</si>
  <si>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</si>
  <si>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</si>
  <si>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</si>
  <si>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</si>
  <si>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</si>
  <si>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</si>
  <si>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</si>
  <si>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</si>
  <si>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</si>
  <si>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</si>
  <si>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</si>
  <si>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</si>
  <si>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</si>
  <si>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</si>
  <si>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</si>
  <si>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</si>
  <si>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</si>
  <si>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</si>
  <si>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</si>
  <si>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</si>
  <si>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</si>
  <si>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</si>
  <si>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</si>
  <si>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</si>
  <si>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</si>
  <si>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</si>
  <si>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</si>
  <si>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</si>
  <si>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</si>
  <si>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</si>
  <si>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</si>
  <si>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</si>
  <si>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</si>
  <si>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</si>
  <si>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</si>
  <si>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</si>
  <si>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</si>
  <si>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</si>
  <si>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</si>
  <si>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</si>
  <si>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</si>
  <si>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</si>
  <si>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</si>
  <si>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</si>
  <si>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</si>
  <si>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</si>
  <si>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</si>
  <si>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</si>
  <si>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</si>
  <si>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</si>
  <si>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</si>
  <si>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</si>
  <si>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</si>
  <si>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</si>
  <si>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</si>
  <si>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</si>
  <si>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</si>
  <si>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</si>
  <si>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</si>
  <si>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</si>
  <si>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</si>
  <si>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</si>
  <si>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</si>
  <si>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</si>
  <si>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</si>
  <si>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</si>
  <si>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</si>
  <si>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</si>
  <si>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</si>
  <si>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</si>
  <si>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</si>
  <si>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</si>
  <si>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</si>
  <si>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</si>
  <si>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</si>
  <si>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</si>
  <si>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</si>
  <si>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</si>
  <si>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</si>
  <si>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</si>
  <si>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</si>
  <si>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</si>
  <si>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</si>
  <si>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</si>
  <si>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</si>
  <si>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</si>
  <si>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</si>
  <si>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</si>
  <si>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</si>
  <si>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</si>
  <si>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</si>
  <si>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</si>
  <si>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</si>
  <si>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</si>
  <si>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</si>
  <si>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</si>
  <si>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</si>
  <si>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</si>
  <si>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</si>
  <si>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</si>
  <si>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</si>
  <si>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</si>
  <si>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</si>
  <si>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</si>
  <si>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</si>
  <si>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</si>
  <si>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</si>
  <si>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</si>
  <si>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</si>
  <si>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</si>
  <si>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</si>
  <si>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</si>
  <si>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</si>
  <si>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</si>
  <si>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</si>
  <si>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</si>
  <si>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</si>
  <si>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</si>
  <si>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</si>
  <si>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</si>
  <si>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</si>
  <si>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</si>
  <si>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</si>
  <si>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</si>
  <si>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</si>
  <si>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</si>
  <si>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</si>
  <si>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</si>
  <si>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</si>
  <si>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</si>
  <si>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</si>
  <si>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</si>
  <si>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</si>
  <si>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</si>
  <si>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</si>
  <si>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</si>
  <si>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</si>
  <si>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</si>
  <si>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</si>
  <si>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</si>
  <si>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</si>
  <si>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</si>
  <si>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</si>
  <si>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</si>
  <si>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</si>
  <si>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</si>
  <si>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</si>
  <si>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</si>
  <si>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</si>
  <si>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</si>
  <si>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</si>
  <si>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</si>
  <si>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</si>
  <si>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</si>
  <si>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</si>
  <si>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</si>
  <si>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</si>
  <si>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</si>
  <si>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</si>
  <si>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</si>
  <si>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</si>
  <si>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</si>
  <si>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</si>
  <si>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</si>
  <si>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</si>
  <si>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</si>
  <si>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</si>
  <si>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</si>
  <si>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</si>
  <si>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</si>
  <si>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</si>
  <si>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</si>
  <si>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</si>
  <si>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</si>
  <si>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</si>
  <si>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</si>
  <si>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</si>
  <si>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</si>
  <si>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</si>
  <si>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</si>
  <si>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</si>
  <si>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</si>
  <si>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</si>
  <si>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</si>
  <si>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</si>
  <si>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</si>
  <si>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</si>
  <si>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</si>
  <si>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</si>
  <si>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</si>
  <si>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</si>
  <si>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</si>
  <si>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</si>
  <si>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</si>
  <si>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</si>
  <si>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</si>
  <si>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</si>
  <si>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</si>
  <si>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</si>
  <si>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</si>
  <si>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</si>
  <si>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</si>
  <si>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</si>
  <si>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</si>
  <si>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</si>
  <si>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</si>
  <si>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</si>
  <si>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</si>
  <si>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</si>
  <si>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</si>
  <si>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</si>
  <si>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</si>
  <si>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</si>
  <si>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</si>
  <si>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</si>
  <si>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</si>
  <si>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</si>
  <si>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</si>
  <si>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</si>
  <si>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</si>
  <si>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</si>
  <si>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</si>
  <si>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</si>
  <si>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</si>
  <si>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</si>
  <si>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</si>
  <si>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</si>
  <si>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</si>
  <si>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</si>
  <si>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</si>
  <si>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</si>
  <si>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</si>
  <si>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</si>
  <si>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</si>
  <si>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</si>
  <si>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</si>
  <si>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</si>
  <si>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</si>
  <si>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</si>
  <si>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</si>
  <si>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</si>
  <si>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</si>
  <si>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</si>
  <si>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</si>
  <si>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</si>
  <si>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</si>
  <si>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</si>
  <si>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</si>
  <si>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</si>
  <si>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</si>
  <si>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</si>
  <si>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</si>
  <si>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</si>
  <si>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</si>
  <si>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</si>
  <si>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</si>
  <si>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</si>
  <si>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</si>
  <si>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</si>
  <si>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</si>
  <si>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</si>
  <si>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</si>
  <si>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</si>
  <si>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</si>
  <si>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</si>
  <si>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</si>
  <si>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</si>
  <si>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</si>
  <si>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</si>
  <si>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</si>
  <si>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</si>
  <si>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</si>
  <si>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</si>
  <si>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</si>
  <si>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</si>
  <si>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</si>
  <si>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</si>
  <si>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</si>
  <si>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</si>
  <si>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</si>
  <si>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</si>
  <si>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</si>
  <si>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</si>
  <si>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</si>
  <si>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</si>
  <si>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</si>
  <si>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</si>
  <si>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</si>
  <si>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</si>
  <si>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</si>
  <si>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</si>
  <si>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</si>
  <si>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</si>
  <si>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</si>
  <si>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</si>
  <si>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</si>
  <si>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</si>
  <si>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</si>
  <si>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</si>
  <si>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</si>
  <si>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</si>
  <si>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</si>
  <si>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</si>
  <si>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</si>
  <si>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</si>
  <si>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</si>
  <si>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</si>
  <si>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</si>
  <si>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</si>
  <si>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</si>
  <si>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</si>
  <si>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</si>
  <si>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</si>
  <si>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</si>
  <si>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</si>
  <si>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</si>
  <si>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</si>
  <si>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</si>
  <si>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</si>
  <si>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</si>
  <si>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</si>
  <si>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</si>
  <si>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</si>
  <si>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</si>
  <si>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</si>
  <si>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</si>
  <si>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</si>
  <si>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</si>
  <si>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</si>
  <si>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</si>
  <si>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</si>
  <si>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</si>
  <si>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</si>
  <si>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</si>
  <si>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</si>
  <si>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</si>
  <si>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</si>
  <si>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</si>
  <si>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</si>
  <si>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</si>
  <si>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</si>
  <si>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</si>
  <si>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</si>
  <si>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</si>
  <si>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</si>
  <si>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</si>
  <si>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</si>
  <si>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</si>
  <si>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</si>
  <si>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</si>
  <si>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</si>
  <si>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</si>
  <si>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</si>
  <si>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</si>
  <si>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</si>
  <si>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</si>
  <si>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</si>
  <si>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</si>
  <si>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</si>
  <si>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</si>
  <si>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</si>
  <si>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</si>
  <si>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</si>
  <si>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</si>
  <si>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</si>
  <si>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</si>
  <si>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</si>
  <si>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</si>
  <si>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</si>
  <si>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</si>
  <si>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</si>
  <si>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</si>
  <si>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</si>
  <si>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</si>
  <si>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</si>
  <si>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</si>
  <si>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</si>
  <si>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</si>
  <si>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</si>
  <si>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</si>
  <si>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</si>
  <si>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</si>
  <si>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</si>
  <si>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</si>
  <si>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</si>
  <si>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</si>
  <si>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</si>
  <si>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</si>
  <si>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</si>
  <si>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</si>
  <si>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</si>
  <si>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</si>
  <si>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</si>
  <si>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</si>
  <si>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</si>
  <si>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</si>
  <si>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</si>
  <si>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</si>
  <si>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</si>
  <si>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</si>
  <si>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</si>
  <si>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</si>
  <si>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</si>
  <si>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</si>
  <si>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</si>
  <si>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</si>
  <si>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</si>
  <si>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</si>
  <si>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</si>
  <si>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</si>
  <si>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</si>
  <si>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</si>
  <si>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</si>
  <si>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</si>
  <si>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</si>
  <si>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</si>
  <si>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</si>
  <si>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</si>
  <si>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</si>
  <si>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</si>
  <si>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</si>
  <si>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</si>
  <si>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</si>
  <si>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</si>
  <si>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</si>
  <si>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</si>
  <si>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</si>
  <si>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</si>
  <si>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</si>
  <si>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</si>
  <si>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</si>
  <si>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</si>
  <si>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</si>
  <si>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</si>
  <si>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</si>
  <si>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</si>
  <si>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</si>
  <si>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</si>
  <si>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</si>
  <si>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</si>
  <si>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</si>
  <si>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</si>
  <si>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</si>
  <si>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</si>
  <si>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</si>
  <si>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</si>
  <si>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</si>
  <si>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</si>
  <si>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</si>
  <si>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</si>
  <si>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</si>
  <si>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</si>
  <si>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</si>
  <si>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</si>
  <si>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</si>
  <si>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</si>
  <si>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</si>
  <si>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</si>
  <si>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</si>
  <si>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</si>
  <si>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</si>
  <si>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</si>
  <si>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</si>
  <si>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</si>
  <si>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</si>
  <si>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</si>
  <si>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</si>
  <si>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</si>
  <si>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</si>
  <si>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</si>
  <si>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</si>
  <si>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</si>
  <si>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</si>
  <si>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</si>
  <si>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</si>
  <si>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</si>
  <si>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</si>
  <si>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</si>
  <si>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</si>
  <si>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</si>
  <si>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</si>
  <si>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</si>
  <si>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</si>
  <si>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</si>
  <si>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</si>
  <si>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</si>
  <si>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</si>
  <si>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</si>
  <si>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</si>
  <si>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</si>
  <si>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</si>
  <si>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</si>
  <si>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</si>
  <si>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</si>
  <si>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</si>
  <si>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</si>
  <si>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</si>
  <si>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</si>
  <si>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</si>
  <si>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</si>
  <si>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</si>
  <si>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</si>
  <si>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</si>
  <si>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</si>
  <si>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</si>
  <si>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</si>
  <si>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</si>
  <si>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</si>
  <si>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</si>
  <si>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</si>
  <si>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</si>
  <si>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</si>
  <si>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</si>
  <si>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</si>
  <si>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</si>
  <si>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</si>
  <si>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</si>
  <si>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</si>
  <si>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</si>
  <si>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</si>
  <si>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</si>
  <si>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</si>
  <si>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</si>
  <si>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</si>
  <si>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</si>
  <si>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</si>
  <si>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</si>
  <si>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</si>
  <si>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</si>
  <si>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</si>
  <si>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</si>
  <si>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</si>
  <si>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</si>
  <si>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</si>
  <si>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</si>
  <si>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</si>
  <si>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</si>
  <si>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</si>
  <si>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</si>
  <si>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</si>
  <si>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</si>
  <si>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</si>
  <si>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</si>
  <si>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</si>
  <si>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</si>
  <si>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</si>
  <si>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</si>
  <si>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</si>
  <si>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</si>
  <si>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</si>
  <si>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</si>
  <si>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</si>
  <si>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</si>
  <si>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</si>
  <si>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</si>
  <si>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</si>
  <si>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</si>
  <si>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</si>
  <si>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</si>
  <si>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</si>
  <si>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</si>
  <si>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</si>
  <si>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</si>
  <si>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</si>
  <si>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</si>
  <si>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</si>
  <si>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</si>
  <si>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</si>
  <si>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</si>
  <si>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</si>
  <si>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</si>
  <si>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</si>
  <si>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</si>
  <si>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</si>
  <si>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</si>
  <si>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</si>
  <si>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</si>
  <si>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</si>
  <si>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</si>
  <si>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</si>
  <si>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</si>
  <si>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</si>
  <si>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</si>
  <si>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</si>
  <si>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</si>
  <si>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</si>
  <si>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</si>
  <si>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</si>
  <si>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</si>
  <si>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</si>
  <si>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</si>
  <si>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</si>
  <si>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</si>
  <si>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</si>
  <si>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</si>
  <si>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</si>
  <si>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</si>
  <si>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</si>
  <si>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</si>
  <si>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</si>
  <si>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</si>
  <si>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</si>
  <si>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</si>
  <si>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</si>
  <si>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</si>
  <si>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</si>
  <si>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</si>
  <si>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</si>
  <si>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</si>
  <si>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</si>
  <si>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</si>
  <si>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</si>
  <si>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</si>
  <si>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</si>
  <si>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</si>
  <si>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</si>
  <si>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</si>
  <si>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</si>
  <si>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</si>
  <si>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</si>
  <si>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</si>
  <si>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</si>
  <si>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</si>
  <si>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</si>
  <si>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</si>
  <si>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</si>
  <si>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</si>
  <si>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</si>
  <si>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</si>
  <si>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</si>
  <si>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</si>
  <si>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</si>
  <si>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</si>
  <si>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</si>
  <si>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</si>
  <si>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</si>
  <si>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</si>
  <si>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</si>
  <si>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</si>
  <si>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</si>
  <si>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</si>
  <si>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</si>
  <si>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</si>
  <si>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</si>
  <si>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</si>
  <si>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</si>
  <si>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</si>
  <si>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</si>
  <si>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</si>
  <si>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</si>
  <si>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</si>
  <si>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</si>
  <si>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</si>
  <si>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</si>
  <si>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</si>
  <si>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</si>
  <si>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</si>
  <si>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</si>
  <si>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</si>
  <si>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</si>
  <si>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</si>
  <si>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</si>
  <si>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</si>
  <si>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</si>
  <si>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</si>
  <si>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</si>
  <si>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</si>
  <si>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</si>
  <si>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</si>
  <si>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</si>
  <si>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</si>
  <si>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</si>
  <si>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</si>
  <si>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</si>
  <si>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</si>
  <si>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</si>
  <si>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</si>
  <si>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</si>
  <si>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</si>
  <si>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</si>
  <si>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</si>
  <si>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</si>
  <si>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</si>
  <si>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</si>
  <si>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</si>
  <si>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</si>
  <si>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</si>
  <si>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</si>
  <si>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</si>
  <si>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</si>
  <si>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</si>
  <si>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</si>
  <si>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</si>
  <si>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</si>
  <si>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</si>
  <si>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</si>
  <si>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</si>
  <si>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</si>
  <si>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</si>
  <si>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</si>
  <si>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</si>
  <si>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</si>
  <si>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</si>
  <si>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</si>
  <si>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</si>
  <si>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</si>
  <si>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</si>
  <si>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</si>
  <si>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</si>
  <si>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</si>
  <si>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</si>
  <si>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</si>
  <si>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</si>
  <si>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</si>
  <si>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</si>
  <si>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</si>
  <si>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</si>
  <si>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</si>
  <si>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</si>
  <si>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</si>
  <si>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</si>
  <si>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</si>
  <si>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</si>
  <si>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</si>
  <si>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</si>
  <si>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</si>
  <si>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</si>
  <si>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</si>
  <si>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</si>
  <si>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</si>
  <si>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</si>
  <si>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</si>
  <si>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</si>
  <si>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</si>
  <si>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</si>
  <si>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</si>
  <si>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</si>
  <si>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</si>
  <si>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</si>
  <si>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</si>
  <si>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</si>
  <si>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</si>
  <si>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</si>
  <si>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</si>
  <si>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</si>
  <si>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</si>
  <si>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</si>
  <si>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</si>
  <si>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</si>
  <si>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</si>
  <si>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</si>
  <si>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</si>
  <si>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</si>
  <si>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</si>
  <si>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</si>
  <si>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</si>
  <si>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</si>
  <si>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</si>
  <si>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</si>
  <si>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</si>
  <si>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</si>
  <si>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</si>
  <si>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</si>
  <si>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</si>
  <si>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</si>
  <si>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</si>
  <si>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</si>
  <si>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</si>
  <si>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</si>
  <si>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</si>
  <si>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</si>
  <si>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</si>
  <si>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</si>
  <si>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</si>
  <si>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</si>
  <si>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</si>
  <si>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</si>
  <si>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</si>
  <si>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</si>
  <si>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</si>
  <si>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</si>
  <si>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</si>
  <si>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</si>
  <si>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</si>
  <si>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</si>
  <si>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</si>
  <si>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</si>
  <si>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</si>
  <si>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</si>
  <si>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</si>
  <si>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</si>
  <si>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</si>
  <si>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</si>
  <si>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</si>
  <si>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</si>
  <si>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</si>
  <si>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</si>
  <si>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</si>
  <si>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</si>
  <si>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</si>
  <si>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</si>
  <si>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</si>
  <si>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</si>
  <si>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</si>
  <si>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</si>
  <si>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</si>
  <si>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</si>
  <si>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</si>
  <si>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</si>
  <si>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</si>
  <si>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</si>
  <si>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</si>
  <si>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</si>
  <si>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</si>
  <si>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</si>
  <si>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</si>
  <si>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</si>
  <si>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</si>
  <si>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</si>
  <si>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</si>
  <si>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</si>
  <si>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</si>
  <si>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</si>
  <si>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</si>
  <si>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</si>
  <si>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</si>
  <si>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</si>
  <si>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</si>
  <si>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</si>
  <si>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</si>
  <si>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</si>
  <si>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</si>
  <si>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</si>
  <si>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</si>
  <si>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</si>
  <si>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</si>
  <si>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</si>
  <si>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</si>
  <si>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</si>
  <si>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</si>
  <si>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</si>
  <si>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</si>
  <si>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</si>
  <si>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</si>
  <si>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</si>
  <si>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</si>
  <si>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</si>
  <si>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</si>
  <si>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</si>
  <si>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</si>
  <si>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</si>
  <si>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</si>
  <si>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</si>
  <si>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</si>
  <si>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</si>
  <si>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</si>
  <si>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</si>
  <si>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</si>
  <si>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</si>
  <si>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</si>
  <si>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</si>
  <si>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</si>
  <si>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</si>
  <si>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</si>
  <si>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</si>
  <si>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</si>
  <si>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</si>
  <si>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</si>
  <si>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</si>
  <si>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</si>
  <si>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</si>
  <si>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</si>
  <si>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</si>
  <si>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</si>
  <si>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</si>
  <si>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</si>
  <si>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</si>
  <si>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</si>
  <si>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</si>
  <si>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</si>
  <si>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</si>
  <si>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</si>
  <si>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</si>
  <si>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</si>
  <si>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</si>
  <si>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</si>
  <si>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</si>
  <si>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</si>
  <si>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</si>
  <si>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</si>
  <si>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</si>
  <si>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</si>
  <si>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</si>
  <si>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</si>
  <si>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</si>
  <si>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</si>
  <si>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</si>
  <si>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</si>
  <si>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</si>
  <si>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</si>
  <si>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</si>
  <si>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</si>
  <si>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</si>
  <si>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</si>
  <si>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</si>
  <si>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</si>
  <si>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</si>
  <si>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</si>
  <si>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</si>
  <si>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</si>
  <si>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</si>
  <si>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</si>
  <si>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</si>
  <si>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</si>
  <si>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</si>
  <si>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</si>
  <si>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</si>
  <si>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</si>
  <si>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</si>
  <si>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</si>
  <si>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</si>
  <si>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</si>
  <si>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</si>
  <si>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</si>
  <si>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</si>
  <si>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</si>
  <si>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</si>
  <si>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</si>
  <si>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</si>
  <si>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</si>
  <si>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</si>
  <si>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</si>
  <si>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</si>
  <si>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</si>
  <si>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</si>
  <si>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</si>
  <si>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</si>
  <si>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</si>
  <si>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</si>
  <si>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</si>
  <si>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</si>
  <si>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</si>
  <si>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</si>
  <si>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</si>
  <si>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</si>
  <si>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</si>
  <si>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</si>
  <si>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</si>
  <si>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</si>
  <si>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</si>
  <si>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</si>
  <si>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</si>
  <si>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</si>
  <si>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</si>
  <si>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</si>
  <si>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</si>
  <si>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</si>
  <si>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</si>
  <si>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</si>
  <si>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</si>
  <si>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</si>
  <si>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</si>
  <si>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</si>
  <si>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</si>
  <si>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</si>
  <si>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</si>
  <si>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</si>
  <si>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</si>
  <si>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</si>
  <si>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</si>
  <si>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</si>
  <si>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</si>
  <si>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</si>
  <si>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</si>
  <si>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</si>
  <si>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</si>
  <si>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</si>
  <si>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</si>
  <si>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</si>
  <si>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</si>
  <si>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</si>
  <si>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</si>
  <si>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</si>
  <si>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</si>
  <si>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</si>
  <si>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</si>
  <si>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</si>
  <si>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</si>
  <si>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</si>
  <si>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</si>
  <si>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</si>
  <si>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</si>
  <si>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</si>
  <si>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</si>
  <si>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</si>
  <si>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</si>
  <si>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</si>
  <si>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</si>
  <si>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</si>
  <si>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</si>
  <si>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</si>
  <si>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</si>
  <si>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</si>
  <si>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</si>
  <si>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</si>
  <si>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</si>
  <si>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</si>
  <si>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</si>
  <si>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</si>
  <si>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</si>
  <si>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</si>
  <si>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</si>
  <si>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</si>
  <si>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</si>
  <si>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</si>
  <si>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</si>
  <si>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</si>
  <si>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</si>
  <si>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</si>
  <si>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</si>
  <si>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</si>
  <si>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</si>
  <si>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</si>
  <si>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</si>
  <si>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</si>
  <si>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</si>
  <si>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</si>
  <si>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</si>
  <si>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</si>
  <si>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</si>
  <si>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</si>
  <si>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</si>
  <si>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</si>
  <si>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</si>
  <si>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</si>
  <si>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</si>
  <si>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</si>
  <si>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</si>
  <si>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</si>
  <si>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</si>
  <si>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</si>
  <si>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</si>
  <si>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</si>
  <si>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</si>
  <si>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</si>
  <si>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</si>
  <si>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</si>
  <si>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</si>
  <si>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</si>
  <si>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</si>
  <si>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</si>
  <si>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</si>
  <si>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</si>
  <si>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</si>
  <si>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</si>
  <si>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</si>
  <si>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</si>
  <si>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</si>
  <si>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</si>
  <si>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</si>
  <si>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</si>
  <si>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</si>
  <si>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</si>
  <si>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</si>
  <si>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</si>
  <si>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</si>
  <si>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</si>
  <si>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</si>
  <si>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</si>
  <si>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</si>
  <si>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</si>
  <si>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</si>
  <si>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</si>
  <si>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</si>
  <si>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</si>
  <si>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</si>
  <si>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</si>
  <si>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</si>
  <si>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</si>
  <si>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</si>
  <si>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</si>
  <si>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</si>
  <si>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</si>
  <si>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</si>
  <si>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</si>
  <si>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</si>
  <si>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</si>
  <si>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</si>
  <si>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</si>
  <si>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</si>
  <si>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</si>
  <si>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</si>
  <si>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</si>
  <si>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</si>
  <si>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</si>
  <si>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</si>
  <si>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</si>
  <si>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</si>
  <si>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</si>
  <si>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</si>
  <si>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</si>
  <si>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</si>
  <si>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</si>
  <si>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</si>
  <si>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</si>
  <si>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</si>
  <si>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</si>
  <si>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</si>
  <si>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</si>
  <si>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</si>
  <si>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</si>
  <si>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</si>
  <si>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</si>
  <si>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</si>
  <si>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</si>
  <si>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</si>
  <si>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</si>
  <si>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</si>
  <si>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</si>
  <si>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</si>
  <si>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</si>
  <si>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</si>
  <si>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</si>
  <si>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</si>
  <si>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</si>
  <si>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</si>
  <si>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</si>
  <si>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</si>
  <si>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</si>
  <si>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</si>
  <si>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</si>
  <si>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</si>
  <si>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</si>
  <si>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</si>
  <si>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</si>
  <si>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</si>
  <si>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</si>
  <si>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</si>
  <si>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</si>
  <si>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</si>
  <si>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</si>
  <si>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</si>
  <si>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</si>
  <si>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</si>
  <si>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</si>
  <si>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</si>
  <si>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</si>
  <si>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</si>
  <si>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</si>
  <si>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</si>
  <si>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</si>
  <si>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</si>
  <si>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</si>
  <si>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</si>
  <si>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</si>
  <si>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</si>
  <si>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</si>
  <si>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</si>
  <si>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</si>
  <si>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</si>
  <si>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</si>
  <si>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</si>
  <si>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</si>
  <si>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</si>
  <si>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</si>
  <si>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</si>
  <si>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</si>
  <si>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</si>
  <si>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</si>
  <si>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</si>
  <si>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</si>
  <si>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</si>
  <si>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</si>
  <si>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</si>
  <si>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</si>
  <si>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</si>
  <si>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</si>
  <si>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</si>
  <si>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</si>
  <si>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</si>
  <si>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</si>
  <si>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</si>
  <si>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</si>
  <si>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</si>
  <si>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</si>
  <si>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</si>
  <si>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</si>
  <si>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</si>
  <si>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</si>
  <si>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</si>
  <si>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</si>
  <si>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</si>
  <si>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</si>
  <si>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</si>
  <si>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</si>
  <si>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</si>
  <si>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</si>
  <si>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</si>
  <si>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</si>
  <si>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</si>
  <si>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</si>
  <si>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</si>
  <si>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</si>
  <si>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</si>
  <si>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</si>
  <si>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</si>
  <si>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</si>
  <si>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</si>
  <si>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</si>
  <si>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</si>
  <si>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</si>
  <si>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</si>
  <si>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</si>
  <si>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</si>
  <si>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</si>
  <si>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</si>
  <si>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</si>
  <si>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</si>
  <si>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</si>
  <si>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</si>
  <si>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</si>
  <si>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</si>
  <si>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</si>
  <si>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</si>
  <si>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</si>
  <si>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</si>
  <si>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</si>
  <si>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</si>
  <si>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</si>
  <si>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</si>
  <si>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</si>
  <si>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</si>
  <si>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</si>
  <si>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</si>
  <si>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</si>
  <si>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</si>
  <si>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</si>
  <si>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</si>
  <si>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</si>
  <si>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</si>
  <si>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</si>
  <si>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</si>
  <si>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</si>
  <si>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</si>
  <si>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</si>
  <si>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</si>
  <si>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</si>
  <si>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</si>
  <si>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</si>
  <si>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</si>
  <si>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</si>
  <si>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</si>
  <si>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</si>
  <si>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</si>
  <si>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</si>
  <si>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</si>
  <si>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</si>
  <si>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</si>
  <si>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</si>
  <si>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</si>
  <si>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</si>
  <si>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</si>
  <si>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</si>
  <si>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</si>
  <si>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</si>
  <si>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</si>
  <si>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</si>
  <si>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</si>
  <si>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</si>
  <si>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</si>
  <si>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</si>
  <si>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</si>
  <si>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</si>
  <si>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</si>
  <si>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</si>
  <si>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</si>
  <si>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</si>
  <si>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</si>
  <si>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</si>
  <si>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</si>
  <si>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</si>
  <si>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</si>
  <si>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</si>
  <si>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</si>
  <si>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</si>
  <si>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</si>
  <si>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</si>
  <si>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</si>
  <si>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</si>
  <si>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</si>
  <si>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</si>
  <si>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</si>
  <si>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</si>
  <si>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</si>
  <si>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</si>
  <si>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</si>
  <si>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</si>
  <si>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</si>
  <si>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</si>
  <si>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</si>
  <si>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</si>
  <si>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</si>
  <si>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</si>
  <si>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</si>
  <si>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</si>
  <si>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</si>
  <si>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</si>
  <si>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</si>
  <si>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</si>
  <si>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</si>
  <si>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</si>
  <si>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</si>
  <si>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</si>
  <si>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</si>
  <si>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Customer Classification</t>
  </si>
  <si>
    <t>Customer Code</t>
  </si>
  <si>
    <t>Customer Age</t>
  </si>
  <si>
    <t>Delivery time (Days)</t>
  </si>
  <si>
    <t>Delivery Status</t>
  </si>
  <si>
    <t>Supplier</t>
  </si>
  <si>
    <t>Cost_Price</t>
  </si>
  <si>
    <t>Warranty_Months</t>
  </si>
  <si>
    <t>TechHub</t>
  </si>
  <si>
    <t>Global Trade</t>
  </si>
  <si>
    <t>ABC Corp</t>
  </si>
  <si>
    <t>Prime Supplies</t>
  </si>
  <si>
    <t>Membership</t>
  </si>
  <si>
    <t>State</t>
  </si>
  <si>
    <t>Silver</t>
  </si>
  <si>
    <t>RJ</t>
  </si>
  <si>
    <t>Platinum</t>
  </si>
  <si>
    <t>WB</t>
  </si>
  <si>
    <t>Gold</t>
  </si>
  <si>
    <t>DL</t>
  </si>
  <si>
    <t>KA</t>
  </si>
  <si>
    <t>Product ID</t>
  </si>
  <si>
    <t xml:space="preserve">Product Name </t>
  </si>
  <si>
    <t>Cost Price</t>
  </si>
  <si>
    <t>Warrenty (Months)</t>
  </si>
  <si>
    <t>Total Sales Amount Generated From Electronics Cateogary For Completed orders</t>
  </si>
  <si>
    <t>Total Sales Amount Generated by Neha in North Region</t>
  </si>
  <si>
    <t>Number of customers who have given a Rating of 5 and whose Order Status is Completed</t>
  </si>
  <si>
    <t>Number of orders where Discount Percentage is greater than or equal to 15% and the Payment Mode is UPI</t>
  </si>
  <si>
    <t>Average Sales Amount for orders placed in the West region where the Quantity is greater than 5</t>
  </si>
  <si>
    <t>Average Sales Amount</t>
  </si>
  <si>
    <t>Median Sales Amount</t>
  </si>
  <si>
    <t>Highest Sales Amount</t>
  </si>
  <si>
    <t>Lowest Sales Amount</t>
  </si>
  <si>
    <t>Standard Deviation</t>
  </si>
  <si>
    <t>90th Percentile</t>
  </si>
  <si>
    <t>The 90th percentile shows the sales amount below which around 90% of the sales transactions fall. It helps us understand what sales value separates the top 10% of the highest sales from the rest.</t>
  </si>
  <si>
    <t>Summary Table</t>
  </si>
  <si>
    <t>Total Revenue</t>
  </si>
  <si>
    <t>Weighted Average Unit Price</t>
  </si>
  <si>
    <t>Calculated total Revenue</t>
  </si>
  <si>
    <t>Total Revenue in Sales column</t>
  </si>
  <si>
    <t>Difference b/w Calculated sales &amp; Total revenue in sales column</t>
  </si>
  <si>
    <t>Total Discounted Amount</t>
  </si>
  <si>
    <t>Future Value of the Invetment</t>
  </si>
  <si>
    <t>Monthly Investment Required</t>
  </si>
  <si>
    <t>EMI per Month</t>
  </si>
  <si>
    <t>Not Assigned</t>
  </si>
  <si>
    <t>Sum of Sales</t>
  </si>
  <si>
    <t>Row Labels</t>
  </si>
  <si>
    <t>Grand Total</t>
  </si>
  <si>
    <t>Total Sales</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</si>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</sst>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
    <numFmt numFmtId="166" formatCode="\r\u\pee"/>
    <numFmt numFmtId="167" formatCode="dd/mm/yy"/>
    <numFmt numFmtId="168" formatCode="dd/mm/yyyy"/>
  </numFmts>
  <fonts count="9" x14ac:knownFonts="1">
    <font>
      <sz val="11"/>
      <color theme="1"/>
      <name val="Calibri"/>
      <family val="2"/>
      <scheme val="minor"/>
    </font>
    <font>
      <b/>
      <sz val="11"/>
      <color theme="0"/>
      <name val="Calibri"/>
      <family val="2"/>
      <scheme val="minor"/>
    </font>
    <font>
      <u/>
      <sz val="11"/>
      <color theme="10"/>
      <name val="Calibri"/>
      <family val="2"/>
      <scheme val="minor"/>
    </font>
    <font>
      <b/>
      <sz val="11"/>
      <color theme="2"/>
      <name val="Calibri"/>
      <family val="2"/>
      <scheme val="minor"/>
    </font>
    <font>
      <sz val="11"/>
      <color theme="1"/>
      <name val="Calibri"/>
      <family val="2"/>
      <scheme val="minor"/>
    </font>
    <font>
      <sz val="20"/>
      <color theme="1"/>
      <name val="Calibri"/>
      <family val="2"/>
      <scheme val="minor"/>
    </font>
    <font>
      <b/>
      <u/>
      <sz val="36"/>
      <color rgb="FFFF0000"/>
      <name val="Times New Roman"/>
      <family val="1"/>
    </font>
    <font>
      <b/>
      <sz val="11"/>
      <color theme="1"/>
      <name val="Calibri"/>
      <family val="2"/>
      <scheme val="minor"/>
    </font>
    <font>
      <sz val="14"/>
      <color theme="1"/>
      <name val="Calibri"/>
      <family val="2"/>
      <scheme val="minor"/>
    </font>
  </fonts>
  <fills count="1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249977111117893"/>
        <bgColor theme="4"/>
      </patternFill>
    </fill>
    <fill>
      <patternFill patternType="solid">
        <fgColor theme="4"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CC"/>
      </patternFill>
    </fill>
    <fill>
      <patternFill patternType="solid">
        <fgColor theme="4" tint="0.39997558519241921"/>
        <bgColor indexed="65"/>
      </patternFill>
    </fill>
    <fill>
      <patternFill patternType="solid">
        <fgColor theme="7" tint="-0.499984740745262"/>
        <bgColor indexed="64"/>
      </patternFill>
    </fill>
    <fill>
      <patternFill patternType="solid">
        <fgColor rgb="FFFFC000"/>
        <bgColor indexed="64"/>
      </patternFill>
    </fill>
  </fills>
  <borders count="29">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44" fontId="4" fillId="0" borderId="0" applyFont="0" applyFill="0" applyBorder="0" applyAlignment="0" applyProtection="0"/>
    <xf numFmtId="0" fontId="4" fillId="12" borderId="27" applyNumberFormat="0" applyFont="0" applyAlignment="0" applyProtection="0"/>
    <xf numFmtId="0" fontId="4" fillId="13" borderId="0" applyNumberFormat="0" applyBorder="0" applyAlignment="0" applyProtection="0"/>
  </cellStyleXfs>
  <cellXfs count="101">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2" fillId="3" borderId="4" xfId="1" applyFill="1" applyBorder="1" applyAlignment="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2" fillId="4" borderId="4" xfId="1" applyFill="1" applyBorder="1" applyAlignment="1"/>
    <xf numFmtId="0" fontId="0" fillId="4" borderId="5" xfId="0" applyFill="1" applyBorder="1"/>
    <xf numFmtId="0" fontId="0" fillId="4" borderId="6" xfId="0" applyFill="1" applyBorder="1"/>
    <xf numFmtId="2" fontId="0" fillId="4" borderId="6" xfId="0" applyNumberFormat="1" applyFill="1" applyBorder="1"/>
    <xf numFmtId="0" fontId="1" fillId="2" borderId="7" xfId="0" applyFont="1" applyFill="1" applyBorder="1" applyAlignment="1">
      <alignment horizontal="center"/>
    </xf>
    <xf numFmtId="0" fontId="0" fillId="3" borderId="7" xfId="0" applyFill="1" applyBorder="1" applyAlignment="1">
      <alignment horizontal="center"/>
    </xf>
    <xf numFmtId="14" fontId="0" fillId="3" borderId="7" xfId="0" applyNumberFormat="1" applyFill="1" applyBorder="1" applyAlignment="1">
      <alignment horizontal="center"/>
    </xf>
    <xf numFmtId="0" fontId="2" fillId="3" borderId="7" xfId="1" applyFill="1" applyBorder="1" applyAlignment="1">
      <alignment horizontal="center"/>
    </xf>
    <xf numFmtId="2" fontId="0" fillId="3" borderId="7" xfId="0" applyNumberFormat="1" applyFill="1" applyBorder="1" applyAlignment="1">
      <alignment horizontal="center"/>
    </xf>
    <xf numFmtId="0" fontId="0" fillId="4" borderId="7" xfId="0" applyFill="1" applyBorder="1" applyAlignment="1">
      <alignment horizontal="center"/>
    </xf>
    <xf numFmtId="14" fontId="0" fillId="4" borderId="7" xfId="0" applyNumberFormat="1" applyFill="1" applyBorder="1" applyAlignment="1">
      <alignment horizontal="center"/>
    </xf>
    <xf numFmtId="2" fontId="0" fillId="4" borderId="7" xfId="0" applyNumberFormat="1" applyFill="1" applyBorder="1" applyAlignment="1">
      <alignment horizontal="center"/>
    </xf>
    <xf numFmtId="0" fontId="2" fillId="4" borderId="7" xfId="1" applyFill="1" applyBorder="1" applyAlignment="1">
      <alignment horizontal="center"/>
    </xf>
    <xf numFmtId="0" fontId="0" fillId="8" borderId="7" xfId="0" applyFill="1" applyBorder="1" applyAlignment="1">
      <alignment horizontal="center"/>
    </xf>
    <xf numFmtId="0" fontId="3" fillId="5" borderId="7" xfId="0" applyFont="1" applyFill="1" applyBorder="1" applyAlignment="1">
      <alignment horizontal="center"/>
    </xf>
    <xf numFmtId="0" fontId="3" fillId="6" borderId="7" xfId="0" applyFont="1" applyFill="1" applyBorder="1" applyAlignment="1">
      <alignment horizontal="center"/>
    </xf>
    <xf numFmtId="0" fontId="0" fillId="0" borderId="7" xfId="0" applyBorder="1" applyAlignment="1">
      <alignment horizontal="center"/>
    </xf>
    <xf numFmtId="0" fontId="0" fillId="7" borderId="7" xfId="0" applyFill="1" applyBorder="1" applyAlignment="1">
      <alignment horizontal="center"/>
    </xf>
    <xf numFmtId="0" fontId="0" fillId="7" borderId="7" xfId="0" applyFill="1" applyBorder="1" applyAlignment="1">
      <alignment horizontal="center" vertical="center" wrapText="1"/>
    </xf>
    <xf numFmtId="0" fontId="0" fillId="7" borderId="7" xfId="0" applyFill="1" applyBorder="1" applyAlignment="1">
      <alignment horizontal="center" wrapText="1"/>
    </xf>
    <xf numFmtId="0" fontId="0" fillId="8" borderId="7" xfId="0" applyFill="1" applyBorder="1" applyAlignment="1">
      <alignment horizontal="center" vertical="center"/>
    </xf>
    <xf numFmtId="2" fontId="0" fillId="8" borderId="7" xfId="0" applyNumberFormat="1" applyFill="1" applyBorder="1" applyAlignment="1">
      <alignment horizontal="center" vertical="center"/>
    </xf>
    <xf numFmtId="164" fontId="0" fillId="0" borderId="0" xfId="0" applyNumberFormat="1"/>
    <xf numFmtId="166" fontId="0" fillId="7" borderId="7" xfId="0" applyNumberFormat="1" applyFill="1" applyBorder="1"/>
    <xf numFmtId="0" fontId="0" fillId="7" borderId="7" xfId="0" applyFill="1" applyBorder="1"/>
    <xf numFmtId="0" fontId="5" fillId="0" borderId="0" xfId="0" applyFont="1"/>
    <xf numFmtId="44" fontId="0" fillId="8" borderId="10" xfId="2" applyFont="1" applyFill="1" applyBorder="1"/>
    <xf numFmtId="44" fontId="0" fillId="8" borderId="13" xfId="2" applyFont="1" applyFill="1" applyBorder="1"/>
    <xf numFmtId="44" fontId="0" fillId="8" borderId="11" xfId="2" applyFont="1" applyFill="1" applyBorder="1" applyAlignment="1"/>
    <xf numFmtId="44" fontId="0" fillId="8" borderId="14" xfId="2" applyFont="1" applyFill="1" applyBorder="1" applyAlignment="1"/>
    <xf numFmtId="44" fontId="0" fillId="8" borderId="7" xfId="2" applyFont="1" applyFill="1" applyBorder="1"/>
    <xf numFmtId="44" fontId="0" fillId="8" borderId="8" xfId="2" applyFont="1" applyFill="1" applyBorder="1"/>
    <xf numFmtId="165" fontId="0" fillId="8" borderId="21" xfId="0" applyNumberFormat="1" applyFill="1" applyBorder="1"/>
    <xf numFmtId="165" fontId="0" fillId="8" borderId="22" xfId="0" applyNumberFormat="1" applyFill="1" applyBorder="1"/>
    <xf numFmtId="165" fontId="0" fillId="8" borderId="23" xfId="0" applyNumberFormat="1" applyFill="1" applyBorder="1" applyAlignment="1">
      <alignment vertical="center" wrapText="1"/>
    </xf>
    <xf numFmtId="0" fontId="0" fillId="7" borderId="24" xfId="0" applyFill="1" applyBorder="1"/>
    <xf numFmtId="0" fontId="0" fillId="7" borderId="25" xfId="0" applyFill="1" applyBorder="1"/>
    <xf numFmtId="0" fontId="0" fillId="7" borderId="26" xfId="0" applyFill="1" applyBorder="1" applyAlignment="1">
      <alignment vertical="center" wrapText="1"/>
    </xf>
    <xf numFmtId="167" fontId="0" fillId="3" borderId="4" xfId="0" applyNumberFormat="1" applyFill="1" applyBorder="1"/>
    <xf numFmtId="167" fontId="0" fillId="4" borderId="4" xfId="0" applyNumberFormat="1" applyFill="1" applyBorder="1"/>
    <xf numFmtId="167" fontId="0" fillId="4" borderId="6" xfId="0" applyNumberFormat="1" applyFill="1" applyBorder="1"/>
    <xf numFmtId="167" fontId="0" fillId="0" borderId="0" xfId="0" applyNumberFormat="1"/>
    <xf numFmtId="168" fontId="0" fillId="3" borderId="4" xfId="0" applyNumberFormat="1" applyFill="1" applyBorder="1"/>
    <xf numFmtId="168" fontId="0" fillId="4" borderId="4" xfId="0" applyNumberFormat="1" applyFill="1" applyBorder="1"/>
    <xf numFmtId="168" fontId="0" fillId="4" borderId="6" xfId="0" applyNumberFormat="1" applyFill="1"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14" borderId="0" xfId="0" applyFill="1"/>
    <xf numFmtId="0" fontId="6" fillId="14" borderId="0" xfId="3" applyFont="1" applyFill="1" applyBorder="1" applyAlignment="1"/>
    <xf numFmtId="0" fontId="0" fillId="14" borderId="0" xfId="0" applyFill="1" applyAlignment="1">
      <alignment horizontal="center" vertical="center"/>
    </xf>
    <xf numFmtId="0" fontId="8" fillId="15" borderId="28" xfId="0" applyFont="1" applyFill="1" applyBorder="1" applyAlignment="1">
      <alignment horizontal="center" vertical="center"/>
    </xf>
    <xf numFmtId="0" fontId="8" fillId="8" borderId="28" xfId="0" applyFont="1" applyFill="1" applyBorder="1" applyAlignment="1">
      <alignment horizontal="center" vertical="center"/>
    </xf>
    <xf numFmtId="0" fontId="7" fillId="13" borderId="1" xfId="4" applyFont="1" applyBorder="1" applyAlignment="1">
      <alignment horizontal="center"/>
    </xf>
    <xf numFmtId="0" fontId="7" fillId="13" borderId="2" xfId="4" applyFont="1" applyBorder="1" applyAlignment="1">
      <alignment horizontal="center"/>
    </xf>
    <xf numFmtId="0" fontId="4" fillId="13" borderId="3" xfId="4" applyBorder="1" applyAlignment="1">
      <alignment horizontal="center"/>
    </xf>
    <xf numFmtId="0" fontId="4" fillId="13" borderId="4" xfId="4" applyBorder="1" applyAlignment="1">
      <alignment horizontal="center"/>
    </xf>
    <xf numFmtId="168" fontId="4" fillId="13" borderId="4" xfId="4" applyNumberFormat="1" applyBorder="1" applyAlignment="1">
      <alignment horizontal="center"/>
    </xf>
    <xf numFmtId="167" fontId="4" fillId="13" borderId="4" xfId="4" applyNumberFormat="1" applyBorder="1" applyAlignment="1">
      <alignment horizontal="center"/>
    </xf>
    <xf numFmtId="2" fontId="4" fillId="13" borderId="4" xfId="4" applyNumberFormat="1" applyBorder="1" applyAlignment="1">
      <alignment horizontal="center"/>
    </xf>
    <xf numFmtId="0" fontId="4" fillId="13" borderId="5" xfId="4" applyBorder="1" applyAlignment="1">
      <alignment horizontal="center"/>
    </xf>
    <xf numFmtId="0" fontId="4" fillId="13" borderId="6" xfId="4" applyBorder="1" applyAlignment="1">
      <alignment horizontal="center"/>
    </xf>
    <xf numFmtId="168" fontId="4" fillId="13" borderId="6" xfId="4" applyNumberFormat="1" applyBorder="1" applyAlignment="1">
      <alignment horizontal="center"/>
    </xf>
    <xf numFmtId="167" fontId="4" fillId="13" borderId="6" xfId="4" applyNumberFormat="1" applyBorder="1" applyAlignment="1">
      <alignment horizontal="center"/>
    </xf>
    <xf numFmtId="2" fontId="4" fillId="13" borderId="6" xfId="4" applyNumberFormat="1" applyBorder="1" applyAlignment="1">
      <alignment horizontal="center"/>
    </xf>
    <xf numFmtId="0" fontId="0" fillId="9" borderId="7" xfId="0" applyFill="1" applyBorder="1" applyAlignment="1">
      <alignment horizont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13" xfId="0" applyFill="1" applyBorder="1" applyAlignment="1">
      <alignment horizontal="center" vertical="center" wrapText="1"/>
    </xf>
    <xf numFmtId="44" fontId="0" fillId="8" borderId="15" xfId="2" applyFont="1" applyFill="1" applyBorder="1" applyAlignment="1">
      <alignment vertical="center"/>
    </xf>
    <xf numFmtId="44" fontId="0" fillId="8" borderId="16" xfId="2" applyFont="1" applyFill="1" applyBorder="1" applyAlignment="1">
      <alignment vertical="center"/>
    </xf>
    <xf numFmtId="44" fontId="0" fillId="8" borderId="17" xfId="2" applyFont="1" applyFill="1" applyBorder="1" applyAlignment="1">
      <alignment vertical="center"/>
    </xf>
    <xf numFmtId="44" fontId="0" fillId="8" borderId="18" xfId="2" applyFont="1" applyFill="1" applyBorder="1" applyAlignment="1">
      <alignment vertical="center"/>
    </xf>
    <xf numFmtId="0" fontId="0" fillId="7" borderId="10" xfId="0" applyFill="1" applyBorder="1" applyAlignment="1">
      <alignment horizontal="center"/>
    </xf>
    <xf numFmtId="0" fontId="0" fillId="7" borderId="13" xfId="0" applyFill="1" applyBorder="1" applyAlignment="1">
      <alignment horizontal="center"/>
    </xf>
    <xf numFmtId="0" fontId="5" fillId="10" borderId="9" xfId="0" applyFont="1" applyFill="1" applyBorder="1" applyAlignment="1">
      <alignment horizontal="center"/>
    </xf>
    <xf numFmtId="0" fontId="5" fillId="10" borderId="10" xfId="0" applyFont="1" applyFill="1" applyBorder="1" applyAlignment="1">
      <alignment horizontal="center"/>
    </xf>
    <xf numFmtId="0" fontId="5" fillId="10" borderId="11" xfId="0" applyFont="1" applyFill="1" applyBorder="1" applyAlignment="1">
      <alignment horizontal="center"/>
    </xf>
    <xf numFmtId="0" fontId="5" fillId="10" borderId="12" xfId="0" applyFont="1" applyFill="1" applyBorder="1" applyAlignment="1">
      <alignment horizontal="center"/>
    </xf>
    <xf numFmtId="0" fontId="5" fillId="10" borderId="13" xfId="0" applyFont="1" applyFill="1" applyBorder="1" applyAlignment="1">
      <alignment horizontal="center"/>
    </xf>
    <xf numFmtId="0" fontId="5" fillId="10" borderId="14" xfId="0" applyFont="1" applyFill="1" applyBorder="1" applyAlignment="1">
      <alignment horizontal="center"/>
    </xf>
    <xf numFmtId="0" fontId="0" fillId="7" borderId="9" xfId="0" applyFill="1" applyBorder="1" applyAlignment="1">
      <alignment horizontal="center"/>
    </xf>
    <xf numFmtId="0" fontId="0" fillId="7" borderId="12" xfId="0" applyFill="1" applyBorder="1" applyAlignment="1">
      <alignment horizontal="center"/>
    </xf>
    <xf numFmtId="0" fontId="0" fillId="7" borderId="9" xfId="0" applyFill="1" applyBorder="1" applyAlignment="1">
      <alignment horizontal="center" wrapText="1"/>
    </xf>
    <xf numFmtId="0" fontId="0" fillId="7" borderId="10" xfId="0" applyFill="1" applyBorder="1" applyAlignment="1">
      <alignment horizontal="center" wrapText="1"/>
    </xf>
    <xf numFmtId="0" fontId="0" fillId="7" borderId="12" xfId="0" applyFill="1" applyBorder="1" applyAlignment="1">
      <alignment horizontal="center" wrapText="1"/>
    </xf>
    <xf numFmtId="0" fontId="0" fillId="7" borderId="13" xfId="0" applyFill="1" applyBorder="1" applyAlignment="1">
      <alignment horizontal="center" wrapText="1"/>
    </xf>
    <xf numFmtId="0" fontId="0" fillId="11" borderId="19" xfId="0" applyFill="1" applyBorder="1" applyAlignment="1">
      <alignment horizontal="center"/>
    </xf>
    <xf numFmtId="0" fontId="0" fillId="11" borderId="20" xfId="0" applyFill="1" applyBorder="1" applyAlignment="1">
      <alignment horizontal="center"/>
    </xf>
    <xf numFmtId="0" fontId="2" fillId="0" borderId="0" xfId="1"/>
  </cellXfs>
  <cellStyles count="5">
    <cellStyle name="60% - Accent1" xfId="4" builtinId="32"/>
    <cellStyle name="Currency" xfId="2" builtinId="4"/>
    <cellStyle name="Hyperlink" xfId="1" builtinId="8"/>
    <cellStyle name="Normal" xfId="0" builtinId="0"/>
    <cellStyle name="Note" xfId="3" builtinId="10"/>
  </cellStyles>
  <dxfs count="52">
    <dxf>
      <font>
        <color rgb="FF9C0006"/>
      </font>
      <fill>
        <patternFill>
          <bgColor rgb="FFFFC7CE"/>
        </patternFill>
      </fill>
    </dxf>
    <dxf>
      <font>
        <color rgb="FF9C0006"/>
      </font>
      <fill>
        <patternFill>
          <bgColor rgb="FFFFC7CE"/>
        </patternFill>
      </fill>
    </dxf>
    <dxf>
      <fill>
        <patternFill>
          <bgColor theme="4" tint="0.59999389629810485"/>
        </patternFill>
      </fill>
    </dxf>
    <dxf>
      <fill>
        <patternFill>
          <bgColor rgb="FFFFC000"/>
        </patternFill>
      </fill>
    </dxf>
    <dxf>
      <fill>
        <patternFill>
          <bgColor theme="7" tint="-0.499984740745262"/>
        </patternFill>
      </fill>
    </dxf>
    <dxf>
      <alignment horizontal="center"/>
    </dxf>
    <dxf>
      <alignment horizontal="center"/>
    </dxf>
    <dxf>
      <alignment horizontal="center"/>
    </dxf>
    <dxf>
      <alignment vertical="center"/>
    </dxf>
    <dxf>
      <alignment vertical="center"/>
    </dxf>
    <dxf>
      <alignment vertical="center"/>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249977111117893"/>
        </patternFill>
      </fill>
    </dxf>
    <dxf>
      <fill>
        <patternFill>
          <bgColor theme="9" tint="-0.249977111117893"/>
        </patternFill>
      </fill>
    </dxf>
    <dxf>
      <fill>
        <patternFill>
          <bgColor theme="9" tint="-0.249977111117893"/>
        </patternFill>
      </fill>
    </dxf>
    <dxf>
      <fill>
        <patternFill>
          <bgColor theme="4" tint="0.59999389629810485"/>
        </patternFill>
      </fill>
    </dxf>
    <dxf>
      <fill>
        <patternFill>
          <bgColor rgb="FFFFC000"/>
        </patternFill>
      </fill>
    </dxf>
    <dxf>
      <fill>
        <patternFill>
          <bgColor theme="7" tint="-0.499984740745262"/>
        </patternFill>
      </fill>
    </dxf>
    <dxf>
      <alignment horizontal="center"/>
    </dxf>
    <dxf>
      <alignment horizontal="center"/>
    </dxf>
    <dxf>
      <alignment horizontal="center"/>
    </dxf>
    <dxf>
      <alignment vertical="center"/>
    </dxf>
    <dxf>
      <alignment vertical="center"/>
    </dxf>
    <dxf>
      <alignment vertical="center"/>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249977111117893"/>
        </patternFill>
      </fill>
    </dxf>
    <dxf>
      <fill>
        <patternFill>
          <bgColor theme="9" tint="-0.249977111117893"/>
        </patternFill>
      </fill>
    </dxf>
    <dxf>
      <fill>
        <patternFill>
          <bgColor theme="9" tint="-0.249977111117893"/>
        </patternFill>
      </fill>
    </dxf>
    <dxf>
      <fill>
        <patternFill>
          <bgColor theme="4" tint="0.59999389629810485"/>
        </patternFill>
      </fill>
    </dxf>
    <dxf>
      <fill>
        <patternFill>
          <bgColor rgb="FFFFC000"/>
        </patternFill>
      </fill>
    </dxf>
    <dxf>
      <alignment horizontal="center"/>
    </dxf>
    <dxf>
      <alignment horizontal="center"/>
    </dxf>
    <dxf>
      <alignment horizontal="center"/>
    </dxf>
    <dxf>
      <alignment vertical="center"/>
    </dxf>
    <dxf>
      <alignment vertical="center"/>
    </dxf>
    <dxf>
      <alignment vertical="center"/>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249977111117893"/>
        </patternFill>
      </fill>
    </dxf>
    <dxf>
      <fill>
        <patternFill>
          <bgColor theme="9" tint="-0.249977111117893"/>
        </patternFill>
      </fill>
    </dxf>
    <dxf>
      <fill>
        <patternFill>
          <bgColor theme="9"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'Priliminary analysis (rough)'!$Y$4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'Priliminary analysis (rough)'!$X$5:$X$9</c:f>
              <c:strCache>
                <c:ptCount val="4"/>
                <c:pt idx="0">
                  <c:v>East</c:v>
                </c:pt>
                <c:pt idx="1">
                  <c:v>North</c:v>
                </c:pt>
                <c:pt idx="2">
                  <c:v>South</c:v>
                </c:pt>
                <c:pt idx="3">
                  <c:v>West</c:v>
                </c:pt>
              </c:strCache>
            </c:strRef>
          </c:cat>
          <c:val>
            <c:numRef>
              <c:f>'Priliminary analysis (rough)'!$Y$5:$Y$9</c:f>
              <c:numCache>
                <c:formatCode>General</c:formatCode>
                <c:ptCount val="4"/>
                <c:pt idx="0">
                  <c:v>4041922</c:v>
                </c:pt>
                <c:pt idx="1">
                  <c:v>9197852.5</c:v>
                </c:pt>
                <c:pt idx="2">
                  <c:v>7490491.5</c:v>
                </c:pt>
                <c:pt idx="3">
                  <c:v>13201746.5</c:v>
                </c:pt>
              </c:numCache>
            </c:numRef>
          </c:val>
          <c:extLst>
            <c:ext xmlns:c16="http://schemas.microsoft.com/office/drawing/2014/chart" uri="{C3380CC4-5D6E-409C-BE32-E72D297353CC}">
              <c16:uniqueId val="{00000000-F1B3-4449-8C50-FDBF6F688D60}"/>
            </c:ext>
          </c:extLst>
        </c:ser>
        <c:dLbls>
          <c:showLegendKey val="0"/>
          <c:showVal val="0"/>
          <c:showCatName val="0"/>
          <c:showSerName val="0"/>
          <c:showPercent val="0"/>
          <c:showBubbleSize val="0"/>
        </c:dLbls>
        <c:gapWidth val="315"/>
        <c:overlap val="-40"/>
        <c:axId val="492125583"/>
        <c:axId val="492459471"/>
      </c:barChart>
      <c:catAx>
        <c:axId val="49212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2459471"/>
        <c:crosses val="autoZero"/>
        <c:auto val="1"/>
        <c:lblAlgn val="ctr"/>
        <c:lblOffset val="100"/>
        <c:noMultiLvlLbl val="0"/>
      </c:catAx>
      <c:valAx>
        <c:axId val="49245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212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'Priliminary analysis (rough)'!$AB$4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D-4728-B440-BA3006FBB8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D-4728-B440-BA3006FBB8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8D-4728-B440-BA3006FBB86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8D-4728-B440-BA3006FBB86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08D-4728-B440-BA3006FBB863}"/>
              </c:ext>
            </c:extLst>
          </c:dPt>
          <c:dLbls>
            <c:dLbl>
              <c:idx val="2"/>
              <c:delete val="1"/>
              <c:extLst>
                <c:ext xmlns:c15="http://schemas.microsoft.com/office/drawing/2012/chart" uri="{CE6537A1-D6FC-4f65-9D91-7224C49458BB}"/>
                <c:ext xmlns:c16="http://schemas.microsoft.com/office/drawing/2014/chart" uri="{C3380CC4-5D6E-409C-BE32-E72D297353CC}">
                  <c16:uniqueId val="{00000005-008D-4728-B440-BA3006FBB8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'Priliminary analysis (rough)'!$AA$5:$AA$8</c:f>
              <c:strCache>
                <c:ptCount val="3"/>
                <c:pt idx="0">
                  <c:v>Electronics</c:v>
                </c:pt>
                <c:pt idx="1">
                  <c:v>Home Appliances</c:v>
                </c:pt>
                <c:pt idx="2">
                  <c:v>Stationery</c:v>
                </c:pt>
              </c:strCache>
            </c:strRef>
          </c:cat>
          <c:val>
            <c:numRef>
              <c:f>'Priliminary analysis (rough)'!$AB$5:$AB$8</c:f>
              <c:numCache>
                <c:formatCode>General</c:formatCode>
                <c:ptCount val="3"/>
                <c:pt idx="0">
                  <c:v>26999534</c:v>
                </c:pt>
                <c:pt idx="1">
                  <c:v>6816975</c:v>
                </c:pt>
                <c:pt idx="2">
                  <c:v>115503.5</c:v>
                </c:pt>
              </c:numCache>
            </c:numRef>
          </c:val>
          <c:extLst>
            <c:ext xmlns:c16="http://schemas.microsoft.com/office/drawing/2014/chart" uri="{C3380CC4-5D6E-409C-BE32-E72D297353CC}">
              <c16:uniqueId val="{0000000A-008D-4728-B440-BA3006FBB863}"/>
            </c:ext>
          </c:extLst>
        </c:ser>
        <c:dLbls>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(rough)!PivotTable19</c:name>
    <c:fmtId val="1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'Priliminary analysis (rough)'!$AE$4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'Priliminary analysis (rough)'!$AD$5:$AD$329</c:f>
              <c:strCache>
                <c:ptCount val="324"/>
                <c:pt idx="0">
                  <c:v>1/1/2025</c:v>
                </c:pt>
                <c:pt idx="1">
                  <c:v>1/3/2025</c:v>
                </c:pt>
                <c:pt idx="2">
                  <c:v>1/9/2025</c:v>
                </c:pt>
                <c:pt idx="3">
                  <c:v>1/10/2025</c:v>
                </c:pt>
                <c:pt idx="4">
                  <c:v>1/12/2025</c:v>
                </c:pt>
                <c:pt idx="5">
                  <c:v>1/13/2025</c:v>
                </c:pt>
                <c:pt idx="6">
                  <c:v>1/15/2025</c:v>
                </c:pt>
                <c:pt idx="7">
                  <c:v>1/16/2025</c:v>
                </c:pt>
                <c:pt idx="8">
                  <c:v>1/17/2025</c:v>
                </c:pt>
                <c:pt idx="9">
                  <c:v>1/21/2025</c:v>
                </c:pt>
                <c:pt idx="10">
                  <c:v>1/22/2025</c:v>
                </c:pt>
                <c:pt idx="11">
                  <c:v>1/24/2025</c:v>
                </c:pt>
                <c:pt idx="12">
                  <c:v>1/25/2025</c:v>
                </c:pt>
                <c:pt idx="13">
                  <c:v>1/26/2025</c:v>
                </c:pt>
                <c:pt idx="14">
                  <c:v>1/27/2025</c:v>
                </c:pt>
                <c:pt idx="15">
                  <c:v>1/28/2025</c:v>
                </c:pt>
                <c:pt idx="16">
                  <c:v>1/31/2025</c:v>
                </c:pt>
                <c:pt idx="17">
                  <c:v>2/1/2025</c:v>
                </c:pt>
                <c:pt idx="18">
                  <c:v>2/3/2025</c:v>
                </c:pt>
                <c:pt idx="19">
                  <c:v>2/4/2025</c:v>
                </c:pt>
                <c:pt idx="20">
                  <c:v>2/6/2025</c:v>
                </c:pt>
                <c:pt idx="21">
                  <c:v>2/7/2025</c:v>
                </c:pt>
                <c:pt idx="22">
                  <c:v>2/8/2025</c:v>
                </c:pt>
                <c:pt idx="23">
                  <c:v>2/9/2025</c:v>
                </c:pt>
                <c:pt idx="24">
                  <c:v>2/11/2025</c:v>
                </c:pt>
                <c:pt idx="25">
                  <c:v>2/13/2025</c:v>
                </c:pt>
                <c:pt idx="26">
                  <c:v>2/16/2025</c:v>
                </c:pt>
                <c:pt idx="27">
                  <c:v>2/17/2025</c:v>
                </c:pt>
                <c:pt idx="28">
                  <c:v>2/18/2025</c:v>
                </c:pt>
                <c:pt idx="29">
                  <c:v>2/19/2025</c:v>
                </c:pt>
                <c:pt idx="30">
                  <c:v>2/20/2025</c:v>
                </c:pt>
                <c:pt idx="31">
                  <c:v>2/21/2025</c:v>
                </c:pt>
                <c:pt idx="32">
                  <c:v>2/22/2025</c:v>
                </c:pt>
                <c:pt idx="33">
                  <c:v>2/23/2025</c:v>
                </c:pt>
                <c:pt idx="34">
                  <c:v>2/25/2025</c:v>
                </c:pt>
                <c:pt idx="35">
                  <c:v>2/26/2025</c:v>
                </c:pt>
                <c:pt idx="36">
                  <c:v>2/27/2025</c:v>
                </c:pt>
                <c:pt idx="37">
                  <c:v>2/28/2025</c:v>
                </c:pt>
                <c:pt idx="38">
                  <c:v>3/1/2025</c:v>
                </c:pt>
                <c:pt idx="39">
                  <c:v>3/2/2025</c:v>
                </c:pt>
                <c:pt idx="40">
                  <c:v>3/3/2025</c:v>
                </c:pt>
                <c:pt idx="41">
                  <c:v>3/5/2025</c:v>
                </c:pt>
                <c:pt idx="42">
                  <c:v>3/6/2025</c:v>
                </c:pt>
                <c:pt idx="43">
                  <c:v>3/7/2025</c:v>
                </c:pt>
                <c:pt idx="44">
                  <c:v>3/8/2025</c:v>
                </c:pt>
                <c:pt idx="45">
                  <c:v>3/9/2025</c:v>
                </c:pt>
                <c:pt idx="46">
                  <c:v>3/12/2025</c:v>
                </c:pt>
                <c:pt idx="47">
                  <c:v>3/13/2025</c:v>
                </c:pt>
                <c:pt idx="48">
                  <c:v>3/14/2025</c:v>
                </c:pt>
                <c:pt idx="49">
                  <c:v>3/16/2025</c:v>
                </c:pt>
                <c:pt idx="50">
                  <c:v>3/17/2025</c:v>
                </c:pt>
                <c:pt idx="51">
                  <c:v>3/18/2025</c:v>
                </c:pt>
                <c:pt idx="52">
                  <c:v>3/20/2025</c:v>
                </c:pt>
                <c:pt idx="53">
                  <c:v>3/23/2025</c:v>
                </c:pt>
                <c:pt idx="54">
                  <c:v>3/25/2025</c:v>
                </c:pt>
                <c:pt idx="55">
                  <c:v>3/26/2025</c:v>
                </c:pt>
                <c:pt idx="56">
                  <c:v>3/27/2025</c:v>
                </c:pt>
                <c:pt idx="57">
                  <c:v>3/28/2025</c:v>
                </c:pt>
                <c:pt idx="58">
                  <c:v>3/29/2025</c:v>
                </c:pt>
                <c:pt idx="59">
                  <c:v>3/30/2025</c:v>
                </c:pt>
                <c:pt idx="60">
                  <c:v>4/1/2025</c:v>
                </c:pt>
                <c:pt idx="61">
                  <c:v>4/3/2025</c:v>
                </c:pt>
                <c:pt idx="62">
                  <c:v>4/5/2025</c:v>
                </c:pt>
                <c:pt idx="63">
                  <c:v>4/7/2025</c:v>
                </c:pt>
                <c:pt idx="64">
                  <c:v>4/8/2025</c:v>
                </c:pt>
                <c:pt idx="65">
                  <c:v>4/9/2025</c:v>
                </c:pt>
                <c:pt idx="66">
                  <c:v>4/10/2025</c:v>
                </c:pt>
                <c:pt idx="67">
                  <c:v>4/11/2025</c:v>
                </c:pt>
                <c:pt idx="68">
                  <c:v>4/12/2025</c:v>
                </c:pt>
                <c:pt idx="69">
                  <c:v>4/13/2025</c:v>
                </c:pt>
                <c:pt idx="70">
                  <c:v>4/17/2025</c:v>
                </c:pt>
                <c:pt idx="71">
                  <c:v>4/18/2025</c:v>
                </c:pt>
                <c:pt idx="72">
                  <c:v>4/19/2025</c:v>
                </c:pt>
                <c:pt idx="73">
                  <c:v>4/20/2025</c:v>
                </c:pt>
                <c:pt idx="74">
                  <c:v>4/21/2025</c:v>
                </c:pt>
                <c:pt idx="75">
                  <c:v>4/22/2025</c:v>
                </c:pt>
                <c:pt idx="76">
                  <c:v>4/23/2025</c:v>
                </c:pt>
                <c:pt idx="77">
                  <c:v>4/25/2025</c:v>
                </c:pt>
                <c:pt idx="78">
                  <c:v>4/26/2025</c:v>
                </c:pt>
                <c:pt idx="79">
                  <c:v>4/27/2025</c:v>
                </c:pt>
                <c:pt idx="80">
                  <c:v>4/28/2025</c:v>
                </c:pt>
                <c:pt idx="81">
                  <c:v>4/30/2025</c:v>
                </c:pt>
                <c:pt idx="82">
                  <c:v>5/2/2025</c:v>
                </c:pt>
                <c:pt idx="83">
                  <c:v>5/3/2025</c:v>
                </c:pt>
                <c:pt idx="84">
                  <c:v>5/4/2025</c:v>
                </c:pt>
                <c:pt idx="85">
                  <c:v>5/8/2025</c:v>
                </c:pt>
                <c:pt idx="86">
                  <c:v>5/9/2025</c:v>
                </c:pt>
                <c:pt idx="87">
                  <c:v>5/11/2025</c:v>
                </c:pt>
                <c:pt idx="88">
                  <c:v>5/12/2025</c:v>
                </c:pt>
                <c:pt idx="89">
                  <c:v>5/13/2025</c:v>
                </c:pt>
                <c:pt idx="90">
                  <c:v>5/14/2025</c:v>
                </c:pt>
                <c:pt idx="91">
                  <c:v>5/15/2025</c:v>
                </c:pt>
                <c:pt idx="92">
                  <c:v>5/16/2025</c:v>
                </c:pt>
                <c:pt idx="93">
                  <c:v>5/18/2025</c:v>
                </c:pt>
                <c:pt idx="94">
                  <c:v>5/19/2025</c:v>
                </c:pt>
                <c:pt idx="95">
                  <c:v>5/20/2025</c:v>
                </c:pt>
                <c:pt idx="96">
                  <c:v>5/22/2025</c:v>
                </c:pt>
                <c:pt idx="97">
                  <c:v>5/24/2025</c:v>
                </c:pt>
                <c:pt idx="98">
                  <c:v>5/25/2025</c:v>
                </c:pt>
                <c:pt idx="99">
                  <c:v>5/26/2025</c:v>
                </c:pt>
                <c:pt idx="100">
                  <c:v>5/28/2025</c:v>
                </c:pt>
                <c:pt idx="101">
                  <c:v>5/29/2025</c:v>
                </c:pt>
                <c:pt idx="102">
                  <c:v>5/30/2025</c:v>
                </c:pt>
                <c:pt idx="103">
                  <c:v>5/31/2025</c:v>
                </c:pt>
                <c:pt idx="104">
                  <c:v>6/2/2025</c:v>
                </c:pt>
                <c:pt idx="105">
                  <c:v>6/3/2025</c:v>
                </c:pt>
                <c:pt idx="106">
                  <c:v>6/4/2025</c:v>
                </c:pt>
                <c:pt idx="107">
                  <c:v>6/5/2025</c:v>
                </c:pt>
                <c:pt idx="108">
                  <c:v>6/8/2025</c:v>
                </c:pt>
                <c:pt idx="109">
                  <c:v>6/9/2025</c:v>
                </c:pt>
                <c:pt idx="110">
                  <c:v>6/11/2025</c:v>
                </c:pt>
                <c:pt idx="111">
                  <c:v>6/12/2025</c:v>
                </c:pt>
                <c:pt idx="112">
                  <c:v>6/14/2025</c:v>
                </c:pt>
                <c:pt idx="113">
                  <c:v>6/15/2025</c:v>
                </c:pt>
                <c:pt idx="114">
                  <c:v>6/16/2025</c:v>
                </c:pt>
                <c:pt idx="115">
                  <c:v>6/19/2025</c:v>
                </c:pt>
                <c:pt idx="116">
                  <c:v>6/20/2025</c:v>
                </c:pt>
                <c:pt idx="117">
                  <c:v>6/21/2025</c:v>
                </c:pt>
                <c:pt idx="118">
                  <c:v>6/22/2025</c:v>
                </c:pt>
                <c:pt idx="119">
                  <c:v>6/24/2025</c:v>
                </c:pt>
                <c:pt idx="120">
                  <c:v>6/25/2025</c:v>
                </c:pt>
                <c:pt idx="121">
                  <c:v>6/26/2025</c:v>
                </c:pt>
                <c:pt idx="122">
                  <c:v>6/27/2025</c:v>
                </c:pt>
                <c:pt idx="123">
                  <c:v>6/29/2025</c:v>
                </c:pt>
                <c:pt idx="124">
                  <c:v>7/1/2025</c:v>
                </c:pt>
                <c:pt idx="125">
                  <c:v>7/2/2025</c:v>
                </c:pt>
                <c:pt idx="126">
                  <c:v>7/4/2025</c:v>
                </c:pt>
                <c:pt idx="127">
                  <c:v>7/6/2025</c:v>
                </c:pt>
                <c:pt idx="128">
                  <c:v>7/7/2025</c:v>
                </c:pt>
                <c:pt idx="129">
                  <c:v>7/8/2025</c:v>
                </c:pt>
                <c:pt idx="130">
                  <c:v>7/9/2025</c:v>
                </c:pt>
                <c:pt idx="131">
                  <c:v>7/10/2025</c:v>
                </c:pt>
                <c:pt idx="132">
                  <c:v>7/14/2025</c:v>
                </c:pt>
                <c:pt idx="133">
                  <c:v>7/18/2025</c:v>
                </c:pt>
                <c:pt idx="134">
                  <c:v>7/19/2025</c:v>
                </c:pt>
                <c:pt idx="135">
                  <c:v>7/20/2025</c:v>
                </c:pt>
                <c:pt idx="136">
                  <c:v>7/21/2025</c:v>
                </c:pt>
                <c:pt idx="137">
                  <c:v>7/22/2025</c:v>
                </c:pt>
                <c:pt idx="138">
                  <c:v>7/23/2025</c:v>
                </c:pt>
                <c:pt idx="139">
                  <c:v>7/25/2025</c:v>
                </c:pt>
                <c:pt idx="140">
                  <c:v>7/26/2025</c:v>
                </c:pt>
                <c:pt idx="141">
                  <c:v>7/27/2025</c:v>
                </c:pt>
                <c:pt idx="142">
                  <c:v>7/28/2025</c:v>
                </c:pt>
                <c:pt idx="143">
                  <c:v>7/29/2025</c:v>
                </c:pt>
                <c:pt idx="144">
                  <c:v>7/30/2025</c:v>
                </c:pt>
                <c:pt idx="145">
                  <c:v>8/1/2025</c:v>
                </c:pt>
                <c:pt idx="146">
                  <c:v>8/3/2025</c:v>
                </c:pt>
                <c:pt idx="147">
                  <c:v>8/4/2025</c:v>
                </c:pt>
                <c:pt idx="148">
                  <c:v>8/5/2025</c:v>
                </c:pt>
                <c:pt idx="149">
                  <c:v>8/9/2025</c:v>
                </c:pt>
                <c:pt idx="150">
                  <c:v>8/10/2025</c:v>
                </c:pt>
                <c:pt idx="151">
                  <c:v>8/13/2025</c:v>
                </c:pt>
                <c:pt idx="152">
                  <c:v>8/16/2025</c:v>
                </c:pt>
                <c:pt idx="153">
                  <c:v>8/19/2025</c:v>
                </c:pt>
                <c:pt idx="154">
                  <c:v>8/20/2025</c:v>
                </c:pt>
                <c:pt idx="155">
                  <c:v>8/23/2025</c:v>
                </c:pt>
                <c:pt idx="156">
                  <c:v>8/24/2025</c:v>
                </c:pt>
                <c:pt idx="157">
                  <c:v>8/25/2025</c:v>
                </c:pt>
                <c:pt idx="158">
                  <c:v>8/26/2025</c:v>
                </c:pt>
                <c:pt idx="159">
                  <c:v>8/27/2025</c:v>
                </c:pt>
                <c:pt idx="160">
                  <c:v>8/28/2025</c:v>
                </c:pt>
                <c:pt idx="161">
                  <c:v>8/30/2025</c:v>
                </c:pt>
                <c:pt idx="162">
                  <c:v>9/1/2025</c:v>
                </c:pt>
                <c:pt idx="163">
                  <c:v>9/3/2025</c:v>
                </c:pt>
                <c:pt idx="164">
                  <c:v>9/4/2025</c:v>
                </c:pt>
                <c:pt idx="165">
                  <c:v>9/6/2025</c:v>
                </c:pt>
                <c:pt idx="166">
                  <c:v>9/8/2025</c:v>
                </c:pt>
                <c:pt idx="167">
                  <c:v>9/12/2025</c:v>
                </c:pt>
                <c:pt idx="168">
                  <c:v>9/15/2025</c:v>
                </c:pt>
                <c:pt idx="169">
                  <c:v>9/16/2025</c:v>
                </c:pt>
                <c:pt idx="170">
                  <c:v>9/17/2025</c:v>
                </c:pt>
                <c:pt idx="171">
                  <c:v>9/18/2025</c:v>
                </c:pt>
                <c:pt idx="172">
                  <c:v>9/19/2025</c:v>
                </c:pt>
                <c:pt idx="173">
                  <c:v>9/21/2025</c:v>
                </c:pt>
                <c:pt idx="174">
                  <c:v>9/22/2025</c:v>
                </c:pt>
                <c:pt idx="175">
                  <c:v>9/27/2025</c:v>
                </c:pt>
                <c:pt idx="176">
                  <c:v>9/29/2025</c:v>
                </c:pt>
                <c:pt idx="177">
                  <c:v>10/1/2025</c:v>
                </c:pt>
                <c:pt idx="178">
                  <c:v>10/4/2025</c:v>
                </c:pt>
                <c:pt idx="179">
                  <c:v>10/5/2025</c:v>
                </c:pt>
                <c:pt idx="180">
                  <c:v>10/6/2025</c:v>
                </c:pt>
                <c:pt idx="181">
                  <c:v>10/9/2025</c:v>
                </c:pt>
                <c:pt idx="182">
                  <c:v>10/10/2025</c:v>
                </c:pt>
                <c:pt idx="183">
                  <c:v>10/11/2025</c:v>
                </c:pt>
                <c:pt idx="184">
                  <c:v>10/12/2025</c:v>
                </c:pt>
                <c:pt idx="185">
                  <c:v>10/13/2025</c:v>
                </c:pt>
                <c:pt idx="186">
                  <c:v>10/15/2025</c:v>
                </c:pt>
                <c:pt idx="187">
                  <c:v>10/18/2025</c:v>
                </c:pt>
                <c:pt idx="188">
                  <c:v>10/19/2025</c:v>
                </c:pt>
                <c:pt idx="189">
                  <c:v>10/20/2025</c:v>
                </c:pt>
                <c:pt idx="190">
                  <c:v>10/21/2025</c:v>
                </c:pt>
                <c:pt idx="191">
                  <c:v>10/22/2025</c:v>
                </c:pt>
                <c:pt idx="192">
                  <c:v>10/23/2025</c:v>
                </c:pt>
                <c:pt idx="193">
                  <c:v>10/28/2025</c:v>
                </c:pt>
                <c:pt idx="194">
                  <c:v>10/29/2025</c:v>
                </c:pt>
                <c:pt idx="195">
                  <c:v>10/30/2025</c:v>
                </c:pt>
                <c:pt idx="196">
                  <c:v>10/31/2025</c:v>
                </c:pt>
                <c:pt idx="197">
                  <c:v>11/1/2025</c:v>
                </c:pt>
                <c:pt idx="198">
                  <c:v>11/2/2025</c:v>
                </c:pt>
                <c:pt idx="199">
                  <c:v>11/3/2025</c:v>
                </c:pt>
                <c:pt idx="200">
                  <c:v>11/4/2025</c:v>
                </c:pt>
                <c:pt idx="201">
                  <c:v>11/5/2025</c:v>
                </c:pt>
                <c:pt idx="202">
                  <c:v>11/6/2025</c:v>
                </c:pt>
                <c:pt idx="203">
                  <c:v>11/9/2025</c:v>
                </c:pt>
                <c:pt idx="204">
                  <c:v>11/15/2025</c:v>
                </c:pt>
                <c:pt idx="205">
                  <c:v>11/16/2025</c:v>
                </c:pt>
                <c:pt idx="206">
                  <c:v>11/18/2025</c:v>
                </c:pt>
                <c:pt idx="207">
                  <c:v>11/19/2025</c:v>
                </c:pt>
                <c:pt idx="208">
                  <c:v>11/25/2025</c:v>
                </c:pt>
                <c:pt idx="209">
                  <c:v>11/27/2025</c:v>
                </c:pt>
                <c:pt idx="210">
                  <c:v>11/29/2025</c:v>
                </c:pt>
                <c:pt idx="211">
                  <c:v>12/1/2025</c:v>
                </c:pt>
                <c:pt idx="212">
                  <c:v>12/2/2025</c:v>
                </c:pt>
                <c:pt idx="213">
                  <c:v>12/4/2025</c:v>
                </c:pt>
                <c:pt idx="214">
                  <c:v>12/5/2025</c:v>
                </c:pt>
                <c:pt idx="215">
                  <c:v>12/6/2025</c:v>
                </c:pt>
                <c:pt idx="216">
                  <c:v>12/10/2025</c:v>
                </c:pt>
                <c:pt idx="217">
                  <c:v>12/11/2025</c:v>
                </c:pt>
                <c:pt idx="218">
                  <c:v>12/12/2025</c:v>
                </c:pt>
                <c:pt idx="219">
                  <c:v>12/13/2025</c:v>
                </c:pt>
                <c:pt idx="220">
                  <c:v>12/14/2025</c:v>
                </c:pt>
                <c:pt idx="221">
                  <c:v>12/15/2025</c:v>
                </c:pt>
                <c:pt idx="222">
                  <c:v>12/16/2025</c:v>
                </c:pt>
                <c:pt idx="223">
                  <c:v>12/17/2025</c:v>
                </c:pt>
                <c:pt idx="224">
                  <c:v>12/18/2025</c:v>
                </c:pt>
                <c:pt idx="225">
                  <c:v>12/22/2025</c:v>
                </c:pt>
                <c:pt idx="226">
                  <c:v>12/23/2025</c:v>
                </c:pt>
                <c:pt idx="227">
                  <c:v>12/24/2025</c:v>
                </c:pt>
                <c:pt idx="228">
                  <c:v>12/26/2025</c:v>
                </c:pt>
                <c:pt idx="229">
                  <c:v>12/27/2025</c:v>
                </c:pt>
                <c:pt idx="230">
                  <c:v>12/28/2025</c:v>
                </c:pt>
                <c:pt idx="231">
                  <c:v>12/29/2025</c:v>
                </c:pt>
                <c:pt idx="232">
                  <c:v>12/31/2025</c:v>
                </c:pt>
                <c:pt idx="233">
                  <c:v>1/2/2026</c:v>
                </c:pt>
                <c:pt idx="234">
                  <c:v>1/3/2026</c:v>
                </c:pt>
                <c:pt idx="235">
                  <c:v>1/4/2026</c:v>
                </c:pt>
                <c:pt idx="236">
                  <c:v>1/5/2026</c:v>
                </c:pt>
                <c:pt idx="237">
                  <c:v>1/6/2026</c:v>
                </c:pt>
                <c:pt idx="238">
                  <c:v>1/8/2026</c:v>
                </c:pt>
                <c:pt idx="239">
                  <c:v>1/9/2026</c:v>
                </c:pt>
                <c:pt idx="240">
                  <c:v>1/11/2026</c:v>
                </c:pt>
                <c:pt idx="241">
                  <c:v>1/12/2026</c:v>
                </c:pt>
                <c:pt idx="242">
                  <c:v>1/13/2026</c:v>
                </c:pt>
                <c:pt idx="243">
                  <c:v>1/14/2026</c:v>
                </c:pt>
                <c:pt idx="244">
                  <c:v>1/16/2026</c:v>
                </c:pt>
                <c:pt idx="245">
                  <c:v>1/17/2026</c:v>
                </c:pt>
                <c:pt idx="246">
                  <c:v>1/18/2026</c:v>
                </c:pt>
                <c:pt idx="247">
                  <c:v>1/19/2026</c:v>
                </c:pt>
                <c:pt idx="248">
                  <c:v>1/21/2026</c:v>
                </c:pt>
                <c:pt idx="249">
                  <c:v>1/23/2026</c:v>
                </c:pt>
                <c:pt idx="250">
                  <c:v>1/24/2026</c:v>
                </c:pt>
                <c:pt idx="251">
                  <c:v>1/26/2026</c:v>
                </c:pt>
                <c:pt idx="252">
                  <c:v>1/27/2026</c:v>
                </c:pt>
                <c:pt idx="253">
                  <c:v>1/28/2026</c:v>
                </c:pt>
                <c:pt idx="254">
                  <c:v>1/30/2026</c:v>
                </c:pt>
                <c:pt idx="255">
                  <c:v>1/31/2026</c:v>
                </c:pt>
                <c:pt idx="256">
                  <c:v>2/4/2026</c:v>
                </c:pt>
                <c:pt idx="257">
                  <c:v>2/8/2026</c:v>
                </c:pt>
                <c:pt idx="258">
                  <c:v>2/9/2026</c:v>
                </c:pt>
                <c:pt idx="259">
                  <c:v>2/10/2026</c:v>
                </c:pt>
                <c:pt idx="260">
                  <c:v>2/11/2026</c:v>
                </c:pt>
                <c:pt idx="261">
                  <c:v>2/12/2026</c:v>
                </c:pt>
                <c:pt idx="262">
                  <c:v>2/13/2026</c:v>
                </c:pt>
                <c:pt idx="263">
                  <c:v>2/14/2026</c:v>
                </c:pt>
                <c:pt idx="264">
                  <c:v>2/17/2026</c:v>
                </c:pt>
                <c:pt idx="265">
                  <c:v>2/18/2026</c:v>
                </c:pt>
                <c:pt idx="266">
                  <c:v>2/19/2026</c:v>
                </c:pt>
                <c:pt idx="267">
                  <c:v>2/20/2026</c:v>
                </c:pt>
                <c:pt idx="268">
                  <c:v>2/21/2026</c:v>
                </c:pt>
                <c:pt idx="269">
                  <c:v>2/22/2026</c:v>
                </c:pt>
                <c:pt idx="270">
                  <c:v>2/24/2026</c:v>
                </c:pt>
                <c:pt idx="271">
                  <c:v>2/25/2026</c:v>
                </c:pt>
                <c:pt idx="272">
                  <c:v>2/28/2026</c:v>
                </c:pt>
                <c:pt idx="273">
                  <c:v>3/4/2026</c:v>
                </c:pt>
                <c:pt idx="274">
                  <c:v>3/5/2026</c:v>
                </c:pt>
                <c:pt idx="275">
                  <c:v>3/6/2026</c:v>
                </c:pt>
                <c:pt idx="276">
                  <c:v>3/7/2026</c:v>
                </c:pt>
                <c:pt idx="277">
                  <c:v>3/8/2026</c:v>
                </c:pt>
                <c:pt idx="278">
                  <c:v>3/11/2026</c:v>
                </c:pt>
                <c:pt idx="279">
                  <c:v>3/13/2026</c:v>
                </c:pt>
                <c:pt idx="280">
                  <c:v>3/14/2026</c:v>
                </c:pt>
                <c:pt idx="281">
                  <c:v>3/15/2026</c:v>
                </c:pt>
                <c:pt idx="282">
                  <c:v>3/16/2026</c:v>
                </c:pt>
                <c:pt idx="283">
                  <c:v>3/17/2026</c:v>
                </c:pt>
                <c:pt idx="284">
                  <c:v>3/21/2026</c:v>
                </c:pt>
                <c:pt idx="285">
                  <c:v>3/22/2026</c:v>
                </c:pt>
                <c:pt idx="286">
                  <c:v>3/23/2026</c:v>
                </c:pt>
                <c:pt idx="287">
                  <c:v>3/24/2026</c:v>
                </c:pt>
                <c:pt idx="288">
                  <c:v>3/26/2026</c:v>
                </c:pt>
                <c:pt idx="289">
                  <c:v>3/27/2026</c:v>
                </c:pt>
                <c:pt idx="290">
                  <c:v>3/29/2026</c:v>
                </c:pt>
                <c:pt idx="291">
                  <c:v>4/1/2026</c:v>
                </c:pt>
                <c:pt idx="292">
                  <c:v>4/2/2026</c:v>
                </c:pt>
                <c:pt idx="293">
                  <c:v>4/3/2026</c:v>
                </c:pt>
                <c:pt idx="294">
                  <c:v>4/4/2026</c:v>
                </c:pt>
                <c:pt idx="295">
                  <c:v>4/6/2026</c:v>
                </c:pt>
                <c:pt idx="296">
                  <c:v>4/7/2026</c:v>
                </c:pt>
                <c:pt idx="297">
                  <c:v>4/8/2026</c:v>
                </c:pt>
                <c:pt idx="298">
                  <c:v>4/9/2026</c:v>
                </c:pt>
                <c:pt idx="299">
                  <c:v>4/11/2026</c:v>
                </c:pt>
                <c:pt idx="300">
                  <c:v>4/15/2026</c:v>
                </c:pt>
                <c:pt idx="301">
                  <c:v>4/16/2026</c:v>
                </c:pt>
                <c:pt idx="302">
                  <c:v>4/17/2026</c:v>
                </c:pt>
                <c:pt idx="303">
                  <c:v>4/19/2026</c:v>
                </c:pt>
                <c:pt idx="304">
                  <c:v>4/20/2026</c:v>
                </c:pt>
                <c:pt idx="305">
                  <c:v>4/22/2026</c:v>
                </c:pt>
                <c:pt idx="306">
                  <c:v>4/23/2026</c:v>
                </c:pt>
                <c:pt idx="307">
                  <c:v>4/24/2026</c:v>
                </c:pt>
                <c:pt idx="308">
                  <c:v>4/25/2026</c:v>
                </c:pt>
                <c:pt idx="309">
                  <c:v>4/26/2026</c:v>
                </c:pt>
                <c:pt idx="310">
                  <c:v>4/27/2026</c:v>
                </c:pt>
                <c:pt idx="311">
                  <c:v>4/29/2026</c:v>
                </c:pt>
                <c:pt idx="312">
                  <c:v>5/2/2026</c:v>
                </c:pt>
                <c:pt idx="313">
                  <c:v>5/3/2026</c:v>
                </c:pt>
                <c:pt idx="314">
                  <c:v>5/4/2026</c:v>
                </c:pt>
                <c:pt idx="315">
                  <c:v>5/5/2026</c:v>
                </c:pt>
                <c:pt idx="316">
                  <c:v>5/7/2026</c:v>
                </c:pt>
                <c:pt idx="317">
                  <c:v>5/8/2026</c:v>
                </c:pt>
                <c:pt idx="318">
                  <c:v>5/9/2026</c:v>
                </c:pt>
                <c:pt idx="319">
                  <c:v>5/10/2026</c:v>
                </c:pt>
                <c:pt idx="320">
                  <c:v>5/11/2026</c:v>
                </c:pt>
                <c:pt idx="321">
                  <c:v>5/12/2026</c:v>
                </c:pt>
                <c:pt idx="322">
                  <c:v>5/13/2026</c:v>
                </c:pt>
                <c:pt idx="323">
                  <c:v>5/16/2026</c:v>
                </c:pt>
              </c:strCache>
            </c:strRef>
          </c:cat>
          <c:val>
            <c:numRef>
              <c:f>'Priliminary analysis (rough)'!$AE$5:$AE$329</c:f>
              <c:numCache>
                <c:formatCode>General</c:formatCode>
                <c:ptCount val="324"/>
                <c:pt idx="0">
                  <c:v>15012.5</c:v>
                </c:pt>
                <c:pt idx="1">
                  <c:v>47085</c:v>
                </c:pt>
                <c:pt idx="2">
                  <c:v>161500</c:v>
                </c:pt>
                <c:pt idx="3">
                  <c:v>29700</c:v>
                </c:pt>
                <c:pt idx="4">
                  <c:v>128</c:v>
                </c:pt>
                <c:pt idx="5">
                  <c:v>574930</c:v>
                </c:pt>
                <c:pt idx="6">
                  <c:v>20505</c:v>
                </c:pt>
                <c:pt idx="7">
                  <c:v>360</c:v>
                </c:pt>
                <c:pt idx="8">
                  <c:v>20220</c:v>
                </c:pt>
                <c:pt idx="9">
                  <c:v>576</c:v>
                </c:pt>
                <c:pt idx="10">
                  <c:v>1077300</c:v>
                </c:pt>
                <c:pt idx="11">
                  <c:v>952</c:v>
                </c:pt>
                <c:pt idx="12">
                  <c:v>20570</c:v>
                </c:pt>
                <c:pt idx="13">
                  <c:v>28800</c:v>
                </c:pt>
                <c:pt idx="14">
                  <c:v>729</c:v>
                </c:pt>
                <c:pt idx="15">
                  <c:v>48450</c:v>
                </c:pt>
                <c:pt idx="16">
                  <c:v>228000</c:v>
                </c:pt>
                <c:pt idx="17">
                  <c:v>53200</c:v>
                </c:pt>
                <c:pt idx="18">
                  <c:v>522600</c:v>
                </c:pt>
                <c:pt idx="19">
                  <c:v>680476.25</c:v>
                </c:pt>
                <c:pt idx="20">
                  <c:v>81834.25</c:v>
                </c:pt>
                <c:pt idx="21">
                  <c:v>71330</c:v>
                </c:pt>
                <c:pt idx="22">
                  <c:v>251200</c:v>
                </c:pt>
                <c:pt idx="23">
                  <c:v>114.75</c:v>
                </c:pt>
                <c:pt idx="24">
                  <c:v>478</c:v>
                </c:pt>
                <c:pt idx="25">
                  <c:v>100</c:v>
                </c:pt>
                <c:pt idx="26">
                  <c:v>26580</c:v>
                </c:pt>
                <c:pt idx="27">
                  <c:v>748000</c:v>
                </c:pt>
                <c:pt idx="28">
                  <c:v>20825</c:v>
                </c:pt>
                <c:pt idx="29">
                  <c:v>136</c:v>
                </c:pt>
                <c:pt idx="30">
                  <c:v>880000</c:v>
                </c:pt>
                <c:pt idx="31">
                  <c:v>969</c:v>
                </c:pt>
                <c:pt idx="32">
                  <c:v>91800</c:v>
                </c:pt>
                <c:pt idx="33">
                  <c:v>241200</c:v>
                </c:pt>
                <c:pt idx="34">
                  <c:v>11029.5</c:v>
                </c:pt>
                <c:pt idx="35">
                  <c:v>9450</c:v>
                </c:pt>
                <c:pt idx="36">
                  <c:v>8330</c:v>
                </c:pt>
                <c:pt idx="37">
                  <c:v>168361</c:v>
                </c:pt>
                <c:pt idx="38">
                  <c:v>10410</c:v>
                </c:pt>
                <c:pt idx="39">
                  <c:v>17340</c:v>
                </c:pt>
                <c:pt idx="40">
                  <c:v>446650</c:v>
                </c:pt>
                <c:pt idx="41">
                  <c:v>89040</c:v>
                </c:pt>
                <c:pt idx="42">
                  <c:v>33660</c:v>
                </c:pt>
                <c:pt idx="43">
                  <c:v>41800</c:v>
                </c:pt>
                <c:pt idx="44">
                  <c:v>39850</c:v>
                </c:pt>
                <c:pt idx="45">
                  <c:v>35530</c:v>
                </c:pt>
                <c:pt idx="46">
                  <c:v>9600</c:v>
                </c:pt>
                <c:pt idx="47">
                  <c:v>180000</c:v>
                </c:pt>
                <c:pt idx="48">
                  <c:v>650.25</c:v>
                </c:pt>
                <c:pt idx="49">
                  <c:v>200</c:v>
                </c:pt>
                <c:pt idx="50">
                  <c:v>30087</c:v>
                </c:pt>
                <c:pt idx="51">
                  <c:v>18360</c:v>
                </c:pt>
                <c:pt idx="52">
                  <c:v>5950</c:v>
                </c:pt>
                <c:pt idx="53">
                  <c:v>136650.25</c:v>
                </c:pt>
                <c:pt idx="54">
                  <c:v>116410</c:v>
                </c:pt>
                <c:pt idx="55">
                  <c:v>63175</c:v>
                </c:pt>
                <c:pt idx="56">
                  <c:v>4800</c:v>
                </c:pt>
                <c:pt idx="57">
                  <c:v>13090</c:v>
                </c:pt>
                <c:pt idx="58">
                  <c:v>726.75</c:v>
                </c:pt>
                <c:pt idx="59">
                  <c:v>15706</c:v>
                </c:pt>
                <c:pt idx="60">
                  <c:v>17050</c:v>
                </c:pt>
                <c:pt idx="61">
                  <c:v>2100</c:v>
                </c:pt>
                <c:pt idx="62">
                  <c:v>432</c:v>
                </c:pt>
                <c:pt idx="63">
                  <c:v>792285</c:v>
                </c:pt>
                <c:pt idx="64">
                  <c:v>420.75</c:v>
                </c:pt>
                <c:pt idx="65">
                  <c:v>104540</c:v>
                </c:pt>
                <c:pt idx="66">
                  <c:v>56108</c:v>
                </c:pt>
                <c:pt idx="67">
                  <c:v>56000</c:v>
                </c:pt>
                <c:pt idx="68">
                  <c:v>20825</c:v>
                </c:pt>
                <c:pt idx="69">
                  <c:v>143760</c:v>
                </c:pt>
                <c:pt idx="70">
                  <c:v>64600</c:v>
                </c:pt>
                <c:pt idx="71">
                  <c:v>48</c:v>
                </c:pt>
                <c:pt idx="72">
                  <c:v>638593</c:v>
                </c:pt>
                <c:pt idx="73">
                  <c:v>103512</c:v>
                </c:pt>
                <c:pt idx="74">
                  <c:v>1026</c:v>
                </c:pt>
                <c:pt idx="75">
                  <c:v>136000</c:v>
                </c:pt>
                <c:pt idx="76">
                  <c:v>3360</c:v>
                </c:pt>
                <c:pt idx="77">
                  <c:v>33542</c:v>
                </c:pt>
                <c:pt idx="78">
                  <c:v>5600</c:v>
                </c:pt>
                <c:pt idx="79">
                  <c:v>808016</c:v>
                </c:pt>
                <c:pt idx="80">
                  <c:v>33126</c:v>
                </c:pt>
                <c:pt idx="81">
                  <c:v>21660</c:v>
                </c:pt>
                <c:pt idx="82">
                  <c:v>4800</c:v>
                </c:pt>
                <c:pt idx="83">
                  <c:v>2322</c:v>
                </c:pt>
                <c:pt idx="84">
                  <c:v>378</c:v>
                </c:pt>
                <c:pt idx="85">
                  <c:v>679250</c:v>
                </c:pt>
                <c:pt idx="86">
                  <c:v>999999</c:v>
                </c:pt>
                <c:pt idx="87">
                  <c:v>85.5</c:v>
                </c:pt>
                <c:pt idx="88">
                  <c:v>47600</c:v>
                </c:pt>
                <c:pt idx="89">
                  <c:v>15360</c:v>
                </c:pt>
                <c:pt idx="90">
                  <c:v>68</c:v>
                </c:pt>
                <c:pt idx="91">
                  <c:v>43732.5</c:v>
                </c:pt>
                <c:pt idx="92">
                  <c:v>585</c:v>
                </c:pt>
                <c:pt idx="93">
                  <c:v>144640</c:v>
                </c:pt>
                <c:pt idx="94">
                  <c:v>304</c:v>
                </c:pt>
                <c:pt idx="95">
                  <c:v>154080</c:v>
                </c:pt>
                <c:pt idx="96">
                  <c:v>46900</c:v>
                </c:pt>
                <c:pt idx="97">
                  <c:v>76.5</c:v>
                </c:pt>
                <c:pt idx="98">
                  <c:v>12635</c:v>
                </c:pt>
                <c:pt idx="99">
                  <c:v>137275</c:v>
                </c:pt>
                <c:pt idx="100">
                  <c:v>221</c:v>
                </c:pt>
                <c:pt idx="101">
                  <c:v>836000</c:v>
                </c:pt>
                <c:pt idx="102">
                  <c:v>7797</c:v>
                </c:pt>
                <c:pt idx="103">
                  <c:v>720</c:v>
                </c:pt>
                <c:pt idx="104">
                  <c:v>4143</c:v>
                </c:pt>
                <c:pt idx="105">
                  <c:v>3420</c:v>
                </c:pt>
                <c:pt idx="106">
                  <c:v>109725</c:v>
                </c:pt>
                <c:pt idx="107">
                  <c:v>8925</c:v>
                </c:pt>
                <c:pt idx="108">
                  <c:v>34000</c:v>
                </c:pt>
                <c:pt idx="109">
                  <c:v>7140</c:v>
                </c:pt>
                <c:pt idx="110">
                  <c:v>50575</c:v>
                </c:pt>
                <c:pt idx="111">
                  <c:v>162</c:v>
                </c:pt>
                <c:pt idx="112">
                  <c:v>12320</c:v>
                </c:pt>
                <c:pt idx="113">
                  <c:v>10127</c:v>
                </c:pt>
                <c:pt idx="114">
                  <c:v>177659</c:v>
                </c:pt>
                <c:pt idx="115">
                  <c:v>120925</c:v>
                </c:pt>
                <c:pt idx="116">
                  <c:v>20400</c:v>
                </c:pt>
                <c:pt idx="117">
                  <c:v>14000</c:v>
                </c:pt>
                <c:pt idx="118">
                  <c:v>95</c:v>
                </c:pt>
                <c:pt idx="119">
                  <c:v>59944</c:v>
                </c:pt>
                <c:pt idx="120">
                  <c:v>352000</c:v>
                </c:pt>
                <c:pt idx="121">
                  <c:v>11900</c:v>
                </c:pt>
                <c:pt idx="122">
                  <c:v>34160</c:v>
                </c:pt>
                <c:pt idx="123">
                  <c:v>765</c:v>
                </c:pt>
                <c:pt idx="124">
                  <c:v>132000</c:v>
                </c:pt>
                <c:pt idx="125">
                  <c:v>137700</c:v>
                </c:pt>
                <c:pt idx="126">
                  <c:v>301761</c:v>
                </c:pt>
                <c:pt idx="127">
                  <c:v>627000</c:v>
                </c:pt>
                <c:pt idx="128">
                  <c:v>12960</c:v>
                </c:pt>
                <c:pt idx="129">
                  <c:v>21660</c:v>
                </c:pt>
                <c:pt idx="130">
                  <c:v>76800</c:v>
                </c:pt>
                <c:pt idx="131">
                  <c:v>17340</c:v>
                </c:pt>
                <c:pt idx="132">
                  <c:v>28160</c:v>
                </c:pt>
                <c:pt idx="133">
                  <c:v>9350</c:v>
                </c:pt>
                <c:pt idx="134">
                  <c:v>3240</c:v>
                </c:pt>
                <c:pt idx="135">
                  <c:v>50456.5</c:v>
                </c:pt>
                <c:pt idx="136">
                  <c:v>10260</c:v>
                </c:pt>
                <c:pt idx="137">
                  <c:v>25914</c:v>
                </c:pt>
                <c:pt idx="138">
                  <c:v>176000</c:v>
                </c:pt>
                <c:pt idx="139">
                  <c:v>44132</c:v>
                </c:pt>
                <c:pt idx="140">
                  <c:v>44625</c:v>
                </c:pt>
                <c:pt idx="141">
                  <c:v>2100</c:v>
                </c:pt>
                <c:pt idx="142">
                  <c:v>864</c:v>
                </c:pt>
                <c:pt idx="143">
                  <c:v>9800</c:v>
                </c:pt>
                <c:pt idx="144">
                  <c:v>8925</c:v>
                </c:pt>
                <c:pt idx="145">
                  <c:v>110000</c:v>
                </c:pt>
                <c:pt idx="146">
                  <c:v>182400</c:v>
                </c:pt>
                <c:pt idx="147">
                  <c:v>47250</c:v>
                </c:pt>
                <c:pt idx="148">
                  <c:v>56000</c:v>
                </c:pt>
                <c:pt idx="149">
                  <c:v>247</c:v>
                </c:pt>
                <c:pt idx="150">
                  <c:v>432</c:v>
                </c:pt>
                <c:pt idx="151">
                  <c:v>18780</c:v>
                </c:pt>
                <c:pt idx="152">
                  <c:v>514570</c:v>
                </c:pt>
                <c:pt idx="153">
                  <c:v>769800</c:v>
                </c:pt>
                <c:pt idx="154">
                  <c:v>5202</c:v>
                </c:pt>
                <c:pt idx="155">
                  <c:v>31790</c:v>
                </c:pt>
                <c:pt idx="156">
                  <c:v>1190</c:v>
                </c:pt>
                <c:pt idx="157">
                  <c:v>432</c:v>
                </c:pt>
                <c:pt idx="158">
                  <c:v>54000</c:v>
                </c:pt>
                <c:pt idx="159">
                  <c:v>912</c:v>
                </c:pt>
                <c:pt idx="160">
                  <c:v>43350</c:v>
                </c:pt>
                <c:pt idx="161">
                  <c:v>171</c:v>
                </c:pt>
                <c:pt idx="162">
                  <c:v>441009.5</c:v>
                </c:pt>
                <c:pt idx="163">
                  <c:v>261250</c:v>
                </c:pt>
                <c:pt idx="164">
                  <c:v>35640</c:v>
                </c:pt>
                <c:pt idx="165">
                  <c:v>12000</c:v>
                </c:pt>
                <c:pt idx="166">
                  <c:v>60520</c:v>
                </c:pt>
                <c:pt idx="167">
                  <c:v>54</c:v>
                </c:pt>
                <c:pt idx="168">
                  <c:v>69540</c:v>
                </c:pt>
                <c:pt idx="169">
                  <c:v>70000</c:v>
                </c:pt>
                <c:pt idx="170">
                  <c:v>2200</c:v>
                </c:pt>
                <c:pt idx="171">
                  <c:v>105120</c:v>
                </c:pt>
                <c:pt idx="172">
                  <c:v>84842</c:v>
                </c:pt>
                <c:pt idx="173">
                  <c:v>81600</c:v>
                </c:pt>
                <c:pt idx="174">
                  <c:v>2400</c:v>
                </c:pt>
                <c:pt idx="175">
                  <c:v>9120</c:v>
                </c:pt>
                <c:pt idx="176">
                  <c:v>816</c:v>
                </c:pt>
                <c:pt idx="177">
                  <c:v>61251</c:v>
                </c:pt>
                <c:pt idx="178">
                  <c:v>912</c:v>
                </c:pt>
                <c:pt idx="179">
                  <c:v>212544.5</c:v>
                </c:pt>
                <c:pt idx="180">
                  <c:v>9920.25</c:v>
                </c:pt>
                <c:pt idx="181">
                  <c:v>648</c:v>
                </c:pt>
                <c:pt idx="182">
                  <c:v>35640</c:v>
                </c:pt>
                <c:pt idx="183">
                  <c:v>9138.75</c:v>
                </c:pt>
                <c:pt idx="184">
                  <c:v>497.25</c:v>
                </c:pt>
                <c:pt idx="185">
                  <c:v>142408.25</c:v>
                </c:pt>
                <c:pt idx="186">
                  <c:v>76.5</c:v>
                </c:pt>
                <c:pt idx="187">
                  <c:v>19380</c:v>
                </c:pt>
                <c:pt idx="188">
                  <c:v>81</c:v>
                </c:pt>
                <c:pt idx="189">
                  <c:v>326940</c:v>
                </c:pt>
                <c:pt idx="190">
                  <c:v>16320</c:v>
                </c:pt>
                <c:pt idx="191">
                  <c:v>36</c:v>
                </c:pt>
                <c:pt idx="192">
                  <c:v>35485</c:v>
                </c:pt>
                <c:pt idx="193">
                  <c:v>8160</c:v>
                </c:pt>
                <c:pt idx="194">
                  <c:v>9975</c:v>
                </c:pt>
                <c:pt idx="195">
                  <c:v>183600</c:v>
                </c:pt>
                <c:pt idx="196">
                  <c:v>702590</c:v>
                </c:pt>
                <c:pt idx="197">
                  <c:v>3150</c:v>
                </c:pt>
                <c:pt idx="198">
                  <c:v>990000</c:v>
                </c:pt>
                <c:pt idx="199">
                  <c:v>40800</c:v>
                </c:pt>
                <c:pt idx="200">
                  <c:v>420</c:v>
                </c:pt>
                <c:pt idx="201">
                  <c:v>573237</c:v>
                </c:pt>
                <c:pt idx="202">
                  <c:v>273</c:v>
                </c:pt>
                <c:pt idx="203">
                  <c:v>535.5</c:v>
                </c:pt>
                <c:pt idx="204">
                  <c:v>89400</c:v>
                </c:pt>
                <c:pt idx="205">
                  <c:v>34200</c:v>
                </c:pt>
                <c:pt idx="206">
                  <c:v>127713.75</c:v>
                </c:pt>
                <c:pt idx="207">
                  <c:v>22080</c:v>
                </c:pt>
                <c:pt idx="208">
                  <c:v>89520</c:v>
                </c:pt>
                <c:pt idx="209">
                  <c:v>21350</c:v>
                </c:pt>
                <c:pt idx="210">
                  <c:v>36</c:v>
                </c:pt>
                <c:pt idx="211">
                  <c:v>149985</c:v>
                </c:pt>
                <c:pt idx="212">
                  <c:v>220</c:v>
                </c:pt>
                <c:pt idx="213">
                  <c:v>548</c:v>
                </c:pt>
                <c:pt idx="214">
                  <c:v>4400</c:v>
                </c:pt>
                <c:pt idx="215">
                  <c:v>663</c:v>
                </c:pt>
                <c:pt idx="216">
                  <c:v>15840</c:v>
                </c:pt>
                <c:pt idx="217">
                  <c:v>25340</c:v>
                </c:pt>
                <c:pt idx="218">
                  <c:v>264000</c:v>
                </c:pt>
                <c:pt idx="219">
                  <c:v>21710</c:v>
                </c:pt>
                <c:pt idx="220">
                  <c:v>198900</c:v>
                </c:pt>
                <c:pt idx="221">
                  <c:v>10200</c:v>
                </c:pt>
                <c:pt idx="222">
                  <c:v>720</c:v>
                </c:pt>
                <c:pt idx="223">
                  <c:v>180</c:v>
                </c:pt>
                <c:pt idx="224">
                  <c:v>415175</c:v>
                </c:pt>
                <c:pt idx="225">
                  <c:v>685740</c:v>
                </c:pt>
                <c:pt idx="226">
                  <c:v>40375</c:v>
                </c:pt>
                <c:pt idx="227">
                  <c:v>34020</c:v>
                </c:pt>
                <c:pt idx="228">
                  <c:v>193800</c:v>
                </c:pt>
                <c:pt idx="229">
                  <c:v>80750</c:v>
                </c:pt>
                <c:pt idx="230">
                  <c:v>27229.5</c:v>
                </c:pt>
                <c:pt idx="231">
                  <c:v>15840</c:v>
                </c:pt>
                <c:pt idx="232">
                  <c:v>224</c:v>
                </c:pt>
                <c:pt idx="233">
                  <c:v>441920</c:v>
                </c:pt>
                <c:pt idx="234">
                  <c:v>9065</c:v>
                </c:pt>
                <c:pt idx="235">
                  <c:v>54700</c:v>
                </c:pt>
                <c:pt idx="236">
                  <c:v>150900</c:v>
                </c:pt>
                <c:pt idx="237">
                  <c:v>170000</c:v>
                </c:pt>
                <c:pt idx="238">
                  <c:v>612</c:v>
                </c:pt>
                <c:pt idx="239">
                  <c:v>13888</c:v>
                </c:pt>
                <c:pt idx="240">
                  <c:v>129314</c:v>
                </c:pt>
                <c:pt idx="241">
                  <c:v>36000</c:v>
                </c:pt>
                <c:pt idx="242">
                  <c:v>275000</c:v>
                </c:pt>
                <c:pt idx="243">
                  <c:v>79800</c:v>
                </c:pt>
                <c:pt idx="244">
                  <c:v>133</c:v>
                </c:pt>
                <c:pt idx="245">
                  <c:v>660000</c:v>
                </c:pt>
                <c:pt idx="246">
                  <c:v>139080</c:v>
                </c:pt>
                <c:pt idx="247">
                  <c:v>12000</c:v>
                </c:pt>
                <c:pt idx="248">
                  <c:v>30004</c:v>
                </c:pt>
                <c:pt idx="249">
                  <c:v>6720</c:v>
                </c:pt>
                <c:pt idx="250">
                  <c:v>46550</c:v>
                </c:pt>
                <c:pt idx="251">
                  <c:v>3294</c:v>
                </c:pt>
                <c:pt idx="252">
                  <c:v>450</c:v>
                </c:pt>
                <c:pt idx="253">
                  <c:v>95</c:v>
                </c:pt>
                <c:pt idx="254">
                  <c:v>3920</c:v>
                </c:pt>
                <c:pt idx="255">
                  <c:v>40935</c:v>
                </c:pt>
                <c:pt idx="256">
                  <c:v>1870</c:v>
                </c:pt>
                <c:pt idx="257">
                  <c:v>8500</c:v>
                </c:pt>
                <c:pt idx="258">
                  <c:v>37698</c:v>
                </c:pt>
                <c:pt idx="259">
                  <c:v>408</c:v>
                </c:pt>
                <c:pt idx="260">
                  <c:v>47600</c:v>
                </c:pt>
                <c:pt idx="261">
                  <c:v>144</c:v>
                </c:pt>
                <c:pt idx="262">
                  <c:v>12080</c:v>
                </c:pt>
                <c:pt idx="263">
                  <c:v>1062</c:v>
                </c:pt>
                <c:pt idx="264">
                  <c:v>18096</c:v>
                </c:pt>
                <c:pt idx="265">
                  <c:v>173060</c:v>
                </c:pt>
                <c:pt idx="266">
                  <c:v>37400</c:v>
                </c:pt>
                <c:pt idx="267">
                  <c:v>26400</c:v>
                </c:pt>
                <c:pt idx="268">
                  <c:v>6600</c:v>
                </c:pt>
                <c:pt idx="269">
                  <c:v>88400</c:v>
                </c:pt>
                <c:pt idx="270">
                  <c:v>408</c:v>
                </c:pt>
                <c:pt idx="271">
                  <c:v>607.5</c:v>
                </c:pt>
                <c:pt idx="272">
                  <c:v>27200</c:v>
                </c:pt>
                <c:pt idx="273">
                  <c:v>56000</c:v>
                </c:pt>
                <c:pt idx="274">
                  <c:v>15600</c:v>
                </c:pt>
                <c:pt idx="275">
                  <c:v>114000</c:v>
                </c:pt>
                <c:pt idx="276">
                  <c:v>8778</c:v>
                </c:pt>
                <c:pt idx="277">
                  <c:v>88570</c:v>
                </c:pt>
                <c:pt idx="278">
                  <c:v>157980</c:v>
                </c:pt>
                <c:pt idx="279">
                  <c:v>305589.5</c:v>
                </c:pt>
                <c:pt idx="280">
                  <c:v>140</c:v>
                </c:pt>
                <c:pt idx="281">
                  <c:v>14820</c:v>
                </c:pt>
                <c:pt idx="282">
                  <c:v>54720</c:v>
                </c:pt>
                <c:pt idx="283">
                  <c:v>55970</c:v>
                </c:pt>
                <c:pt idx="284">
                  <c:v>11215</c:v>
                </c:pt>
                <c:pt idx="285">
                  <c:v>5600</c:v>
                </c:pt>
                <c:pt idx="286">
                  <c:v>990000</c:v>
                </c:pt>
                <c:pt idx="287">
                  <c:v>4902</c:v>
                </c:pt>
                <c:pt idx="288">
                  <c:v>33250</c:v>
                </c:pt>
                <c:pt idx="289">
                  <c:v>10500</c:v>
                </c:pt>
                <c:pt idx="290">
                  <c:v>420750</c:v>
                </c:pt>
                <c:pt idx="291">
                  <c:v>990969</c:v>
                </c:pt>
                <c:pt idx="292">
                  <c:v>3600</c:v>
                </c:pt>
                <c:pt idx="293">
                  <c:v>513</c:v>
                </c:pt>
                <c:pt idx="294">
                  <c:v>64851</c:v>
                </c:pt>
                <c:pt idx="295">
                  <c:v>10710</c:v>
                </c:pt>
                <c:pt idx="296">
                  <c:v>65025</c:v>
                </c:pt>
                <c:pt idx="297">
                  <c:v>26220</c:v>
                </c:pt>
                <c:pt idx="298">
                  <c:v>138</c:v>
                </c:pt>
                <c:pt idx="299">
                  <c:v>28900</c:v>
                </c:pt>
                <c:pt idx="300">
                  <c:v>59850</c:v>
                </c:pt>
                <c:pt idx="301">
                  <c:v>24310</c:v>
                </c:pt>
                <c:pt idx="302">
                  <c:v>115200</c:v>
                </c:pt>
                <c:pt idx="303">
                  <c:v>235030</c:v>
                </c:pt>
                <c:pt idx="304">
                  <c:v>522595</c:v>
                </c:pt>
                <c:pt idx="305">
                  <c:v>855</c:v>
                </c:pt>
                <c:pt idx="306">
                  <c:v>63175</c:v>
                </c:pt>
                <c:pt idx="307">
                  <c:v>174320</c:v>
                </c:pt>
                <c:pt idx="308">
                  <c:v>39900</c:v>
                </c:pt>
                <c:pt idx="309">
                  <c:v>204000</c:v>
                </c:pt>
                <c:pt idx="310">
                  <c:v>16800</c:v>
                </c:pt>
                <c:pt idx="311">
                  <c:v>153</c:v>
                </c:pt>
                <c:pt idx="312">
                  <c:v>173526.75</c:v>
                </c:pt>
                <c:pt idx="313">
                  <c:v>170100</c:v>
                </c:pt>
                <c:pt idx="314">
                  <c:v>137275</c:v>
                </c:pt>
                <c:pt idx="315">
                  <c:v>324</c:v>
                </c:pt>
                <c:pt idx="316">
                  <c:v>56384.75</c:v>
                </c:pt>
                <c:pt idx="317">
                  <c:v>8330</c:v>
                </c:pt>
                <c:pt idx="318">
                  <c:v>11970</c:v>
                </c:pt>
                <c:pt idx="319">
                  <c:v>304</c:v>
                </c:pt>
                <c:pt idx="320">
                  <c:v>224</c:v>
                </c:pt>
                <c:pt idx="321">
                  <c:v>68400</c:v>
                </c:pt>
                <c:pt idx="322">
                  <c:v>69325</c:v>
                </c:pt>
                <c:pt idx="323">
                  <c:v>18240</c:v>
                </c:pt>
              </c:numCache>
            </c:numRef>
          </c:val>
          <c:smooth val="0"/>
          <c:extLst>
            <c:ext xmlns:c16="http://schemas.microsoft.com/office/drawing/2014/chart" uri="{C3380CC4-5D6E-409C-BE32-E72D297353CC}">
              <c16:uniqueId val="{00000000-A2D9-4B58-B985-CFA615E85DD5}"/>
            </c:ext>
          </c:extLst>
        </c:ser>
        <c:dLbls>
          <c:showLegendKey val="0"/>
          <c:showVal val="0"/>
          <c:showCatName val="0"/>
          <c:showSerName val="0"/>
          <c:showPercent val="0"/>
          <c:showBubbleSize val="0"/>
        </c:dLbls>
        <c:marker val="1"/>
        <c:smooth val="0"/>
        <c:axId val="775255951"/>
        <c:axId val="492416751"/>
      </c:lineChart>
      <c:catAx>
        <c:axId val="775255951"/>
        <c:scaling>
          <c:orientation val="minMax"/>
        </c:scaling>
        <c:delete val="0"/>
        <c:axPos val="b"/>
        <c:numFmt formatCode="General" sourceLinked="1"/>
        <c:majorTickMark val="out"/>
        <c:minorTickMark val="none"/>
        <c:tickLblPos val="nextTo"/>
        <c:spPr>
          <a:noFill/>
          <a:ln w="6350" cap="flat" cmpd="sng" algn="ctr">
            <a:solidFill>
              <a:schemeClr val="accent2"/>
            </a:solidFill>
            <a:prstDash val="solid"/>
            <a:miter lim="800000"/>
          </a:ln>
          <a:effectLst/>
        </c:spPr>
        <c:txPr>
          <a:bodyPr rot="-5400000" spcFirstLastPara="1" vertOverflow="ellipsis"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492416751"/>
        <c:crosses val="autoZero"/>
        <c:auto val="1"/>
        <c:lblAlgn val="ctr"/>
        <c:lblOffset val="100"/>
        <c:noMultiLvlLbl val="0"/>
      </c:catAx>
      <c:valAx>
        <c:axId val="4924167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2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(rough)!PivotTable17</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'Priliminary analysis (rough)'!$Y$4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'Priliminary analysis (rough)'!$X$5:$X$9</c:f>
              <c:strCache>
                <c:ptCount val="4"/>
                <c:pt idx="0">
                  <c:v>East</c:v>
                </c:pt>
                <c:pt idx="1">
                  <c:v>North</c:v>
                </c:pt>
                <c:pt idx="2">
                  <c:v>South</c:v>
                </c:pt>
                <c:pt idx="3">
                  <c:v>West</c:v>
                </c:pt>
              </c:strCache>
            </c:strRef>
          </c:cat>
          <c:val>
            <c:numRef>
              <c:f>'Priliminary analysis (rough)'!$Y$5:$Y$9</c:f>
              <c:numCache>
                <c:formatCode>General</c:formatCode>
                <c:ptCount val="4"/>
                <c:pt idx="0">
                  <c:v>4041922</c:v>
                </c:pt>
                <c:pt idx="1">
                  <c:v>9197852.5</c:v>
                </c:pt>
                <c:pt idx="2">
                  <c:v>7490491.5</c:v>
                </c:pt>
                <c:pt idx="3">
                  <c:v>13201746.5</c:v>
                </c:pt>
              </c:numCache>
            </c:numRef>
          </c:val>
          <c:extLst>
            <c:ext xmlns:c16="http://schemas.microsoft.com/office/drawing/2014/chart" uri="{C3380CC4-5D6E-409C-BE32-E72D297353CC}">
              <c16:uniqueId val="{00000000-B4B3-47D0-A148-3A3499B6A2D9}"/>
            </c:ext>
          </c:extLst>
        </c:ser>
        <c:dLbls>
          <c:showLegendKey val="0"/>
          <c:showVal val="0"/>
          <c:showCatName val="0"/>
          <c:showSerName val="0"/>
          <c:showPercent val="0"/>
          <c:showBubbleSize val="0"/>
        </c:dLbls>
        <c:gapWidth val="315"/>
        <c:overlap val="-40"/>
        <c:axId val="492125583"/>
        <c:axId val="492459471"/>
      </c:barChart>
      <c:catAx>
        <c:axId val="492125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2459471"/>
        <c:crosses val="autoZero"/>
        <c:auto val="1"/>
        <c:lblAlgn val="ctr"/>
        <c:lblOffset val="100"/>
        <c:noMultiLvlLbl val="0"/>
      </c:catAx>
      <c:valAx>
        <c:axId val="4924594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21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(rough)!PivotTable18</c:name>
    <c:fmtId val="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pie"/>
        <c:varyColors val="1"/>
        <c:ser>
          <c:idx val="0"/>
          <c:order val="0"/>
          <c:tx>
            <c:strRef>
              <c:f>'Priliminary analysis (rough)'!$AB$4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AA-46CF-BAF2-003DA58D55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AA-46CF-BAF2-003DA58D55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AA-46CF-BAF2-003DA58D55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AA-46CF-BAF2-003DA58D55F3}"/>
              </c:ext>
            </c:extLst>
          </c:dPt>
          <c:cat>
            <c:strRef>
              <c:f>'Priliminary analysis (rough)'!$AA$5:$AA$8</c:f>
              <c:strCache>
                <c:ptCount val="3"/>
                <c:pt idx="0">
                  <c:v>Electronics</c:v>
                </c:pt>
                <c:pt idx="1">
                  <c:v>Home Appliances</c:v>
                </c:pt>
                <c:pt idx="2">
                  <c:v>Stationery</c:v>
                </c:pt>
              </c:strCache>
            </c:strRef>
          </c:cat>
          <c:val>
            <c:numRef>
              <c:f>'Priliminary analysis (rough)'!$AB$5:$AB$8</c:f>
              <c:numCache>
                <c:formatCode>General</c:formatCode>
                <c:ptCount val="3"/>
                <c:pt idx="0">
                  <c:v>26999534</c:v>
                </c:pt>
                <c:pt idx="1">
                  <c:v>6816975</c:v>
                </c:pt>
                <c:pt idx="2">
                  <c:v>115503.5</c:v>
                </c:pt>
              </c:numCache>
            </c:numRef>
          </c:val>
          <c:extLst>
            <c:ext xmlns:c16="http://schemas.microsoft.com/office/drawing/2014/chart" uri="{C3380CC4-5D6E-409C-BE32-E72D297353CC}">
              <c16:uniqueId val="{00000000-778B-469B-990D-04E3A2E2D9F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Sales Data PW.xlsx]Priliminary analysis (rough)!PivotTable19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'Priliminary analysis (rough)'!$AE$4</c:f>
              <c:strCache>
                <c:ptCount val="1"/>
                <c:pt idx="0">
                  <c:v>Total</c:v>
                </c:pt>
              </c:strCache>
            </c:strRef>
          </c:tx>
          <c:spPr>
            <a:ln w="28575" cap="rnd">
              <a:solidFill>
                <a:schemeClr val="accent1"/>
              </a:solidFill>
              <a:round/>
            </a:ln>
            <a:effectLst/>
          </c:spPr>
          <c:marker>
            <c:symbol val="none"/>
          </c:marker>
          <c:cat>
            <c:strRef>
              <c:f>'Priliminary analysis (rough)'!$AD$5:$AD$329</c:f>
              <c:strCache>
                <c:ptCount val="324"/>
                <c:pt idx="0">
                  <c:v>1/1/2025</c:v>
                </c:pt>
                <c:pt idx="1">
                  <c:v>1/3/2025</c:v>
                </c:pt>
                <c:pt idx="2">
                  <c:v>1/9/2025</c:v>
                </c:pt>
                <c:pt idx="3">
                  <c:v>1/10/2025</c:v>
                </c:pt>
                <c:pt idx="4">
                  <c:v>1/12/2025</c:v>
                </c:pt>
                <c:pt idx="5">
                  <c:v>1/13/2025</c:v>
                </c:pt>
                <c:pt idx="6">
                  <c:v>1/15/2025</c:v>
                </c:pt>
                <c:pt idx="7">
                  <c:v>1/16/2025</c:v>
                </c:pt>
                <c:pt idx="8">
                  <c:v>1/17/2025</c:v>
                </c:pt>
                <c:pt idx="9">
                  <c:v>1/21/2025</c:v>
                </c:pt>
                <c:pt idx="10">
                  <c:v>1/22/2025</c:v>
                </c:pt>
                <c:pt idx="11">
                  <c:v>1/24/2025</c:v>
                </c:pt>
                <c:pt idx="12">
                  <c:v>1/25/2025</c:v>
                </c:pt>
                <c:pt idx="13">
                  <c:v>1/26/2025</c:v>
                </c:pt>
                <c:pt idx="14">
                  <c:v>1/27/2025</c:v>
                </c:pt>
                <c:pt idx="15">
                  <c:v>1/28/2025</c:v>
                </c:pt>
                <c:pt idx="16">
                  <c:v>1/31/2025</c:v>
                </c:pt>
                <c:pt idx="17">
                  <c:v>2/1/2025</c:v>
                </c:pt>
                <c:pt idx="18">
                  <c:v>2/3/2025</c:v>
                </c:pt>
                <c:pt idx="19">
                  <c:v>2/4/2025</c:v>
                </c:pt>
                <c:pt idx="20">
                  <c:v>2/6/2025</c:v>
                </c:pt>
                <c:pt idx="21">
                  <c:v>2/7/2025</c:v>
                </c:pt>
                <c:pt idx="22">
                  <c:v>2/8/2025</c:v>
                </c:pt>
                <c:pt idx="23">
                  <c:v>2/9/2025</c:v>
                </c:pt>
                <c:pt idx="24">
                  <c:v>2/11/2025</c:v>
                </c:pt>
                <c:pt idx="25">
                  <c:v>2/13/2025</c:v>
                </c:pt>
                <c:pt idx="26">
                  <c:v>2/16/2025</c:v>
                </c:pt>
                <c:pt idx="27">
                  <c:v>2/17/2025</c:v>
                </c:pt>
                <c:pt idx="28">
                  <c:v>2/18/2025</c:v>
                </c:pt>
                <c:pt idx="29">
                  <c:v>2/19/2025</c:v>
                </c:pt>
                <c:pt idx="30">
                  <c:v>2/20/2025</c:v>
                </c:pt>
                <c:pt idx="31">
                  <c:v>2/21/2025</c:v>
                </c:pt>
                <c:pt idx="32">
                  <c:v>2/22/2025</c:v>
                </c:pt>
                <c:pt idx="33">
                  <c:v>2/23/2025</c:v>
                </c:pt>
                <c:pt idx="34">
                  <c:v>2/25/2025</c:v>
                </c:pt>
                <c:pt idx="35">
                  <c:v>2/26/2025</c:v>
                </c:pt>
                <c:pt idx="36">
                  <c:v>2/27/2025</c:v>
                </c:pt>
                <c:pt idx="37">
                  <c:v>2/28/2025</c:v>
                </c:pt>
                <c:pt idx="38">
                  <c:v>3/1/2025</c:v>
                </c:pt>
                <c:pt idx="39">
                  <c:v>3/2/2025</c:v>
                </c:pt>
                <c:pt idx="40">
                  <c:v>3/3/2025</c:v>
                </c:pt>
                <c:pt idx="41">
                  <c:v>3/5/2025</c:v>
                </c:pt>
                <c:pt idx="42">
                  <c:v>3/6/2025</c:v>
                </c:pt>
                <c:pt idx="43">
                  <c:v>3/7/2025</c:v>
                </c:pt>
                <c:pt idx="44">
                  <c:v>3/8/2025</c:v>
                </c:pt>
                <c:pt idx="45">
                  <c:v>3/9/2025</c:v>
                </c:pt>
                <c:pt idx="46">
                  <c:v>3/12/2025</c:v>
                </c:pt>
                <c:pt idx="47">
                  <c:v>3/13/2025</c:v>
                </c:pt>
                <c:pt idx="48">
                  <c:v>3/14/2025</c:v>
                </c:pt>
                <c:pt idx="49">
                  <c:v>3/16/2025</c:v>
                </c:pt>
                <c:pt idx="50">
                  <c:v>3/17/2025</c:v>
                </c:pt>
                <c:pt idx="51">
                  <c:v>3/18/2025</c:v>
                </c:pt>
                <c:pt idx="52">
                  <c:v>3/20/2025</c:v>
                </c:pt>
                <c:pt idx="53">
                  <c:v>3/23/2025</c:v>
                </c:pt>
                <c:pt idx="54">
                  <c:v>3/25/2025</c:v>
                </c:pt>
                <c:pt idx="55">
                  <c:v>3/26/2025</c:v>
                </c:pt>
                <c:pt idx="56">
                  <c:v>3/27/2025</c:v>
                </c:pt>
                <c:pt idx="57">
                  <c:v>3/28/2025</c:v>
                </c:pt>
                <c:pt idx="58">
                  <c:v>3/29/2025</c:v>
                </c:pt>
                <c:pt idx="59">
                  <c:v>3/30/2025</c:v>
                </c:pt>
                <c:pt idx="60">
                  <c:v>4/1/2025</c:v>
                </c:pt>
                <c:pt idx="61">
                  <c:v>4/3/2025</c:v>
                </c:pt>
                <c:pt idx="62">
                  <c:v>4/5/2025</c:v>
                </c:pt>
                <c:pt idx="63">
                  <c:v>4/7/2025</c:v>
                </c:pt>
                <c:pt idx="64">
                  <c:v>4/8/2025</c:v>
                </c:pt>
                <c:pt idx="65">
                  <c:v>4/9/2025</c:v>
                </c:pt>
                <c:pt idx="66">
                  <c:v>4/10/2025</c:v>
                </c:pt>
                <c:pt idx="67">
                  <c:v>4/11/2025</c:v>
                </c:pt>
                <c:pt idx="68">
                  <c:v>4/12/2025</c:v>
                </c:pt>
                <c:pt idx="69">
                  <c:v>4/13/2025</c:v>
                </c:pt>
                <c:pt idx="70">
                  <c:v>4/17/2025</c:v>
                </c:pt>
                <c:pt idx="71">
                  <c:v>4/18/2025</c:v>
                </c:pt>
                <c:pt idx="72">
                  <c:v>4/19/2025</c:v>
                </c:pt>
                <c:pt idx="73">
                  <c:v>4/20/2025</c:v>
                </c:pt>
                <c:pt idx="74">
                  <c:v>4/21/2025</c:v>
                </c:pt>
                <c:pt idx="75">
                  <c:v>4/22/2025</c:v>
                </c:pt>
                <c:pt idx="76">
                  <c:v>4/23/2025</c:v>
                </c:pt>
                <c:pt idx="77">
                  <c:v>4/25/2025</c:v>
                </c:pt>
                <c:pt idx="78">
                  <c:v>4/26/2025</c:v>
                </c:pt>
                <c:pt idx="79">
                  <c:v>4/27/2025</c:v>
                </c:pt>
                <c:pt idx="80">
                  <c:v>4/28/2025</c:v>
                </c:pt>
                <c:pt idx="81">
                  <c:v>4/30/2025</c:v>
                </c:pt>
                <c:pt idx="82">
                  <c:v>5/2/2025</c:v>
                </c:pt>
                <c:pt idx="83">
                  <c:v>5/3/2025</c:v>
                </c:pt>
                <c:pt idx="84">
                  <c:v>5/4/2025</c:v>
                </c:pt>
                <c:pt idx="85">
                  <c:v>5/8/2025</c:v>
                </c:pt>
                <c:pt idx="86">
                  <c:v>5/9/2025</c:v>
                </c:pt>
                <c:pt idx="87">
                  <c:v>5/11/2025</c:v>
                </c:pt>
                <c:pt idx="88">
                  <c:v>5/12/2025</c:v>
                </c:pt>
                <c:pt idx="89">
                  <c:v>5/13/2025</c:v>
                </c:pt>
                <c:pt idx="90">
                  <c:v>5/14/2025</c:v>
                </c:pt>
                <c:pt idx="91">
                  <c:v>5/15/2025</c:v>
                </c:pt>
                <c:pt idx="92">
                  <c:v>5/16/2025</c:v>
                </c:pt>
                <c:pt idx="93">
                  <c:v>5/18/2025</c:v>
                </c:pt>
                <c:pt idx="94">
                  <c:v>5/19/2025</c:v>
                </c:pt>
                <c:pt idx="95">
                  <c:v>5/20/2025</c:v>
                </c:pt>
                <c:pt idx="96">
                  <c:v>5/22/2025</c:v>
                </c:pt>
                <c:pt idx="97">
                  <c:v>5/24/2025</c:v>
                </c:pt>
                <c:pt idx="98">
                  <c:v>5/25/2025</c:v>
                </c:pt>
                <c:pt idx="99">
                  <c:v>5/26/2025</c:v>
                </c:pt>
                <c:pt idx="100">
                  <c:v>5/28/2025</c:v>
                </c:pt>
                <c:pt idx="101">
                  <c:v>5/29/2025</c:v>
                </c:pt>
                <c:pt idx="102">
                  <c:v>5/30/2025</c:v>
                </c:pt>
                <c:pt idx="103">
                  <c:v>5/31/2025</c:v>
                </c:pt>
                <c:pt idx="104">
                  <c:v>6/2/2025</c:v>
                </c:pt>
                <c:pt idx="105">
                  <c:v>6/3/2025</c:v>
                </c:pt>
                <c:pt idx="106">
                  <c:v>6/4/2025</c:v>
                </c:pt>
                <c:pt idx="107">
                  <c:v>6/5/2025</c:v>
                </c:pt>
                <c:pt idx="108">
                  <c:v>6/8/2025</c:v>
                </c:pt>
                <c:pt idx="109">
                  <c:v>6/9/2025</c:v>
                </c:pt>
                <c:pt idx="110">
                  <c:v>6/11/2025</c:v>
                </c:pt>
                <c:pt idx="111">
                  <c:v>6/12/2025</c:v>
                </c:pt>
                <c:pt idx="112">
                  <c:v>6/14/2025</c:v>
                </c:pt>
                <c:pt idx="113">
                  <c:v>6/15/2025</c:v>
                </c:pt>
                <c:pt idx="114">
                  <c:v>6/16/2025</c:v>
                </c:pt>
                <c:pt idx="115">
                  <c:v>6/19/2025</c:v>
                </c:pt>
                <c:pt idx="116">
                  <c:v>6/20/2025</c:v>
                </c:pt>
                <c:pt idx="117">
                  <c:v>6/21/2025</c:v>
                </c:pt>
                <c:pt idx="118">
                  <c:v>6/22/2025</c:v>
                </c:pt>
                <c:pt idx="119">
                  <c:v>6/24/2025</c:v>
                </c:pt>
                <c:pt idx="120">
                  <c:v>6/25/2025</c:v>
                </c:pt>
                <c:pt idx="121">
                  <c:v>6/26/2025</c:v>
                </c:pt>
                <c:pt idx="122">
                  <c:v>6/27/2025</c:v>
                </c:pt>
                <c:pt idx="123">
                  <c:v>6/29/2025</c:v>
                </c:pt>
                <c:pt idx="124">
                  <c:v>7/1/2025</c:v>
                </c:pt>
                <c:pt idx="125">
                  <c:v>7/2/2025</c:v>
                </c:pt>
                <c:pt idx="126">
                  <c:v>7/4/2025</c:v>
                </c:pt>
                <c:pt idx="127">
                  <c:v>7/6/2025</c:v>
                </c:pt>
                <c:pt idx="128">
                  <c:v>7/7/2025</c:v>
                </c:pt>
                <c:pt idx="129">
                  <c:v>7/8/2025</c:v>
                </c:pt>
                <c:pt idx="130">
                  <c:v>7/9/2025</c:v>
                </c:pt>
                <c:pt idx="131">
                  <c:v>7/10/2025</c:v>
                </c:pt>
                <c:pt idx="132">
                  <c:v>7/14/2025</c:v>
                </c:pt>
                <c:pt idx="133">
                  <c:v>7/18/2025</c:v>
                </c:pt>
                <c:pt idx="134">
                  <c:v>7/19/2025</c:v>
                </c:pt>
                <c:pt idx="135">
                  <c:v>7/20/2025</c:v>
                </c:pt>
                <c:pt idx="136">
                  <c:v>7/21/2025</c:v>
                </c:pt>
                <c:pt idx="137">
                  <c:v>7/22/2025</c:v>
                </c:pt>
                <c:pt idx="138">
                  <c:v>7/23/2025</c:v>
                </c:pt>
                <c:pt idx="139">
                  <c:v>7/25/2025</c:v>
                </c:pt>
                <c:pt idx="140">
                  <c:v>7/26/2025</c:v>
                </c:pt>
                <c:pt idx="141">
                  <c:v>7/27/2025</c:v>
                </c:pt>
                <c:pt idx="142">
                  <c:v>7/28/2025</c:v>
                </c:pt>
                <c:pt idx="143">
                  <c:v>7/29/2025</c:v>
                </c:pt>
                <c:pt idx="144">
                  <c:v>7/30/2025</c:v>
                </c:pt>
                <c:pt idx="145">
                  <c:v>8/1/2025</c:v>
                </c:pt>
                <c:pt idx="146">
                  <c:v>8/3/2025</c:v>
                </c:pt>
                <c:pt idx="147">
                  <c:v>8/4/2025</c:v>
                </c:pt>
                <c:pt idx="148">
                  <c:v>8/5/2025</c:v>
                </c:pt>
                <c:pt idx="149">
                  <c:v>8/9/2025</c:v>
                </c:pt>
                <c:pt idx="150">
                  <c:v>8/10/2025</c:v>
                </c:pt>
                <c:pt idx="151">
                  <c:v>8/13/2025</c:v>
                </c:pt>
                <c:pt idx="152">
                  <c:v>8/16/2025</c:v>
                </c:pt>
                <c:pt idx="153">
                  <c:v>8/19/2025</c:v>
                </c:pt>
                <c:pt idx="154">
                  <c:v>8/20/2025</c:v>
                </c:pt>
                <c:pt idx="155">
                  <c:v>8/23/2025</c:v>
                </c:pt>
                <c:pt idx="156">
                  <c:v>8/24/2025</c:v>
                </c:pt>
                <c:pt idx="157">
                  <c:v>8/25/2025</c:v>
                </c:pt>
                <c:pt idx="158">
                  <c:v>8/26/2025</c:v>
                </c:pt>
                <c:pt idx="159">
                  <c:v>8/27/2025</c:v>
                </c:pt>
                <c:pt idx="160">
                  <c:v>8/28/2025</c:v>
                </c:pt>
                <c:pt idx="161">
                  <c:v>8/30/2025</c:v>
                </c:pt>
                <c:pt idx="162">
                  <c:v>9/1/2025</c:v>
                </c:pt>
                <c:pt idx="163">
                  <c:v>9/3/2025</c:v>
                </c:pt>
                <c:pt idx="164">
                  <c:v>9/4/2025</c:v>
                </c:pt>
                <c:pt idx="165">
                  <c:v>9/6/2025</c:v>
                </c:pt>
                <c:pt idx="166">
                  <c:v>9/8/2025</c:v>
                </c:pt>
                <c:pt idx="167">
                  <c:v>9/12/2025</c:v>
                </c:pt>
                <c:pt idx="168">
                  <c:v>9/15/2025</c:v>
                </c:pt>
                <c:pt idx="169">
                  <c:v>9/16/2025</c:v>
                </c:pt>
                <c:pt idx="170">
                  <c:v>9/17/2025</c:v>
                </c:pt>
                <c:pt idx="171">
                  <c:v>9/18/2025</c:v>
                </c:pt>
                <c:pt idx="172">
                  <c:v>9/19/2025</c:v>
                </c:pt>
                <c:pt idx="173">
                  <c:v>9/21/2025</c:v>
                </c:pt>
                <c:pt idx="174">
                  <c:v>9/22/2025</c:v>
                </c:pt>
                <c:pt idx="175">
                  <c:v>9/27/2025</c:v>
                </c:pt>
                <c:pt idx="176">
                  <c:v>9/29/2025</c:v>
                </c:pt>
                <c:pt idx="177">
                  <c:v>10/1/2025</c:v>
                </c:pt>
                <c:pt idx="178">
                  <c:v>10/4/2025</c:v>
                </c:pt>
                <c:pt idx="179">
                  <c:v>10/5/2025</c:v>
                </c:pt>
                <c:pt idx="180">
                  <c:v>10/6/2025</c:v>
                </c:pt>
                <c:pt idx="181">
                  <c:v>10/9/2025</c:v>
                </c:pt>
                <c:pt idx="182">
                  <c:v>10/10/2025</c:v>
                </c:pt>
                <c:pt idx="183">
                  <c:v>10/11/2025</c:v>
                </c:pt>
                <c:pt idx="184">
                  <c:v>10/12/2025</c:v>
                </c:pt>
                <c:pt idx="185">
                  <c:v>10/13/2025</c:v>
                </c:pt>
                <c:pt idx="186">
                  <c:v>10/15/2025</c:v>
                </c:pt>
                <c:pt idx="187">
                  <c:v>10/18/2025</c:v>
                </c:pt>
                <c:pt idx="188">
                  <c:v>10/19/2025</c:v>
                </c:pt>
                <c:pt idx="189">
                  <c:v>10/20/2025</c:v>
                </c:pt>
                <c:pt idx="190">
                  <c:v>10/21/2025</c:v>
                </c:pt>
                <c:pt idx="191">
                  <c:v>10/22/2025</c:v>
                </c:pt>
                <c:pt idx="192">
                  <c:v>10/23/2025</c:v>
                </c:pt>
                <c:pt idx="193">
                  <c:v>10/28/2025</c:v>
                </c:pt>
                <c:pt idx="194">
                  <c:v>10/29/2025</c:v>
                </c:pt>
                <c:pt idx="195">
                  <c:v>10/30/2025</c:v>
                </c:pt>
                <c:pt idx="196">
                  <c:v>10/31/2025</c:v>
                </c:pt>
                <c:pt idx="197">
                  <c:v>11/1/2025</c:v>
                </c:pt>
                <c:pt idx="198">
                  <c:v>11/2/2025</c:v>
                </c:pt>
                <c:pt idx="199">
                  <c:v>11/3/2025</c:v>
                </c:pt>
                <c:pt idx="200">
                  <c:v>11/4/2025</c:v>
                </c:pt>
                <c:pt idx="201">
                  <c:v>11/5/2025</c:v>
                </c:pt>
                <c:pt idx="202">
                  <c:v>11/6/2025</c:v>
                </c:pt>
                <c:pt idx="203">
                  <c:v>11/9/2025</c:v>
                </c:pt>
                <c:pt idx="204">
                  <c:v>11/15/2025</c:v>
                </c:pt>
                <c:pt idx="205">
                  <c:v>11/16/2025</c:v>
                </c:pt>
                <c:pt idx="206">
                  <c:v>11/18/2025</c:v>
                </c:pt>
                <c:pt idx="207">
                  <c:v>11/19/2025</c:v>
                </c:pt>
                <c:pt idx="208">
                  <c:v>11/25/2025</c:v>
                </c:pt>
                <c:pt idx="209">
                  <c:v>11/27/2025</c:v>
                </c:pt>
                <c:pt idx="210">
                  <c:v>11/29/2025</c:v>
                </c:pt>
                <c:pt idx="211">
                  <c:v>12/1/2025</c:v>
                </c:pt>
                <c:pt idx="212">
                  <c:v>12/2/2025</c:v>
                </c:pt>
                <c:pt idx="213">
                  <c:v>12/4/2025</c:v>
                </c:pt>
                <c:pt idx="214">
                  <c:v>12/5/2025</c:v>
                </c:pt>
                <c:pt idx="215">
                  <c:v>12/6/2025</c:v>
                </c:pt>
                <c:pt idx="216">
                  <c:v>12/10/2025</c:v>
                </c:pt>
                <c:pt idx="217">
                  <c:v>12/11/2025</c:v>
                </c:pt>
                <c:pt idx="218">
                  <c:v>12/12/2025</c:v>
                </c:pt>
                <c:pt idx="219">
                  <c:v>12/13/2025</c:v>
                </c:pt>
                <c:pt idx="220">
                  <c:v>12/14/2025</c:v>
                </c:pt>
                <c:pt idx="221">
                  <c:v>12/15/2025</c:v>
                </c:pt>
                <c:pt idx="222">
                  <c:v>12/16/2025</c:v>
                </c:pt>
                <c:pt idx="223">
                  <c:v>12/17/2025</c:v>
                </c:pt>
                <c:pt idx="224">
                  <c:v>12/18/2025</c:v>
                </c:pt>
                <c:pt idx="225">
                  <c:v>12/22/2025</c:v>
                </c:pt>
                <c:pt idx="226">
                  <c:v>12/23/2025</c:v>
                </c:pt>
                <c:pt idx="227">
                  <c:v>12/24/2025</c:v>
                </c:pt>
                <c:pt idx="228">
                  <c:v>12/26/2025</c:v>
                </c:pt>
                <c:pt idx="229">
                  <c:v>12/27/2025</c:v>
                </c:pt>
                <c:pt idx="230">
                  <c:v>12/28/2025</c:v>
                </c:pt>
                <c:pt idx="231">
                  <c:v>12/29/2025</c:v>
                </c:pt>
                <c:pt idx="232">
                  <c:v>12/31/2025</c:v>
                </c:pt>
                <c:pt idx="233">
                  <c:v>1/2/2026</c:v>
                </c:pt>
                <c:pt idx="234">
                  <c:v>1/3/2026</c:v>
                </c:pt>
                <c:pt idx="235">
                  <c:v>1/4/2026</c:v>
                </c:pt>
                <c:pt idx="236">
                  <c:v>1/5/2026</c:v>
                </c:pt>
                <c:pt idx="237">
                  <c:v>1/6/2026</c:v>
                </c:pt>
                <c:pt idx="238">
                  <c:v>1/8/2026</c:v>
                </c:pt>
                <c:pt idx="239">
                  <c:v>1/9/2026</c:v>
                </c:pt>
                <c:pt idx="240">
                  <c:v>1/11/2026</c:v>
                </c:pt>
                <c:pt idx="241">
                  <c:v>1/12/2026</c:v>
                </c:pt>
                <c:pt idx="242">
                  <c:v>1/13/2026</c:v>
                </c:pt>
                <c:pt idx="243">
                  <c:v>1/14/2026</c:v>
                </c:pt>
                <c:pt idx="244">
                  <c:v>1/16/2026</c:v>
                </c:pt>
                <c:pt idx="245">
                  <c:v>1/17/2026</c:v>
                </c:pt>
                <c:pt idx="246">
                  <c:v>1/18/2026</c:v>
                </c:pt>
                <c:pt idx="247">
                  <c:v>1/19/2026</c:v>
                </c:pt>
                <c:pt idx="248">
                  <c:v>1/21/2026</c:v>
                </c:pt>
                <c:pt idx="249">
                  <c:v>1/23/2026</c:v>
                </c:pt>
                <c:pt idx="250">
                  <c:v>1/24/2026</c:v>
                </c:pt>
                <c:pt idx="251">
                  <c:v>1/26/2026</c:v>
                </c:pt>
                <c:pt idx="252">
                  <c:v>1/27/2026</c:v>
                </c:pt>
                <c:pt idx="253">
                  <c:v>1/28/2026</c:v>
                </c:pt>
                <c:pt idx="254">
                  <c:v>1/30/2026</c:v>
                </c:pt>
                <c:pt idx="255">
                  <c:v>1/31/2026</c:v>
                </c:pt>
                <c:pt idx="256">
                  <c:v>2/4/2026</c:v>
                </c:pt>
                <c:pt idx="257">
                  <c:v>2/8/2026</c:v>
                </c:pt>
                <c:pt idx="258">
                  <c:v>2/9/2026</c:v>
                </c:pt>
                <c:pt idx="259">
                  <c:v>2/10/2026</c:v>
                </c:pt>
                <c:pt idx="260">
                  <c:v>2/11/2026</c:v>
                </c:pt>
                <c:pt idx="261">
                  <c:v>2/12/2026</c:v>
                </c:pt>
                <c:pt idx="262">
                  <c:v>2/13/2026</c:v>
                </c:pt>
                <c:pt idx="263">
                  <c:v>2/14/2026</c:v>
                </c:pt>
                <c:pt idx="264">
                  <c:v>2/17/2026</c:v>
                </c:pt>
                <c:pt idx="265">
                  <c:v>2/18/2026</c:v>
                </c:pt>
                <c:pt idx="266">
                  <c:v>2/19/2026</c:v>
                </c:pt>
                <c:pt idx="267">
                  <c:v>2/20/2026</c:v>
                </c:pt>
                <c:pt idx="268">
                  <c:v>2/21/2026</c:v>
                </c:pt>
                <c:pt idx="269">
                  <c:v>2/22/2026</c:v>
                </c:pt>
                <c:pt idx="270">
                  <c:v>2/24/2026</c:v>
                </c:pt>
                <c:pt idx="271">
                  <c:v>2/25/2026</c:v>
                </c:pt>
                <c:pt idx="272">
                  <c:v>2/28/2026</c:v>
                </c:pt>
                <c:pt idx="273">
                  <c:v>3/4/2026</c:v>
                </c:pt>
                <c:pt idx="274">
                  <c:v>3/5/2026</c:v>
                </c:pt>
                <c:pt idx="275">
                  <c:v>3/6/2026</c:v>
                </c:pt>
                <c:pt idx="276">
                  <c:v>3/7/2026</c:v>
                </c:pt>
                <c:pt idx="277">
                  <c:v>3/8/2026</c:v>
                </c:pt>
                <c:pt idx="278">
                  <c:v>3/11/2026</c:v>
                </c:pt>
                <c:pt idx="279">
                  <c:v>3/13/2026</c:v>
                </c:pt>
                <c:pt idx="280">
                  <c:v>3/14/2026</c:v>
                </c:pt>
                <c:pt idx="281">
                  <c:v>3/15/2026</c:v>
                </c:pt>
                <c:pt idx="282">
                  <c:v>3/16/2026</c:v>
                </c:pt>
                <c:pt idx="283">
                  <c:v>3/17/2026</c:v>
                </c:pt>
                <c:pt idx="284">
                  <c:v>3/21/2026</c:v>
                </c:pt>
                <c:pt idx="285">
                  <c:v>3/22/2026</c:v>
                </c:pt>
                <c:pt idx="286">
                  <c:v>3/23/2026</c:v>
                </c:pt>
                <c:pt idx="287">
                  <c:v>3/24/2026</c:v>
                </c:pt>
                <c:pt idx="288">
                  <c:v>3/26/2026</c:v>
                </c:pt>
                <c:pt idx="289">
                  <c:v>3/27/2026</c:v>
                </c:pt>
                <c:pt idx="290">
                  <c:v>3/29/2026</c:v>
                </c:pt>
                <c:pt idx="291">
                  <c:v>4/1/2026</c:v>
                </c:pt>
                <c:pt idx="292">
                  <c:v>4/2/2026</c:v>
                </c:pt>
                <c:pt idx="293">
                  <c:v>4/3/2026</c:v>
                </c:pt>
                <c:pt idx="294">
                  <c:v>4/4/2026</c:v>
                </c:pt>
                <c:pt idx="295">
                  <c:v>4/6/2026</c:v>
                </c:pt>
                <c:pt idx="296">
                  <c:v>4/7/2026</c:v>
                </c:pt>
                <c:pt idx="297">
                  <c:v>4/8/2026</c:v>
                </c:pt>
                <c:pt idx="298">
                  <c:v>4/9/2026</c:v>
                </c:pt>
                <c:pt idx="299">
                  <c:v>4/11/2026</c:v>
                </c:pt>
                <c:pt idx="300">
                  <c:v>4/15/2026</c:v>
                </c:pt>
                <c:pt idx="301">
                  <c:v>4/16/2026</c:v>
                </c:pt>
                <c:pt idx="302">
                  <c:v>4/17/2026</c:v>
                </c:pt>
                <c:pt idx="303">
                  <c:v>4/19/2026</c:v>
                </c:pt>
                <c:pt idx="304">
                  <c:v>4/20/2026</c:v>
                </c:pt>
                <c:pt idx="305">
                  <c:v>4/22/2026</c:v>
                </c:pt>
                <c:pt idx="306">
                  <c:v>4/23/2026</c:v>
                </c:pt>
                <c:pt idx="307">
                  <c:v>4/24/2026</c:v>
                </c:pt>
                <c:pt idx="308">
                  <c:v>4/25/2026</c:v>
                </c:pt>
                <c:pt idx="309">
                  <c:v>4/26/2026</c:v>
                </c:pt>
                <c:pt idx="310">
                  <c:v>4/27/2026</c:v>
                </c:pt>
                <c:pt idx="311">
                  <c:v>4/29/2026</c:v>
                </c:pt>
                <c:pt idx="312">
                  <c:v>5/2/2026</c:v>
                </c:pt>
                <c:pt idx="313">
                  <c:v>5/3/2026</c:v>
                </c:pt>
                <c:pt idx="314">
                  <c:v>5/4/2026</c:v>
                </c:pt>
                <c:pt idx="315">
                  <c:v>5/5/2026</c:v>
                </c:pt>
                <c:pt idx="316">
                  <c:v>5/7/2026</c:v>
                </c:pt>
                <c:pt idx="317">
                  <c:v>5/8/2026</c:v>
                </c:pt>
                <c:pt idx="318">
                  <c:v>5/9/2026</c:v>
                </c:pt>
                <c:pt idx="319">
                  <c:v>5/10/2026</c:v>
                </c:pt>
                <c:pt idx="320">
                  <c:v>5/11/2026</c:v>
                </c:pt>
                <c:pt idx="321">
                  <c:v>5/12/2026</c:v>
                </c:pt>
                <c:pt idx="322">
                  <c:v>5/13/2026</c:v>
                </c:pt>
                <c:pt idx="323">
                  <c:v>5/16/2026</c:v>
                </c:pt>
              </c:strCache>
            </c:strRef>
          </c:cat>
          <c:val>
            <c:numRef>
              <c:f>'Priliminary analysis (rough)'!$AE$5:$AE$329</c:f>
              <c:numCache>
                <c:formatCode>General</c:formatCode>
                <c:ptCount val="324"/>
                <c:pt idx="0">
                  <c:v>15012.5</c:v>
                </c:pt>
                <c:pt idx="1">
                  <c:v>47085</c:v>
                </c:pt>
                <c:pt idx="2">
                  <c:v>161500</c:v>
                </c:pt>
                <c:pt idx="3">
                  <c:v>29700</c:v>
                </c:pt>
                <c:pt idx="4">
                  <c:v>128</c:v>
                </c:pt>
                <c:pt idx="5">
                  <c:v>574930</c:v>
                </c:pt>
                <c:pt idx="6">
                  <c:v>20505</c:v>
                </c:pt>
                <c:pt idx="7">
                  <c:v>360</c:v>
                </c:pt>
                <c:pt idx="8">
                  <c:v>20220</c:v>
                </c:pt>
                <c:pt idx="9">
                  <c:v>576</c:v>
                </c:pt>
                <c:pt idx="10">
                  <c:v>1077300</c:v>
                </c:pt>
                <c:pt idx="11">
                  <c:v>952</c:v>
                </c:pt>
                <c:pt idx="12">
                  <c:v>20570</c:v>
                </c:pt>
                <c:pt idx="13">
                  <c:v>28800</c:v>
                </c:pt>
                <c:pt idx="14">
                  <c:v>729</c:v>
                </c:pt>
                <c:pt idx="15">
                  <c:v>48450</c:v>
                </c:pt>
                <c:pt idx="16">
                  <c:v>228000</c:v>
                </c:pt>
                <c:pt idx="17">
                  <c:v>53200</c:v>
                </c:pt>
                <c:pt idx="18">
                  <c:v>522600</c:v>
                </c:pt>
                <c:pt idx="19">
                  <c:v>680476.25</c:v>
                </c:pt>
                <c:pt idx="20">
                  <c:v>81834.25</c:v>
                </c:pt>
                <c:pt idx="21">
                  <c:v>71330</c:v>
                </c:pt>
                <c:pt idx="22">
                  <c:v>251200</c:v>
                </c:pt>
                <c:pt idx="23">
                  <c:v>114.75</c:v>
                </c:pt>
                <c:pt idx="24">
                  <c:v>478</c:v>
                </c:pt>
                <c:pt idx="25">
                  <c:v>100</c:v>
                </c:pt>
                <c:pt idx="26">
                  <c:v>26580</c:v>
                </c:pt>
                <c:pt idx="27">
                  <c:v>748000</c:v>
                </c:pt>
                <c:pt idx="28">
                  <c:v>20825</c:v>
                </c:pt>
                <c:pt idx="29">
                  <c:v>136</c:v>
                </c:pt>
                <c:pt idx="30">
                  <c:v>880000</c:v>
                </c:pt>
                <c:pt idx="31">
                  <c:v>969</c:v>
                </c:pt>
                <c:pt idx="32">
                  <c:v>91800</c:v>
                </c:pt>
                <c:pt idx="33">
                  <c:v>241200</c:v>
                </c:pt>
                <c:pt idx="34">
                  <c:v>11029.5</c:v>
                </c:pt>
                <c:pt idx="35">
                  <c:v>9450</c:v>
                </c:pt>
                <c:pt idx="36">
                  <c:v>8330</c:v>
                </c:pt>
                <c:pt idx="37">
                  <c:v>168361</c:v>
                </c:pt>
                <c:pt idx="38">
                  <c:v>10410</c:v>
                </c:pt>
                <c:pt idx="39">
                  <c:v>17340</c:v>
                </c:pt>
                <c:pt idx="40">
                  <c:v>446650</c:v>
                </c:pt>
                <c:pt idx="41">
                  <c:v>89040</c:v>
                </c:pt>
                <c:pt idx="42">
                  <c:v>33660</c:v>
                </c:pt>
                <c:pt idx="43">
                  <c:v>41800</c:v>
                </c:pt>
                <c:pt idx="44">
                  <c:v>39850</c:v>
                </c:pt>
                <c:pt idx="45">
                  <c:v>35530</c:v>
                </c:pt>
                <c:pt idx="46">
                  <c:v>9600</c:v>
                </c:pt>
                <c:pt idx="47">
                  <c:v>180000</c:v>
                </c:pt>
                <c:pt idx="48">
                  <c:v>650.25</c:v>
                </c:pt>
                <c:pt idx="49">
                  <c:v>200</c:v>
                </c:pt>
                <c:pt idx="50">
                  <c:v>30087</c:v>
                </c:pt>
                <c:pt idx="51">
                  <c:v>18360</c:v>
                </c:pt>
                <c:pt idx="52">
                  <c:v>5950</c:v>
                </c:pt>
                <c:pt idx="53">
                  <c:v>136650.25</c:v>
                </c:pt>
                <c:pt idx="54">
                  <c:v>116410</c:v>
                </c:pt>
                <c:pt idx="55">
                  <c:v>63175</c:v>
                </c:pt>
                <c:pt idx="56">
                  <c:v>4800</c:v>
                </c:pt>
                <c:pt idx="57">
                  <c:v>13090</c:v>
                </c:pt>
                <c:pt idx="58">
                  <c:v>726.75</c:v>
                </c:pt>
                <c:pt idx="59">
                  <c:v>15706</c:v>
                </c:pt>
                <c:pt idx="60">
                  <c:v>17050</c:v>
                </c:pt>
                <c:pt idx="61">
                  <c:v>2100</c:v>
                </c:pt>
                <c:pt idx="62">
                  <c:v>432</c:v>
                </c:pt>
                <c:pt idx="63">
                  <c:v>792285</c:v>
                </c:pt>
                <c:pt idx="64">
                  <c:v>420.75</c:v>
                </c:pt>
                <c:pt idx="65">
                  <c:v>104540</c:v>
                </c:pt>
                <c:pt idx="66">
                  <c:v>56108</c:v>
                </c:pt>
                <c:pt idx="67">
                  <c:v>56000</c:v>
                </c:pt>
                <c:pt idx="68">
                  <c:v>20825</c:v>
                </c:pt>
                <c:pt idx="69">
                  <c:v>143760</c:v>
                </c:pt>
                <c:pt idx="70">
                  <c:v>64600</c:v>
                </c:pt>
                <c:pt idx="71">
                  <c:v>48</c:v>
                </c:pt>
                <c:pt idx="72">
                  <c:v>638593</c:v>
                </c:pt>
                <c:pt idx="73">
                  <c:v>103512</c:v>
                </c:pt>
                <c:pt idx="74">
                  <c:v>1026</c:v>
                </c:pt>
                <c:pt idx="75">
                  <c:v>136000</c:v>
                </c:pt>
                <c:pt idx="76">
                  <c:v>3360</c:v>
                </c:pt>
                <c:pt idx="77">
                  <c:v>33542</c:v>
                </c:pt>
                <c:pt idx="78">
                  <c:v>5600</c:v>
                </c:pt>
                <c:pt idx="79">
                  <c:v>808016</c:v>
                </c:pt>
                <c:pt idx="80">
                  <c:v>33126</c:v>
                </c:pt>
                <c:pt idx="81">
                  <c:v>21660</c:v>
                </c:pt>
                <c:pt idx="82">
                  <c:v>4800</c:v>
                </c:pt>
                <c:pt idx="83">
                  <c:v>2322</c:v>
                </c:pt>
                <c:pt idx="84">
                  <c:v>378</c:v>
                </c:pt>
                <c:pt idx="85">
                  <c:v>679250</c:v>
                </c:pt>
                <c:pt idx="86">
                  <c:v>999999</c:v>
                </c:pt>
                <c:pt idx="87">
                  <c:v>85.5</c:v>
                </c:pt>
                <c:pt idx="88">
                  <c:v>47600</c:v>
                </c:pt>
                <c:pt idx="89">
                  <c:v>15360</c:v>
                </c:pt>
                <c:pt idx="90">
                  <c:v>68</c:v>
                </c:pt>
                <c:pt idx="91">
                  <c:v>43732.5</c:v>
                </c:pt>
                <c:pt idx="92">
                  <c:v>585</c:v>
                </c:pt>
                <c:pt idx="93">
                  <c:v>144640</c:v>
                </c:pt>
                <c:pt idx="94">
                  <c:v>304</c:v>
                </c:pt>
                <c:pt idx="95">
                  <c:v>154080</c:v>
                </c:pt>
                <c:pt idx="96">
                  <c:v>46900</c:v>
                </c:pt>
                <c:pt idx="97">
                  <c:v>76.5</c:v>
                </c:pt>
                <c:pt idx="98">
                  <c:v>12635</c:v>
                </c:pt>
                <c:pt idx="99">
                  <c:v>137275</c:v>
                </c:pt>
                <c:pt idx="100">
                  <c:v>221</c:v>
                </c:pt>
                <c:pt idx="101">
                  <c:v>836000</c:v>
                </c:pt>
                <c:pt idx="102">
                  <c:v>7797</c:v>
                </c:pt>
                <c:pt idx="103">
                  <c:v>720</c:v>
                </c:pt>
                <c:pt idx="104">
                  <c:v>4143</c:v>
                </c:pt>
                <c:pt idx="105">
                  <c:v>3420</c:v>
                </c:pt>
                <c:pt idx="106">
                  <c:v>109725</c:v>
                </c:pt>
                <c:pt idx="107">
                  <c:v>8925</c:v>
                </c:pt>
                <c:pt idx="108">
                  <c:v>34000</c:v>
                </c:pt>
                <c:pt idx="109">
                  <c:v>7140</c:v>
                </c:pt>
                <c:pt idx="110">
                  <c:v>50575</c:v>
                </c:pt>
                <c:pt idx="111">
                  <c:v>162</c:v>
                </c:pt>
                <c:pt idx="112">
                  <c:v>12320</c:v>
                </c:pt>
                <c:pt idx="113">
                  <c:v>10127</c:v>
                </c:pt>
                <c:pt idx="114">
                  <c:v>177659</c:v>
                </c:pt>
                <c:pt idx="115">
                  <c:v>120925</c:v>
                </c:pt>
                <c:pt idx="116">
                  <c:v>20400</c:v>
                </c:pt>
                <c:pt idx="117">
                  <c:v>14000</c:v>
                </c:pt>
                <c:pt idx="118">
                  <c:v>95</c:v>
                </c:pt>
                <c:pt idx="119">
                  <c:v>59944</c:v>
                </c:pt>
                <c:pt idx="120">
                  <c:v>352000</c:v>
                </c:pt>
                <c:pt idx="121">
                  <c:v>11900</c:v>
                </c:pt>
                <c:pt idx="122">
                  <c:v>34160</c:v>
                </c:pt>
                <c:pt idx="123">
                  <c:v>765</c:v>
                </c:pt>
                <c:pt idx="124">
                  <c:v>132000</c:v>
                </c:pt>
                <c:pt idx="125">
                  <c:v>137700</c:v>
                </c:pt>
                <c:pt idx="126">
                  <c:v>301761</c:v>
                </c:pt>
                <c:pt idx="127">
                  <c:v>627000</c:v>
                </c:pt>
                <c:pt idx="128">
                  <c:v>12960</c:v>
                </c:pt>
                <c:pt idx="129">
                  <c:v>21660</c:v>
                </c:pt>
                <c:pt idx="130">
                  <c:v>76800</c:v>
                </c:pt>
                <c:pt idx="131">
                  <c:v>17340</c:v>
                </c:pt>
                <c:pt idx="132">
                  <c:v>28160</c:v>
                </c:pt>
                <c:pt idx="133">
                  <c:v>9350</c:v>
                </c:pt>
                <c:pt idx="134">
                  <c:v>3240</c:v>
                </c:pt>
                <c:pt idx="135">
                  <c:v>50456.5</c:v>
                </c:pt>
                <c:pt idx="136">
                  <c:v>10260</c:v>
                </c:pt>
                <c:pt idx="137">
                  <c:v>25914</c:v>
                </c:pt>
                <c:pt idx="138">
                  <c:v>176000</c:v>
                </c:pt>
                <c:pt idx="139">
                  <c:v>44132</c:v>
                </c:pt>
                <c:pt idx="140">
                  <c:v>44625</c:v>
                </c:pt>
                <c:pt idx="141">
                  <c:v>2100</c:v>
                </c:pt>
                <c:pt idx="142">
                  <c:v>864</c:v>
                </c:pt>
                <c:pt idx="143">
                  <c:v>9800</c:v>
                </c:pt>
                <c:pt idx="144">
                  <c:v>8925</c:v>
                </c:pt>
                <c:pt idx="145">
                  <c:v>110000</c:v>
                </c:pt>
                <c:pt idx="146">
                  <c:v>182400</c:v>
                </c:pt>
                <c:pt idx="147">
                  <c:v>47250</c:v>
                </c:pt>
                <c:pt idx="148">
                  <c:v>56000</c:v>
                </c:pt>
                <c:pt idx="149">
                  <c:v>247</c:v>
                </c:pt>
                <c:pt idx="150">
                  <c:v>432</c:v>
                </c:pt>
                <c:pt idx="151">
                  <c:v>18780</c:v>
                </c:pt>
                <c:pt idx="152">
                  <c:v>514570</c:v>
                </c:pt>
                <c:pt idx="153">
                  <c:v>769800</c:v>
                </c:pt>
                <c:pt idx="154">
                  <c:v>5202</c:v>
                </c:pt>
                <c:pt idx="155">
                  <c:v>31790</c:v>
                </c:pt>
                <c:pt idx="156">
                  <c:v>1190</c:v>
                </c:pt>
                <c:pt idx="157">
                  <c:v>432</c:v>
                </c:pt>
                <c:pt idx="158">
                  <c:v>54000</c:v>
                </c:pt>
                <c:pt idx="159">
                  <c:v>912</c:v>
                </c:pt>
                <c:pt idx="160">
                  <c:v>43350</c:v>
                </c:pt>
                <c:pt idx="161">
                  <c:v>171</c:v>
                </c:pt>
                <c:pt idx="162">
                  <c:v>441009.5</c:v>
                </c:pt>
                <c:pt idx="163">
                  <c:v>261250</c:v>
                </c:pt>
                <c:pt idx="164">
                  <c:v>35640</c:v>
                </c:pt>
                <c:pt idx="165">
                  <c:v>12000</c:v>
                </c:pt>
                <c:pt idx="166">
                  <c:v>60520</c:v>
                </c:pt>
                <c:pt idx="167">
                  <c:v>54</c:v>
                </c:pt>
                <c:pt idx="168">
                  <c:v>69540</c:v>
                </c:pt>
                <c:pt idx="169">
                  <c:v>70000</c:v>
                </c:pt>
                <c:pt idx="170">
                  <c:v>2200</c:v>
                </c:pt>
                <c:pt idx="171">
                  <c:v>105120</c:v>
                </c:pt>
                <c:pt idx="172">
                  <c:v>84842</c:v>
                </c:pt>
                <c:pt idx="173">
                  <c:v>81600</c:v>
                </c:pt>
                <c:pt idx="174">
                  <c:v>2400</c:v>
                </c:pt>
                <c:pt idx="175">
                  <c:v>9120</c:v>
                </c:pt>
                <c:pt idx="176">
                  <c:v>816</c:v>
                </c:pt>
                <c:pt idx="177">
                  <c:v>61251</c:v>
                </c:pt>
                <c:pt idx="178">
                  <c:v>912</c:v>
                </c:pt>
                <c:pt idx="179">
                  <c:v>212544.5</c:v>
                </c:pt>
                <c:pt idx="180">
                  <c:v>9920.25</c:v>
                </c:pt>
                <c:pt idx="181">
                  <c:v>648</c:v>
                </c:pt>
                <c:pt idx="182">
                  <c:v>35640</c:v>
                </c:pt>
                <c:pt idx="183">
                  <c:v>9138.75</c:v>
                </c:pt>
                <c:pt idx="184">
                  <c:v>497.25</c:v>
                </c:pt>
                <c:pt idx="185">
                  <c:v>142408.25</c:v>
                </c:pt>
                <c:pt idx="186">
                  <c:v>76.5</c:v>
                </c:pt>
                <c:pt idx="187">
                  <c:v>19380</c:v>
                </c:pt>
                <c:pt idx="188">
                  <c:v>81</c:v>
                </c:pt>
                <c:pt idx="189">
                  <c:v>326940</c:v>
                </c:pt>
                <c:pt idx="190">
                  <c:v>16320</c:v>
                </c:pt>
                <c:pt idx="191">
                  <c:v>36</c:v>
                </c:pt>
                <c:pt idx="192">
                  <c:v>35485</c:v>
                </c:pt>
                <c:pt idx="193">
                  <c:v>8160</c:v>
                </c:pt>
                <c:pt idx="194">
                  <c:v>9975</c:v>
                </c:pt>
                <c:pt idx="195">
                  <c:v>183600</c:v>
                </c:pt>
                <c:pt idx="196">
                  <c:v>702590</c:v>
                </c:pt>
                <c:pt idx="197">
                  <c:v>3150</c:v>
                </c:pt>
                <c:pt idx="198">
                  <c:v>990000</c:v>
                </c:pt>
                <c:pt idx="199">
                  <c:v>40800</c:v>
                </c:pt>
                <c:pt idx="200">
                  <c:v>420</c:v>
                </c:pt>
                <c:pt idx="201">
                  <c:v>573237</c:v>
                </c:pt>
                <c:pt idx="202">
                  <c:v>273</c:v>
                </c:pt>
                <c:pt idx="203">
                  <c:v>535.5</c:v>
                </c:pt>
                <c:pt idx="204">
                  <c:v>89400</c:v>
                </c:pt>
                <c:pt idx="205">
                  <c:v>34200</c:v>
                </c:pt>
                <c:pt idx="206">
                  <c:v>127713.75</c:v>
                </c:pt>
                <c:pt idx="207">
                  <c:v>22080</c:v>
                </c:pt>
                <c:pt idx="208">
                  <c:v>89520</c:v>
                </c:pt>
                <c:pt idx="209">
                  <c:v>21350</c:v>
                </c:pt>
                <c:pt idx="210">
                  <c:v>36</c:v>
                </c:pt>
                <c:pt idx="211">
                  <c:v>149985</c:v>
                </c:pt>
                <c:pt idx="212">
                  <c:v>220</c:v>
                </c:pt>
                <c:pt idx="213">
                  <c:v>548</c:v>
                </c:pt>
                <c:pt idx="214">
                  <c:v>4400</c:v>
                </c:pt>
                <c:pt idx="215">
                  <c:v>663</c:v>
                </c:pt>
                <c:pt idx="216">
                  <c:v>15840</c:v>
                </c:pt>
                <c:pt idx="217">
                  <c:v>25340</c:v>
                </c:pt>
                <c:pt idx="218">
                  <c:v>264000</c:v>
                </c:pt>
                <c:pt idx="219">
                  <c:v>21710</c:v>
                </c:pt>
                <c:pt idx="220">
                  <c:v>198900</c:v>
                </c:pt>
                <c:pt idx="221">
                  <c:v>10200</c:v>
                </c:pt>
                <c:pt idx="222">
                  <c:v>720</c:v>
                </c:pt>
                <c:pt idx="223">
                  <c:v>180</c:v>
                </c:pt>
                <c:pt idx="224">
                  <c:v>415175</c:v>
                </c:pt>
                <c:pt idx="225">
                  <c:v>685740</c:v>
                </c:pt>
                <c:pt idx="226">
                  <c:v>40375</c:v>
                </c:pt>
                <c:pt idx="227">
                  <c:v>34020</c:v>
                </c:pt>
                <c:pt idx="228">
                  <c:v>193800</c:v>
                </c:pt>
                <c:pt idx="229">
                  <c:v>80750</c:v>
                </c:pt>
                <c:pt idx="230">
                  <c:v>27229.5</c:v>
                </c:pt>
                <c:pt idx="231">
                  <c:v>15840</c:v>
                </c:pt>
                <c:pt idx="232">
                  <c:v>224</c:v>
                </c:pt>
                <c:pt idx="233">
                  <c:v>441920</c:v>
                </c:pt>
                <c:pt idx="234">
                  <c:v>9065</c:v>
                </c:pt>
                <c:pt idx="235">
                  <c:v>54700</c:v>
                </c:pt>
                <c:pt idx="236">
                  <c:v>150900</c:v>
                </c:pt>
                <c:pt idx="237">
                  <c:v>170000</c:v>
                </c:pt>
                <c:pt idx="238">
                  <c:v>612</c:v>
                </c:pt>
                <c:pt idx="239">
                  <c:v>13888</c:v>
                </c:pt>
                <c:pt idx="240">
                  <c:v>129314</c:v>
                </c:pt>
                <c:pt idx="241">
                  <c:v>36000</c:v>
                </c:pt>
                <c:pt idx="242">
                  <c:v>275000</c:v>
                </c:pt>
                <c:pt idx="243">
                  <c:v>79800</c:v>
                </c:pt>
                <c:pt idx="244">
                  <c:v>133</c:v>
                </c:pt>
                <c:pt idx="245">
                  <c:v>660000</c:v>
                </c:pt>
                <c:pt idx="246">
                  <c:v>139080</c:v>
                </c:pt>
                <c:pt idx="247">
                  <c:v>12000</c:v>
                </c:pt>
                <c:pt idx="248">
                  <c:v>30004</c:v>
                </c:pt>
                <c:pt idx="249">
                  <c:v>6720</c:v>
                </c:pt>
                <c:pt idx="250">
                  <c:v>46550</c:v>
                </c:pt>
                <c:pt idx="251">
                  <c:v>3294</c:v>
                </c:pt>
                <c:pt idx="252">
                  <c:v>450</c:v>
                </c:pt>
                <c:pt idx="253">
                  <c:v>95</c:v>
                </c:pt>
                <c:pt idx="254">
                  <c:v>3920</c:v>
                </c:pt>
                <c:pt idx="255">
                  <c:v>40935</c:v>
                </c:pt>
                <c:pt idx="256">
                  <c:v>1870</c:v>
                </c:pt>
                <c:pt idx="257">
                  <c:v>8500</c:v>
                </c:pt>
                <c:pt idx="258">
                  <c:v>37698</c:v>
                </c:pt>
                <c:pt idx="259">
                  <c:v>408</c:v>
                </c:pt>
                <c:pt idx="260">
                  <c:v>47600</c:v>
                </c:pt>
                <c:pt idx="261">
                  <c:v>144</c:v>
                </c:pt>
                <c:pt idx="262">
                  <c:v>12080</c:v>
                </c:pt>
                <c:pt idx="263">
                  <c:v>1062</c:v>
                </c:pt>
                <c:pt idx="264">
                  <c:v>18096</c:v>
                </c:pt>
                <c:pt idx="265">
                  <c:v>173060</c:v>
                </c:pt>
                <c:pt idx="266">
                  <c:v>37400</c:v>
                </c:pt>
                <c:pt idx="267">
                  <c:v>26400</c:v>
                </c:pt>
                <c:pt idx="268">
                  <c:v>6600</c:v>
                </c:pt>
                <c:pt idx="269">
                  <c:v>88400</c:v>
                </c:pt>
                <c:pt idx="270">
                  <c:v>408</c:v>
                </c:pt>
                <c:pt idx="271">
                  <c:v>607.5</c:v>
                </c:pt>
                <c:pt idx="272">
                  <c:v>27200</c:v>
                </c:pt>
                <c:pt idx="273">
                  <c:v>56000</c:v>
                </c:pt>
                <c:pt idx="274">
                  <c:v>15600</c:v>
                </c:pt>
                <c:pt idx="275">
                  <c:v>114000</c:v>
                </c:pt>
                <c:pt idx="276">
                  <c:v>8778</c:v>
                </c:pt>
                <c:pt idx="277">
                  <c:v>88570</c:v>
                </c:pt>
                <c:pt idx="278">
                  <c:v>157980</c:v>
                </c:pt>
                <c:pt idx="279">
                  <c:v>305589.5</c:v>
                </c:pt>
                <c:pt idx="280">
                  <c:v>140</c:v>
                </c:pt>
                <c:pt idx="281">
                  <c:v>14820</c:v>
                </c:pt>
                <c:pt idx="282">
                  <c:v>54720</c:v>
                </c:pt>
                <c:pt idx="283">
                  <c:v>55970</c:v>
                </c:pt>
                <c:pt idx="284">
                  <c:v>11215</c:v>
                </c:pt>
                <c:pt idx="285">
                  <c:v>5600</c:v>
                </c:pt>
                <c:pt idx="286">
                  <c:v>990000</c:v>
                </c:pt>
                <c:pt idx="287">
                  <c:v>4902</c:v>
                </c:pt>
                <c:pt idx="288">
                  <c:v>33250</c:v>
                </c:pt>
                <c:pt idx="289">
                  <c:v>10500</c:v>
                </c:pt>
                <c:pt idx="290">
                  <c:v>420750</c:v>
                </c:pt>
                <c:pt idx="291">
                  <c:v>990969</c:v>
                </c:pt>
                <c:pt idx="292">
                  <c:v>3600</c:v>
                </c:pt>
                <c:pt idx="293">
                  <c:v>513</c:v>
                </c:pt>
                <c:pt idx="294">
                  <c:v>64851</c:v>
                </c:pt>
                <c:pt idx="295">
                  <c:v>10710</c:v>
                </c:pt>
                <c:pt idx="296">
                  <c:v>65025</c:v>
                </c:pt>
                <c:pt idx="297">
                  <c:v>26220</c:v>
                </c:pt>
                <c:pt idx="298">
                  <c:v>138</c:v>
                </c:pt>
                <c:pt idx="299">
                  <c:v>28900</c:v>
                </c:pt>
                <c:pt idx="300">
                  <c:v>59850</c:v>
                </c:pt>
                <c:pt idx="301">
                  <c:v>24310</c:v>
                </c:pt>
                <c:pt idx="302">
                  <c:v>115200</c:v>
                </c:pt>
                <c:pt idx="303">
                  <c:v>235030</c:v>
                </c:pt>
                <c:pt idx="304">
                  <c:v>522595</c:v>
                </c:pt>
                <c:pt idx="305">
                  <c:v>855</c:v>
                </c:pt>
                <c:pt idx="306">
                  <c:v>63175</c:v>
                </c:pt>
                <c:pt idx="307">
                  <c:v>174320</c:v>
                </c:pt>
                <c:pt idx="308">
                  <c:v>39900</c:v>
                </c:pt>
                <c:pt idx="309">
                  <c:v>204000</c:v>
                </c:pt>
                <c:pt idx="310">
                  <c:v>16800</c:v>
                </c:pt>
                <c:pt idx="311">
                  <c:v>153</c:v>
                </c:pt>
                <c:pt idx="312">
                  <c:v>173526.75</c:v>
                </c:pt>
                <c:pt idx="313">
                  <c:v>170100</c:v>
                </c:pt>
                <c:pt idx="314">
                  <c:v>137275</c:v>
                </c:pt>
                <c:pt idx="315">
                  <c:v>324</c:v>
                </c:pt>
                <c:pt idx="316">
                  <c:v>56384.75</c:v>
                </c:pt>
                <c:pt idx="317">
                  <c:v>8330</c:v>
                </c:pt>
                <c:pt idx="318">
                  <c:v>11970</c:v>
                </c:pt>
                <c:pt idx="319">
                  <c:v>304</c:v>
                </c:pt>
                <c:pt idx="320">
                  <c:v>224</c:v>
                </c:pt>
                <c:pt idx="321">
                  <c:v>68400</c:v>
                </c:pt>
                <c:pt idx="322">
                  <c:v>69325</c:v>
                </c:pt>
                <c:pt idx="323">
                  <c:v>18240</c:v>
                </c:pt>
              </c:numCache>
            </c:numRef>
          </c:val>
          <c:smooth val="0"/>
          <c:extLst>
            <c:ext xmlns:c16="http://schemas.microsoft.com/office/drawing/2014/chart" uri="{C3380CC4-5D6E-409C-BE32-E72D297353CC}">
              <c16:uniqueId val="{00000000-FC70-4F05-A6ED-89B72D09B103}"/>
            </c:ext>
          </c:extLst>
        </c:ser>
        <c:dLbls>
          <c:showLegendKey val="0"/>
          <c:showVal val="0"/>
          <c:showCatName val="0"/>
          <c:showSerName val="0"/>
          <c:showPercent val="0"/>
          <c:showBubbleSize val="0"/>
        </c:dLbls>
        <c:smooth val="0"/>
        <c:axId val="775255951"/>
        <c:axId val="492416751"/>
      </c:lineChart>
      <c:catAx>
        <c:axId val="7752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16751"/>
        <c:crosses val="autoZero"/>
        <c:auto val="1"/>
        <c:lblAlgn val="ctr"/>
        <c:lblOffset val="100"/>
        <c:noMultiLvlLbl val="0"/>
      </c:catAx>
      <c:valAx>
        <c:axId val="49241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526914</xdr:colOff>
      <xdr:row>2</xdr:row>
      <xdr:rowOff>32724</xdr:rowOff>
    </xdr:from>
    <xdr:to>
      <xdr:col>11</xdr:col>
      <xdr:colOff>48637</xdr:colOff>
      <xdr:row>5</xdr:row>
      <xdr:rowOff>97575</xdr:rowOff>
    </xdr:to>
    <xdr:sp macro="" textlink="">
      <xdr:nvSpPr>
        <xdr:cNvPr id="2" name="Rectangle: Rounded Corners 1">
          <a:extLst>
            <a:ext uri="{FF2B5EF4-FFF2-40B4-BE49-F238E27FC236}">
              <a16:creationId xmlns:a16="http://schemas.microsoft.com/office/drawing/2014/main" id="{18B4D7AA-7696-FB05-A46C-86E66B6BC024}"/>
            </a:ext>
          </a:extLst>
        </xdr:cNvPr>
        <xdr:cNvSpPr/>
      </xdr:nvSpPr>
      <xdr:spPr>
        <a:xfrm>
          <a:off x="4026470" y="390205"/>
          <a:ext cx="4112537" cy="751592"/>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US" sz="4000" b="1" u="sng"/>
            <a:t>Sales Dashboard</a:t>
          </a:r>
        </a:p>
      </xdr:txBody>
    </xdr:sp>
    <xdr:clientData/>
  </xdr:twoCellAnchor>
  <xdr:twoCellAnchor>
    <xdr:from>
      <xdr:col>2</xdr:col>
      <xdr:colOff>99390</xdr:colOff>
      <xdr:row>4</xdr:row>
      <xdr:rowOff>22088</xdr:rowOff>
    </xdr:from>
    <xdr:to>
      <xdr:col>5</xdr:col>
      <xdr:colOff>375477</xdr:colOff>
      <xdr:row>18</xdr:row>
      <xdr:rowOff>92766</xdr:rowOff>
    </xdr:to>
    <xdr:graphicFrame macro="">
      <xdr:nvGraphicFramePr>
        <xdr:cNvPr id="12" name="Chart 11">
          <a:extLst>
            <a:ext uri="{FF2B5EF4-FFF2-40B4-BE49-F238E27FC236}">
              <a16:creationId xmlns:a16="http://schemas.microsoft.com/office/drawing/2014/main" id="{4CB94DA4-21D9-45B7-943A-EC87C34A3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187739</xdr:colOff>
      <xdr:row>4</xdr:row>
      <xdr:rowOff>33131</xdr:rowOff>
    </xdr:from>
    <xdr:to>
      <xdr:col>14</xdr:col>
      <xdr:colOff>496957</xdr:colOff>
      <xdr:row>18</xdr:row>
      <xdr:rowOff>103809</xdr:rowOff>
    </xdr:to>
    <xdr:graphicFrame macro="">
      <xdr:nvGraphicFramePr>
        <xdr:cNvPr id="13" name="Chart 12">
          <a:extLst>
            <a:ext uri="{FF2B5EF4-FFF2-40B4-BE49-F238E27FC236}">
              <a16:creationId xmlns:a16="http://schemas.microsoft.com/office/drawing/2014/main" id="{C2FD85AB-E105-4BE0-A769-E2EF6EC65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256293</xdr:colOff>
      <xdr:row>8</xdr:row>
      <xdr:rowOff>100602</xdr:rowOff>
    </xdr:from>
    <xdr:to>
      <xdr:col>10</xdr:col>
      <xdr:colOff>808467</xdr:colOff>
      <xdr:row>24</xdr:row>
      <xdr:rowOff>179714</xdr:rowOff>
    </xdr:to>
    <xdr:graphicFrame macro="">
      <xdr:nvGraphicFramePr>
        <xdr:cNvPr id="14" name="Chart 13">
          <a:extLst>
            <a:ext uri="{FF2B5EF4-FFF2-40B4-BE49-F238E27FC236}">
              <a16:creationId xmlns:a16="http://schemas.microsoft.com/office/drawing/2014/main" id="{0F7A93D0-D945-418A-9BDA-01AC043BB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547777</xdr:colOff>
      <xdr:row>19</xdr:row>
      <xdr:rowOff>7265</xdr:rowOff>
    </xdr:from>
    <xdr:to>
      <xdr:col>6</xdr:col>
      <xdr:colOff>90577</xdr:colOff>
      <xdr:row>27</xdr:row>
      <xdr:rowOff>66542</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0144C337-DBBB-0FF0-0C23-AE005FDC96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79217" y="3746145"/>
              <a:ext cx="1838960" cy="1522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97291</xdr:colOff>
      <xdr:row>19</xdr:row>
      <xdr:rowOff>10228</xdr:rowOff>
    </xdr:from>
    <xdr:to>
      <xdr:col>4</xdr:col>
      <xdr:colOff>516035</xdr:colOff>
      <xdr:row>27</xdr:row>
      <xdr:rowOff>66891</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8651C456-EA5A-7F7E-3783-6C40C682D8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6491" y="3749108"/>
              <a:ext cx="1830984" cy="1519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982041</xdr:colOff>
      <xdr:row>19</xdr:row>
      <xdr:rowOff>127700</xdr:rowOff>
    </xdr:from>
    <xdr:to>
      <xdr:col>14</xdr:col>
      <xdr:colOff>471363</xdr:colOff>
      <xdr:row>27</xdr:row>
      <xdr:rowOff>23895</xdr:rowOff>
    </xdr:to>
    <mc:AlternateContent xmlns:mc="http://schemas.openxmlformats.org/markup-compatibility/2006" xmlns:tsle="http://schemas.microsoft.com/office/drawing/2012/timeslicer">
      <mc:Choice Requires="tsle">
        <xdr:graphicFrame macro="">
          <xdr:nvGraphicFramePr>
            <xdr:cNvPr id="3" name="Order_Date 1">
              <a:extLst>
                <a:ext uri="{FF2B5EF4-FFF2-40B4-BE49-F238E27FC236}">
                  <a16:creationId xmlns:a16="http://schemas.microsoft.com/office/drawing/2014/main" id="{3DA9C919-3AA9-4E57-99DF-0454E467613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298761" y="3866580"/>
              <a:ext cx="4081642" cy="13592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33</xdr:col>
      <xdr:colOff>437307</xdr:colOff>
      <xdr:row>9</xdr:row>
      <xdr:rowOff>177370</xdr:rowOff>
    </xdr:from>
    <xdr:to>
      <xdr:col>41</xdr:col>
      <xdr:colOff>162282</xdr:colOff>
      <xdr:row>24</xdr:row>
      <xdr:rowOff>177371</xdr:rowOff>
    </xdr:to>
    <xdr:graphicFrame macro="">
      <xdr:nvGraphicFramePr>
        <xdr:cNvPr id="2" name="Chart 1">
          <a:extLst>
            <a:ext uri="{FF2B5EF4-FFF2-40B4-BE49-F238E27FC236}">
              <a16:creationId xmlns:a16="http://schemas.microsoft.com/office/drawing/2014/main" id="{F4ECF9B8-881E-F4C5-D6B3-69F94BC70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86579</xdr:colOff>
      <xdr:row>15</xdr:row>
      <xdr:rowOff>175668</xdr:rowOff>
    </xdr:from>
    <xdr:to>
      <xdr:col>38</xdr:col>
      <xdr:colOff>426512</xdr:colOff>
      <xdr:row>30</xdr:row>
      <xdr:rowOff>175669</xdr:rowOff>
    </xdr:to>
    <xdr:graphicFrame macro="">
      <xdr:nvGraphicFramePr>
        <xdr:cNvPr id="3" name="Chart 2">
          <a:extLst>
            <a:ext uri="{FF2B5EF4-FFF2-40B4-BE49-F238E27FC236}">
              <a16:creationId xmlns:a16="http://schemas.microsoft.com/office/drawing/2014/main" id="{67DFF4C9-9A42-0CD2-4428-4E843CBEC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165323</xdr:colOff>
      <xdr:row>1</xdr:row>
      <xdr:rowOff>104549</xdr:rowOff>
    </xdr:from>
    <xdr:to>
      <xdr:col>38</xdr:col>
      <xdr:colOff>502156</xdr:colOff>
      <xdr:row>16</xdr:row>
      <xdr:rowOff>95368</xdr:rowOff>
    </xdr:to>
    <xdr:graphicFrame macro="">
      <xdr:nvGraphicFramePr>
        <xdr:cNvPr id="4" name="Chart 3">
          <a:extLst>
            <a:ext uri="{FF2B5EF4-FFF2-40B4-BE49-F238E27FC236}">
              <a16:creationId xmlns:a16="http://schemas.microsoft.com/office/drawing/2014/main" id="{EB023193-ACE2-7DBD-5EA1-4BCDB2CA2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90614</xdr:colOff>
      <xdr:row>26</xdr:row>
      <xdr:rowOff>2388</xdr:rowOff>
    </xdr:from>
    <xdr:to>
      <xdr:col>37</xdr:col>
      <xdr:colOff>398535</xdr:colOff>
      <xdr:row>33</xdr:row>
      <xdr:rowOff>88686</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AAB02E32-DD3A-F957-36CE-4F83C9693E4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5025457" y="4794725"/>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1.511070486114" createdVersion="8" refreshedVersion="8" minRefreshableVersion="3" recordCount="500" xr:uid="{4B845B2F-118F-4AFA-885A-98601535A6E2}">
  <cacheSource type="worksheet">
    <worksheetSource ref="A1:V501" sheet="Priliminary analysis (rough)"/>
  </cacheSource>
  <cacheFields count="22">
    <cacheField name="Order_ID" numFmtId="0">
      <sharedItems/>
    </cacheField>
    <cacheField name="Customer_ID" numFmtId="0">
      <sharedItems/>
    </cacheField>
    <cacheField name="Product_ID" numFmtId="0">
      <sharedItems/>
    </cacheField>
    <cacheField name="Order_Date" numFmtId="168">
      <sharedItems containsNonDate="0" containsDate="1" containsString="0" containsBlank="1" minDate="2025-01-01T00:00:00" maxDate="2026-05-17T00:00:00" count="325">
        <d v="2025-09-18T00:00:00"/>
        <d v="2025-04-27T00:00:00"/>
        <d v="2025-09-03T00:00:00"/>
        <d v="2026-03-21T00:00:00"/>
        <d v="2025-09-27T00:00:00"/>
        <d v="2026-01-04T00:00:00"/>
        <d v="2025-03-03T00:00:00"/>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2-21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4-16T00:00:00"/>
        <d v="2025-12-05T00:00:00"/>
        <d v="2025-07-30T00:00:00"/>
        <d v="2025-07-18T00:00:00"/>
        <m/>
        <d v="2026-04-11T00:00:00"/>
        <d v="2026-05-10T00:00:00"/>
        <d v="2026-01-23T00:00:00"/>
        <d v="2025-04-30T00:00:00"/>
        <d v="2025-02-03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01T00:00:00"/>
        <d v="2025-02-22T00:00:00"/>
        <d v="2025-04-18T00:00:00"/>
        <d v="2025-03-20T00:00:00"/>
        <d v="2025-10-22T00:00:00"/>
        <d v="2025-12-31T00:00:00"/>
        <d v="2025-06-21T00:00:00"/>
        <d v="2025-05-02T00:00:00"/>
        <d v="2025-06-29T00:00:00"/>
        <d v="2026-02-12T00:00:00"/>
        <d v="2026-04-24T00:00:00"/>
        <d v="2025-02-17T00:00:00"/>
        <d v="2026-03-22T00:00:00"/>
        <d v="2026-04-02T00:00:00"/>
        <d v="2025-02-18T00:00:00"/>
        <d v="2026-03-29T00:00:00"/>
        <d v="2025-05-04T00:00:00"/>
        <d v="2025-08-23T00:00:00"/>
        <d v="2025-05-29T00:00:00"/>
        <d v="2025-09-12T00:00:00"/>
        <d v="2026-03-04T00:00:00"/>
        <d v="2025-08-01T00:00:00"/>
        <d v="2025-04-08T00:00:00"/>
        <d v="2025-11-02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cacheField>
    <cacheField name="Delivery_Date" numFmtId="167">
      <sharedItems containsBlank="1"/>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u="1"/>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s>
  <extLst>
    <ext xmlns:x14="http://schemas.microsoft.com/office/spreadsheetml/2009/9/main" uri="{725AE2AE-9491-48be-B2B4-4EB974FC3084}">
      <x14:pivotCacheDefinition pivotCacheId="440745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s v="C008"/>
    <s v="P202"/>
    <x v="0"/>
    <s v="22/09/2025"/>
    <s v="Kavya Nair"/>
    <s v="Female"/>
    <s v="01/08/1976"/>
    <s v="Hyderabad"/>
    <x v="0"/>
    <x v="0"/>
    <s v="Iron"/>
    <n v="4"/>
    <n v="2200"/>
    <n v="10"/>
    <n v="7920"/>
    <n v="4"/>
    <s v="Cash"/>
    <s v="Ritika"/>
    <s v="KAvya.nair@company.com"/>
    <s v="9431429797"/>
    <s v="Completed"/>
  </r>
  <r>
    <s v="ORD10002"/>
    <s v="C008"/>
    <s v="P104"/>
    <x v="1"/>
    <s v="04/05/2025"/>
    <s v="Kavya Nair"/>
    <s v="Female"/>
    <s v="16/10/2000"/>
    <s v="Delhi"/>
    <x v="1"/>
    <x v="1"/>
    <s v="Monitor"/>
    <n v="17"/>
    <n v="12000"/>
    <n v="10"/>
    <n v="183600"/>
    <n v="1"/>
    <s v="NetBanking"/>
    <s v="Rahul"/>
    <s v="KAvya.nair@company.com"/>
    <s v="9129865339"/>
    <s v="Completed"/>
  </r>
  <r>
    <s v="ORD10003"/>
    <s v="C010"/>
    <s v="P101"/>
    <x v="2"/>
    <s v="14/09/2025"/>
    <s v="Pooja Shah"/>
    <s v="Female"/>
    <s v="16/09/1994"/>
    <s v="Bengaluru"/>
    <x v="0"/>
    <x v="1"/>
    <s v="Laptop"/>
    <n v="5"/>
    <n v="55000"/>
    <n v="5"/>
    <n v="261250"/>
    <n v="3"/>
    <s v="NetBanking"/>
    <s v="Aisha"/>
    <s v="pooja.shah@company.com"/>
    <s v="9380975626"/>
    <s v="Pending"/>
  </r>
  <r>
    <s v="ORD10002"/>
    <s v="C008"/>
    <s v="P202"/>
    <x v="3"/>
    <s v="02/04/2026"/>
    <s v="Kavya Nair"/>
    <s v="Female"/>
    <s v="07/03/2004"/>
    <s v="Bengaluru"/>
    <x v="0"/>
    <x v="0"/>
    <s v="Iron"/>
    <n v="5"/>
    <n v="2200"/>
    <n v="5"/>
    <n v="10450"/>
    <n v="5"/>
    <s v="NetBanking"/>
    <s v="Aisha"/>
    <s v="KAvya.nair@company.com"/>
    <s v="9600261125"/>
    <s v="Cancelled"/>
  </r>
  <r>
    <s v="ORD10005"/>
    <s v="C009"/>
    <s v="P103"/>
    <x v="4"/>
    <s v="07/10/2025"/>
    <s v="Mohit Verma"/>
    <s v="Male"/>
    <s v="13/04/1976"/>
    <s v="Delhi"/>
    <x v="1"/>
    <x v="1"/>
    <s v="Keyboard"/>
    <n v="8"/>
    <n v="1200"/>
    <n v="5"/>
    <n v="9120"/>
    <n v="2"/>
    <s v="Card"/>
    <s v="Aisha"/>
    <s v="mohit.verma@company.com"/>
    <s v="9724635978"/>
    <s v="Pending"/>
  </r>
  <r>
    <s v="ORD10006"/>
    <s v="C007"/>
    <s v="P202"/>
    <x v="5"/>
    <s v="12/01/2026"/>
    <s v="Arjun Rao"/>
    <s v="Male"/>
    <s v="07/02/1988"/>
    <s v="Hyderabad"/>
    <x v="0"/>
    <x v="0"/>
    <s v="Iron"/>
    <n v="4"/>
    <n v="2200"/>
    <n v="0"/>
    <n v="8800"/>
    <n v="1"/>
    <s v="UPI"/>
    <s v="Ritika"/>
    <s v="arjun.rao@company.com"/>
    <s v="9780584905"/>
    <s v="Completed"/>
  </r>
  <r>
    <s v="ORD10007"/>
    <s v="C008"/>
    <s v="P201"/>
    <x v="6"/>
    <s v="25/02/2026"/>
    <s v="Kavya Nair"/>
    <s v="Female"/>
    <s v="20/03/2003"/>
    <s v="Hyderabad"/>
    <x v="0"/>
    <x v="0"/>
    <s v="Mixer"/>
    <n v="2"/>
    <n v="3500"/>
    <n v="5"/>
    <n v="6650"/>
    <n v="1"/>
    <s v="UPI"/>
    <s v="Ritika"/>
    <s v="KAvya.nair@company.com"/>
    <s v="9958252176"/>
    <s v="Completed"/>
  </r>
  <r>
    <s v="ORD10008"/>
    <s v="C002"/>
    <s v="P104"/>
    <x v="7"/>
    <s v="19/04/2025"/>
    <s v="Priya Patel"/>
    <s v="Female"/>
    <s v="07/03/1995"/>
    <s v="Mumbai"/>
    <x v="2"/>
    <x v="1"/>
    <s v="Monitor"/>
    <n v="14"/>
    <n v="12000"/>
    <n v="15"/>
    <n v="142800"/>
    <n v="4"/>
    <s v="NetBanking"/>
    <s v="Ritika"/>
    <s v="priYa.patel@company.com"/>
    <s v="9705521654"/>
    <s v="Completed"/>
  </r>
  <r>
    <s v="ORD10009"/>
    <s v="C008"/>
    <s v="P104"/>
    <x v="8"/>
    <s v="02/02/2026"/>
    <s v="Kavya Nair"/>
    <s v="Female"/>
    <s v="06/04/1997"/>
    <s v="Pune"/>
    <x v="2"/>
    <x v="1"/>
    <s v="Monitor"/>
    <n v="4"/>
    <n v="12000"/>
    <n v="15"/>
    <n v="40800"/>
    <n v="4"/>
    <s v="UPI"/>
    <s v="Neha"/>
    <s v="KAvya.nair@company.com"/>
    <s v="9588041011"/>
    <s v="Completed"/>
  </r>
  <r>
    <s v="ORD10010"/>
    <s v="C002"/>
    <s v="P301"/>
    <x v="9"/>
    <s v="27/03/2025"/>
    <s v="Priya Patel"/>
    <s v="Female"/>
    <s v="07/01/1990"/>
    <s v="Mumbai"/>
    <x v="2"/>
    <x v="2"/>
    <s v="Notebook"/>
    <n v="6"/>
    <n v="60"/>
    <n v="0"/>
    <n v="360"/>
    <n v="4"/>
    <s v="Card"/>
    <s v="Neha"/>
    <s v="priYa.patel@company.com"/>
    <s v="9340540608"/>
    <s v="Completed"/>
  </r>
  <r>
    <s v="ORD10011"/>
    <s v="C003"/>
    <s v="P202"/>
    <x v="10"/>
    <s v="23/09/2025"/>
    <s v="Rohit Singh"/>
    <s v="Male"/>
    <s v="10/05/1982"/>
    <s v="Delhi"/>
    <x v="1"/>
    <x v="0"/>
    <s v="Iron"/>
    <n v="-3"/>
    <n v="2200"/>
    <n v="0"/>
    <n v="35200"/>
    <n v="2"/>
    <s v="Card"/>
    <s v="Rahul"/>
    <s v="rohit.singh@company.com"/>
    <s v="9521710321"/>
    <s v="Pending"/>
  </r>
  <r>
    <s v="ORD10012"/>
    <s v="C008"/>
    <s v="P201"/>
    <x v="11"/>
    <s v="15/03/2025"/>
    <s v="Kavya Nair"/>
    <s v="Female"/>
    <s v="23/01/1982"/>
    <s v="Ahmedabad"/>
    <x v="2"/>
    <x v="0"/>
    <s v="Mixer"/>
    <n v="10"/>
    <n v="3500"/>
    <n v="5"/>
    <n v="33250"/>
    <n v="5"/>
    <s v="Card"/>
    <s v="Aisha"/>
    <s v="KAvya.nair@company.com"/>
    <s v="9123535241"/>
    <s v="Cancelled"/>
  </r>
  <r>
    <s v="ORD10013"/>
    <s v="C002"/>
    <s v="P202"/>
    <x v="12"/>
    <s v="15/01/2025"/>
    <s v="Priya Patel"/>
    <s v="Female"/>
    <s v="06/07/1992"/>
    <s v="Pune"/>
    <x v="2"/>
    <x v="0"/>
    <s v="Iron"/>
    <n v="15"/>
    <n v="2200"/>
    <n v="10"/>
    <n v="29700"/>
    <n v="1"/>
    <s v="UPI"/>
    <s v="Neha"/>
    <s v="priYa.patel@company.com"/>
    <s v="9367316892"/>
    <s v="Pending"/>
  </r>
  <r>
    <s v="ORD10014"/>
    <s v="C003"/>
    <s v="P202"/>
    <x v="13"/>
    <s v="13/03/2025"/>
    <s v="Rohit Singh"/>
    <s v="Male"/>
    <s v="19/03/2002"/>
    <s v="Mumbai"/>
    <x v="2"/>
    <x v="0"/>
    <s v="Iron"/>
    <n v="17"/>
    <n v="2200"/>
    <n v="5"/>
    <n v="35530"/>
    <n v="1"/>
    <s v="Cash"/>
    <s v="Karan"/>
    <s v="rohit.singh@company.com"/>
    <s v="9778489803"/>
    <s v="Completed"/>
  </r>
  <r>
    <s v="ORD10015"/>
    <s v="C008"/>
    <s v="P201"/>
    <x v="14"/>
    <s v="07/08/2025"/>
    <s v="Kavya Nair"/>
    <s v="Female"/>
    <s v="17/01/2001"/>
    <s v="Mumbai"/>
    <x v="2"/>
    <x v="0"/>
    <s v="Mixer"/>
    <n v="15"/>
    <n v="3500"/>
    <n v="15"/>
    <n v="44625"/>
    <n v="2"/>
    <s v="Cash"/>
    <s v="Neha"/>
    <s v="KAvya.nair@company.com"/>
    <s v="9582960180"/>
    <s v="Cancelled"/>
  </r>
  <r>
    <s v="ORD10016"/>
    <s v="C010"/>
    <s v="P103"/>
    <x v="15"/>
    <s v="11/04/2026"/>
    <s v="Pooja Shah"/>
    <s v="Female"/>
    <s v="11/04/2002"/>
    <s v="Hyderabad"/>
    <x v="0"/>
    <x v="1"/>
    <s v="Keyboard"/>
    <n v="3"/>
    <n v="1200"/>
    <n v="5"/>
    <n v="3420"/>
    <n v="5"/>
    <s v="UPI"/>
    <s v="Ritika"/>
    <s v="pooja.shahcompany.com"/>
    <s v="9611394005"/>
    <s v="Completed"/>
  </r>
  <r>
    <s v="ORD10017"/>
    <s v="C004"/>
    <s v="P203"/>
    <x v="16"/>
    <s v="03/03/2026"/>
    <s v="Amit Sharma"/>
    <s v="Female"/>
    <s v="16/01/2002"/>
    <s v="Pune"/>
    <x v="2"/>
    <x v="0"/>
    <s v="Microwave"/>
    <n v="13"/>
    <n v="8500"/>
    <n v="20"/>
    <n v="88400"/>
    <n v="4"/>
    <s v="Card"/>
    <s v="Rahul"/>
    <s v="anita.gupta@company.com"/>
    <s v="9692599404"/>
    <s v="Pending"/>
  </r>
  <r>
    <s v="ORD10018"/>
    <s v="C007"/>
    <s v="P203"/>
    <x v="17"/>
    <s v="05/03/2026"/>
    <s v="Arjun Rao"/>
    <s v="Male"/>
    <s v="09/10/1989"/>
    <s v="Ahmedabad"/>
    <x v="2"/>
    <x v="0"/>
    <s v="Microwave"/>
    <n v="4"/>
    <n v="8500"/>
    <n v="20"/>
    <n v="27200"/>
    <n v="5"/>
    <s v="Card"/>
    <s v="Aisha"/>
    <s v="arjun.rao@company.com"/>
    <s v="9426119622"/>
    <s v="Pending"/>
  </r>
  <r>
    <s v="ORD10019"/>
    <s v="C007"/>
    <s v="P102"/>
    <x v="18"/>
    <s v="04/12/2025"/>
    <s v="Arjun Rao"/>
    <s v="Male"/>
    <s v="28/10/1991"/>
    <s v="Mumbai"/>
    <x v="2"/>
    <x v="1"/>
    <s v="Mouse"/>
    <n v="9"/>
    <n v="700"/>
    <n v="5"/>
    <n v="5985"/>
    <n v="3"/>
    <s v="UPI"/>
    <s v="Ritika"/>
    <s v="arjun.rao@company.com"/>
    <s v="9184436009"/>
    <s v="Pending"/>
  </r>
  <r>
    <s v="ORD10020"/>
    <s v="C008"/>
    <s v="P101"/>
    <x v="19"/>
    <s v="03/07/2025"/>
    <s v="Kavya Nair"/>
    <s v="Female"/>
    <s v="01/03/1990"/>
    <s v="Ahmedabad"/>
    <x v="2"/>
    <x v="1"/>
    <s v="Laptop"/>
    <n v="8"/>
    <n v="55000"/>
    <n v="20"/>
    <n v="352000"/>
    <n v="1"/>
    <s v="Cash"/>
    <s v="Karan"/>
    <s v="KAvya.nair@company.com"/>
    <s v="9263774934"/>
    <s v="Completed"/>
  </r>
  <r>
    <s v="ORD10021"/>
    <s v="C003"/>
    <s v="P102"/>
    <x v="20"/>
    <s v="05/05/2025"/>
    <s v="Rohit Singh"/>
    <s v="Male"/>
    <s v="18/07/2002"/>
    <s v="Delhi"/>
    <x v="1"/>
    <x v="1"/>
    <s v="Mouse"/>
    <n v="10"/>
    <n v="700"/>
    <n v="20"/>
    <n v="5600"/>
    <n v="4"/>
    <s v="Card"/>
    <s v="Aisha"/>
    <s v="rohit.singh@company.com"/>
    <s v="9473159572"/>
    <s v="Cancelled"/>
  </r>
  <r>
    <s v="ORD10022"/>
    <s v="C008"/>
    <s v="P201"/>
    <x v="21"/>
    <s v="08/01/2025"/>
    <s v="Kavya Nair"/>
    <s v="Female"/>
    <s v="15/12/2004"/>
    <s v="Bengaluru"/>
    <x v="0"/>
    <x v="0"/>
    <s v="Mixer"/>
    <n v="1"/>
    <n v="3500"/>
    <n v="5"/>
    <n v="3325"/>
    <n v="3"/>
    <s v="UPI"/>
    <s v="Neha"/>
    <s v="KAvya.nair@company.com"/>
    <s v="9660493688"/>
    <s v="Cancelled"/>
  </r>
  <r>
    <s v="ORD10023"/>
    <s v="C002"/>
    <s v="P102"/>
    <x v="22"/>
    <s v="30/04/2025"/>
    <s v="Priya Patel"/>
    <s v="Female"/>
    <s v="04/07/1984"/>
    <s v="Jaipur"/>
    <x v="1"/>
    <x v="1"/>
    <s v="Mouse"/>
    <n v="19"/>
    <n v="700"/>
    <n v="15"/>
    <n v="11305"/>
    <n v="3"/>
    <s v="NetBanking"/>
    <s v="Karan"/>
    <s v="priYa.patel@company.com"/>
    <s v="9513325819"/>
    <s v="Pending"/>
  </r>
  <r>
    <s v="ORD10024"/>
    <s v="C009"/>
    <s v="P101"/>
    <x v="23"/>
    <s v="01/01/2026"/>
    <s v="Mohit Verma"/>
    <s v="Male"/>
    <s v="25/02/1978"/>
    <s v="Bengaluru"/>
    <x v="0"/>
    <x v="1"/>
    <s v="Laptop"/>
    <n v="12"/>
    <n v="55000"/>
    <n v="0"/>
    <n v="660000"/>
    <n v="1"/>
    <s v="Card"/>
    <s v="Rahul"/>
    <s v="mohit.verma@company.com"/>
    <s v="9641063242"/>
    <s v="Pending"/>
  </r>
  <r>
    <s v="ORD10025"/>
    <s v="C005"/>
    <s v="P302"/>
    <x v="24"/>
    <s v="20/04/2026"/>
    <s v="Vikas Mehta"/>
    <s v="Male"/>
    <s v="03/08/1991"/>
    <s v="Mumbai"/>
    <x v="2"/>
    <x v="2"/>
    <s v="Pen"/>
    <n v="1"/>
    <n v="20"/>
    <n v="5"/>
    <n v="19"/>
    <n v="5"/>
    <s v="Card"/>
    <s v="Ritika"/>
    <s v="vikas.mehta@company.com"/>
    <s v="9277372518"/>
    <s v="Cancelled"/>
  </r>
  <r>
    <s v="ORD10026"/>
    <s v="C007"/>
    <s v="P302"/>
    <x v="25"/>
    <s v="02/07/2025"/>
    <s v="Arjun Rao"/>
    <s v="Male"/>
    <s v="11/12/1977"/>
    <s v="Mumbai"/>
    <x v="2"/>
    <x v="2"/>
    <s v="Pen"/>
    <n v="2"/>
    <n v="20"/>
    <n v="15"/>
    <n v="34"/>
    <n v="1"/>
    <s v="UPI"/>
    <s v="Ritika"/>
    <s v="arjun.rao@company.com"/>
    <s v="9193154372"/>
    <s v="Pending"/>
  </r>
  <r>
    <s v="ORD10027"/>
    <s v="C009"/>
    <s v="P201"/>
    <x v="26"/>
    <s v="25/05/2025"/>
    <s v="Mohit Verma"/>
    <s v="Male"/>
    <s v="08/02/1992"/>
    <s v="Ahmedabad"/>
    <x v="2"/>
    <x v="0"/>
    <s v="Mixer"/>
    <n v="12"/>
    <n v="3500"/>
    <n v="15"/>
    <n v="35700"/>
    <n v="4"/>
    <s v="Cash"/>
    <s v="Rahul"/>
    <s v="mohit.verma@company.com"/>
    <s v="9400073244"/>
    <s v="Cancelled"/>
  </r>
  <r>
    <s v="ORD10028"/>
    <s v="C008"/>
    <s v="P103"/>
    <x v="27"/>
    <s v="20/03/2026"/>
    <s v="Kavya Nair"/>
    <s v="Female"/>
    <s v="05/06/2004"/>
    <s v="Ahmedabad"/>
    <x v="2"/>
    <x v="1"/>
    <s v="Keyboard"/>
    <n v="11"/>
    <n v="1200"/>
    <n v="0"/>
    <n v="13200"/>
    <n v="2"/>
    <s v="UPI"/>
    <s v="Karan"/>
    <s v="KAvya.nair@company.com"/>
    <s v="9771556720"/>
    <s v="Completed"/>
  </r>
  <r>
    <s v="ORD10029"/>
    <s v="C003"/>
    <s v="P203"/>
    <x v="28"/>
    <s v="20/09/2025"/>
    <s v="Rohit Singh"/>
    <s v="Male"/>
    <s v="11/08/2001"/>
    <s v="Pune"/>
    <x v="2"/>
    <x v="0"/>
    <s v="Microwave"/>
    <n v="6"/>
    <n v="8500"/>
    <n v="65"/>
    <n v="51000"/>
    <n v="1"/>
    <s v="Card"/>
    <s v="Aisha"/>
    <s v="rohit.singh@company.com"/>
    <s v="9127480734"/>
    <s v="Completed"/>
  </r>
  <r>
    <s v="ORD10030"/>
    <s v="C006"/>
    <s v="P301"/>
    <x v="29"/>
    <s v="16/01/2026"/>
    <s v="Sneha Joshi"/>
    <s v="Female"/>
    <s v="04/04/1981"/>
    <s v="Pune"/>
    <x v="2"/>
    <x v="2"/>
    <s v="Notebook"/>
    <n v="2"/>
    <n v="60"/>
    <n v="5"/>
    <n v="114"/>
    <n v="3"/>
    <s v="Cash"/>
    <s v="Karan"/>
    <s v="sneha.joshi@company.com"/>
    <s v="9512997042"/>
    <s v="Cancelled"/>
  </r>
  <r>
    <s v="ORD10031"/>
    <s v="C008"/>
    <s v="P303"/>
    <x v="30"/>
    <s v="26/06/2025"/>
    <s v="Kavya Nair"/>
    <s v="Female"/>
    <s v="02/07/1996"/>
    <s v="Bengaluru"/>
    <x v="0"/>
    <x v="2"/>
    <s v="Marker"/>
    <n v="19"/>
    <n v="45"/>
    <n v="20"/>
    <n v="684"/>
    <n v="4"/>
    <s v="NetBanking"/>
    <s v="Aisha"/>
    <s v="KAvya.nair@company.com"/>
    <s v="9372748661"/>
    <s v="Cancelled"/>
  </r>
  <r>
    <s v="ORD10032"/>
    <s v="C002"/>
    <s v="P104"/>
    <x v="31"/>
    <s v="13/07/2025"/>
    <s v="Priya Patel"/>
    <s v="Female"/>
    <s v="15/11/1976"/>
    <s v="Ahmedabad"/>
    <x v="2"/>
    <x v="1"/>
    <s v="Monitor"/>
    <n v="11"/>
    <n v="12000"/>
    <n v="0"/>
    <n v="132000"/>
    <n v="3"/>
    <s v="UPI"/>
    <s v="Ritika"/>
    <s v="priYa.patel@company.com"/>
    <s v="9570437805"/>
    <s v="Pending"/>
  </r>
  <r>
    <s v="ORD10033"/>
    <s v="C006"/>
    <s v="P202"/>
    <x v="32"/>
    <s v="15/03/2025"/>
    <s v="Sneha Joshi"/>
    <s v="Female"/>
    <s v="28/10/1988"/>
    <s v="Bengaluru"/>
    <x v="0"/>
    <x v="0"/>
    <s v="Iron"/>
    <n v="20"/>
    <n v="2200"/>
    <n v="5"/>
    <n v="41800"/>
    <n v="1"/>
    <s v="Cash"/>
    <s v="Rahul"/>
    <s v="sneha.joshi@company.com"/>
    <s v="9310669113"/>
    <s v="Pending"/>
  </r>
  <r>
    <s v="ORD10034"/>
    <s v="C007"/>
    <s v="P302"/>
    <x v="25"/>
    <s v="04/07/2025"/>
    <s v="Arjun Rao"/>
    <s v="Male"/>
    <s v="23/06/2004"/>
    <s v="Ahmedabad"/>
    <x v="2"/>
    <x v="2"/>
    <s v="Pen"/>
    <n v="3"/>
    <n v="20"/>
    <n v="0"/>
    <n v="60"/>
    <n v="2"/>
    <s v="Card"/>
    <s v="Ritika"/>
    <s v="wrongmail"/>
    <s v="9437132894"/>
    <s v="Cancelled"/>
  </r>
  <r>
    <s v="ORD10035"/>
    <s v="C003"/>
    <s v="P303"/>
    <x v="33"/>
    <s v="19/10/2025"/>
    <s v="Rohit Singh"/>
    <s v="Male"/>
    <s v="22/04/1996"/>
    <s v="Pune"/>
    <x v="2"/>
    <x v="2"/>
    <s v="Marker"/>
    <n v="18"/>
    <n v="45"/>
    <n v="20"/>
    <n v="648"/>
    <n v="4"/>
    <s v="NetBanking"/>
    <s v="Ritika"/>
    <s v="rohit.singh@company.com"/>
    <s v="9762437243"/>
    <s v="Cancelled"/>
  </r>
  <r>
    <s v="ORD10036"/>
    <s v="C003"/>
    <s v="P103"/>
    <x v="34"/>
    <s v="26/11/2025"/>
    <s v="Rohit Singh"/>
    <s v="Male"/>
    <s v="07/07/1979"/>
    <s v="Bengaluru"/>
    <x v="0"/>
    <x v="1"/>
    <s v="Keyboard"/>
    <n v="4"/>
    <n v="1200"/>
    <n v="20"/>
    <n v="3840"/>
    <n v="3"/>
    <s v="NetBanking"/>
    <s v="Aisha"/>
    <s v="rohit.singh@company.com"/>
    <s v="9149046970"/>
    <s v="Completed"/>
  </r>
  <r>
    <s v="ORD10037"/>
    <s v="C009"/>
    <s v="P101"/>
    <x v="35"/>
    <s v="14/11/2025"/>
    <s v="Mohit Verma"/>
    <s v="Male"/>
    <s v="27/09/1980"/>
    <s v="Kolkata"/>
    <x v="3"/>
    <x v="1"/>
    <s v="Laptop"/>
    <n v="10"/>
    <n v="55000"/>
    <n v="0"/>
    <n v="550000"/>
    <n v="1"/>
    <s v="UPI"/>
    <s v="Rahul"/>
    <s v="mohit.verma@company.com"/>
    <s v="9869182901"/>
    <s v="Cancelled"/>
  </r>
  <r>
    <s v="ORD10038"/>
    <s v="C006"/>
    <s v="P201"/>
    <x v="36"/>
    <s v="20/03/2026"/>
    <s v="Sneha Joshi"/>
    <s v="Female"/>
    <s v="21/06/1980"/>
    <s v="Delhi"/>
    <x v="1"/>
    <x v="0"/>
    <s v="Mixer"/>
    <n v="20"/>
    <n v="3500"/>
    <n v="10"/>
    <n v="63000"/>
    <n v="3"/>
    <s v="Card"/>
    <s v="Rahul"/>
    <s v="sneha.joshi@company.com"/>
    <s v="9283578533"/>
    <s v="Cancelled"/>
  </r>
  <r>
    <s v="ORD10039"/>
    <s v="C008"/>
    <s v="P302"/>
    <x v="37"/>
    <s v="19/02/2025"/>
    <s v="Kavya Nair"/>
    <s v="Female"/>
    <s v="17/06/1979"/>
    <s v="Pune"/>
    <x v="2"/>
    <x v="2"/>
    <s v="Pen"/>
    <n v="5"/>
    <s v="1200 "/>
    <n v="0"/>
    <n v="100"/>
    <n v="1"/>
    <s v="Cash"/>
    <s v="Rahul"/>
    <s v="KAvya.nair@company.com"/>
    <s v="9963005771"/>
    <s v="Cancelled"/>
  </r>
  <r>
    <s v="ORD10040"/>
    <s v="C010"/>
    <s v="P203"/>
    <x v="38"/>
    <s v="15/10/2025"/>
    <s v="Pooja Shah"/>
    <s v="Female"/>
    <s v="18/06/1992"/>
    <s v="Mumbai"/>
    <x v="2"/>
    <x v="0"/>
    <s v="Microwave"/>
    <n v="20"/>
    <n v="8500"/>
    <n v="0"/>
    <n v="170000"/>
    <n v="1"/>
    <s v="UPI"/>
    <s v="Neha"/>
    <s v="pooja.shah@company.com"/>
    <s v="9484632635"/>
    <s v="Cancelled"/>
  </r>
  <r>
    <s v="ORD10041"/>
    <s v="C007"/>
    <s v="P301"/>
    <x v="39"/>
    <s v="12/02/2026"/>
    <s v="Arjun Rao"/>
    <s v="Male"/>
    <s v="06/06/1994"/>
    <s v="Bengaluru"/>
    <x v="0"/>
    <x v="2"/>
    <s v="Notebook"/>
    <n v="8"/>
    <n v="60"/>
    <n v="15"/>
    <n v="408"/>
    <n v="5"/>
    <s v="UPI"/>
    <s v="Rahul"/>
    <s v="arjun.rao@company.com"/>
    <s v="9276319484"/>
    <s v="Pending"/>
  </r>
  <r>
    <s v="ORD10042"/>
    <s v="C010"/>
    <s v="P201"/>
    <x v="40"/>
    <s v="16/06/2025"/>
    <s v="Pooja Shah"/>
    <s v="Female"/>
    <s v="22/09/1988"/>
    <s v="Pune"/>
    <x v="2"/>
    <x v="0"/>
    <s v="Mixer"/>
    <n v="8"/>
    <n v="3500"/>
    <n v="5"/>
    <n v="26600"/>
    <n v="1"/>
    <s v="Card"/>
    <s v="Neha"/>
    <s v="pooja.shah@company.com"/>
    <s v="9619034852"/>
    <s v="Pending"/>
  </r>
  <r>
    <s v="ORD10043"/>
    <s v="C009"/>
    <s v="P203"/>
    <x v="41"/>
    <s v="14/02/2026"/>
    <s v="Mohit Verma"/>
    <s v="Male"/>
    <s v="14/07/2001"/>
    <s v="Jaipur"/>
    <x v="1"/>
    <x v="0"/>
    <s v="Microwave"/>
    <n v="1"/>
    <n v="8500"/>
    <n v="0"/>
    <n v="8500"/>
    <n v="2"/>
    <s v="Card"/>
    <s v="Neha"/>
    <s v="mohit.verma@company.com"/>
    <s v="9636416962"/>
    <s v="Pending"/>
  </r>
  <r>
    <s v="ORD10044"/>
    <s v="C001"/>
    <s v="P303"/>
    <x v="42"/>
    <s v="31/03/2025"/>
    <s v="Amit Sharma"/>
    <s v="Male"/>
    <s v="09/08/1991"/>
    <s v="Pune"/>
    <x v="2"/>
    <x v="2"/>
    <s v="Marker"/>
    <n v="8"/>
    <n v="45"/>
    <n v="15"/>
    <n v="306"/>
    <n v="2"/>
    <s v="Card"/>
    <s v="Aisha"/>
    <s v="amit.sharma@company.com"/>
    <s v="9357133880"/>
    <s v="Completed"/>
  </r>
  <r>
    <s v="ORD10045"/>
    <s v="C006"/>
    <s v="P202"/>
    <x v="43"/>
    <s v="28/04/2025"/>
    <s v="Sneha Joshi"/>
    <s v="Female"/>
    <s v="21/10/1988"/>
    <s v="Pune"/>
    <x v="2"/>
    <x v="0"/>
    <s v="Iron"/>
    <n v="16"/>
    <n v="2200"/>
    <n v="5"/>
    <n v="33440"/>
    <n v="5"/>
    <s v="Card"/>
    <s v="Aisha"/>
    <s v="sneha.joshi@company.com"/>
    <s v="9575210324"/>
    <s v="Cancelled"/>
  </r>
  <r>
    <s v="ORD10046"/>
    <s v="C009"/>
    <s v="P201"/>
    <x v="44"/>
    <s v="23/10/2025"/>
    <s v="Mohit Verma"/>
    <s v="Male"/>
    <s v="19/11/2002"/>
    <s v="Bengaluru"/>
    <x v="0"/>
    <x v="0"/>
    <s v="Mixer"/>
    <n v="19"/>
    <n v="3500"/>
    <n v="20"/>
    <n v="53200"/>
    <n v="3"/>
    <s v="Cash"/>
    <s v="Karan"/>
    <s v="mohit.verma@company.com"/>
    <s v="9276080204"/>
    <s v="Cancelled"/>
  </r>
  <r>
    <s v="ORD10047"/>
    <s v="C006"/>
    <s v="P102"/>
    <x v="45"/>
    <s v="14/10/2025"/>
    <s v="Sneha Joshi"/>
    <s v="Female"/>
    <s v="06/07/2000"/>
    <s v="Pune"/>
    <x v="2"/>
    <x v="1"/>
    <s v="Mouse"/>
    <n v="15"/>
    <n v="700"/>
    <n v="15"/>
    <n v="8925"/>
    <n v="4"/>
    <s v="UPI"/>
    <s v="Neha"/>
    <s v="sneha.joshicompany.com"/>
    <s v="9856624471"/>
    <s v="Completed"/>
  </r>
  <r>
    <s v="ORD10048"/>
    <s v="C006"/>
    <s v="P102"/>
    <x v="46"/>
    <s v="03/12/2025"/>
    <s v="Sneha Joshi"/>
    <s v="Female"/>
    <s v="26/11/1998"/>
    <s v="Jaipur"/>
    <x v="1"/>
    <x v="1"/>
    <s v="Mouse"/>
    <n v="19"/>
    <n v="700"/>
    <n v="20"/>
    <n v="10640"/>
    <n v="1"/>
    <s v="Cash"/>
    <s v="Neha"/>
    <s v="sneha.joshi@company.com"/>
    <s v="9238141322"/>
    <s v="Completed"/>
  </r>
  <r>
    <s v="ORD10049"/>
    <s v="C009"/>
    <s v="P104"/>
    <x v="47"/>
    <s v="Pending"/>
    <s v="Mohit Verma"/>
    <s v="Male"/>
    <s v="03/06/1996"/>
    <s v="Delhi"/>
    <x v="1"/>
    <x v="1"/>
    <s v="Monitor"/>
    <n v="19"/>
    <n v="12000"/>
    <n v="0"/>
    <n v="228000"/>
    <n v="1"/>
    <s v="NetBanking"/>
    <s v="Aisha"/>
    <s v="mohit.verma@company.com"/>
    <s v="9890380030"/>
    <s v="Completed"/>
  </r>
  <r>
    <s v="ORD10050"/>
    <s v="C004"/>
    <s v="P103"/>
    <x v="47"/>
    <s v="21/04/2026"/>
    <s v="Anita Gupta"/>
    <s v="Female"/>
    <s v="15/03/1987"/>
    <s v="Pune"/>
    <x v="2"/>
    <x v="1"/>
    <s v="Keyboard"/>
    <n v="6"/>
    <n v="1200"/>
    <n v="5"/>
    <n v="6840"/>
    <n v="2"/>
    <s v="Cash"/>
    <s v="Ritika"/>
    <s v="anita.gupta@company.com"/>
    <s v="9495893170"/>
    <s v="Pending"/>
  </r>
  <r>
    <s v="ORD10051"/>
    <s v="C010"/>
    <s v="P202"/>
    <x v="48"/>
    <s v="07/04/2025"/>
    <s v="Pooja Shah"/>
    <s v="Female"/>
    <s v="20/02/1979"/>
    <s v="Bengaluru"/>
    <x v="0"/>
    <x v="0"/>
    <s v="Iron"/>
    <n v="7"/>
    <n v="2200"/>
    <n v="15"/>
    <n v="13090"/>
    <n v="1"/>
    <s v="UPI"/>
    <s v="Aisha"/>
    <s v="pooja.shah@company.com"/>
    <s v="9485166307"/>
    <s v="Completed"/>
  </r>
  <r>
    <s v="ORD10052"/>
    <s v="C002"/>
    <s v="P301"/>
    <x v="49"/>
    <s v="28/08/2025"/>
    <s v="Priya Patel"/>
    <s v="Female"/>
    <s v="09/08/2000"/>
    <s v="Jaipur"/>
    <x v="1"/>
    <x v="2"/>
    <s v="Notebook"/>
    <n v="8"/>
    <n v="60"/>
    <n v="10"/>
    <n v="432"/>
    <n v="5"/>
    <s v="Card"/>
    <s v="Aisha"/>
    <s v="priYa.patel@company.com"/>
    <s v="9924709648"/>
    <s v="Cancelled"/>
  </r>
  <r>
    <s v="ORD10053"/>
    <s v="C005"/>
    <s v="P101"/>
    <x v="50"/>
    <s v="23/08/2025"/>
    <s v="Vikas Mehta"/>
    <s v="Male"/>
    <s v="17/01/1976"/>
    <s v="Kolkata"/>
    <x v="3"/>
    <x v="1"/>
    <s v="Laptop"/>
    <n v="12"/>
    <n v="55000"/>
    <n v="5"/>
    <n v="627000"/>
    <n v="2"/>
    <s v="UPI"/>
    <s v="Rahul"/>
    <s v="vikas.mehta@company.com"/>
    <s v="9350554626"/>
    <s v="Pending"/>
  </r>
  <r>
    <s v="ORD10054"/>
    <s v="C008"/>
    <s v="P102"/>
    <x v="51"/>
    <s v="05/08/2025"/>
    <s v="Kavya Nair"/>
    <s v="Female"/>
    <s v="04/04/1975"/>
    <s v="Jaipur"/>
    <x v="1"/>
    <x v="1"/>
    <s v="Mouse"/>
    <n v="3"/>
    <n v="700"/>
    <n v="0"/>
    <n v="2100"/>
    <n v="3"/>
    <s v="Card"/>
    <s v="Karan"/>
    <s v="KAvya.nair@company.com"/>
    <s v="9743295580"/>
    <s v="Cancelled"/>
  </r>
  <r>
    <s v="ORD10055"/>
    <s v="C003"/>
    <s v="P301"/>
    <x v="52"/>
    <s v="26/02/2025"/>
    <s v="Rohit Singh"/>
    <s v="Male"/>
    <s v="11/12/1976"/>
    <s v="Ahmedabad"/>
    <x v="2"/>
    <x v="2"/>
    <s v="Notebook"/>
    <n v="19"/>
    <n v="60"/>
    <n v="15"/>
    <n v="969"/>
    <n v="4"/>
    <s v="Card"/>
    <s v="Rahul"/>
    <s v="rohit.singh@company.com"/>
    <s v="9822926495"/>
    <s v="Cancelled"/>
  </r>
  <r>
    <s v="ORD10056"/>
    <s v="C001"/>
    <s v="P301"/>
    <x v="53"/>
    <s v="11/08/2025"/>
    <s v="Amit Sharma"/>
    <s v="Male"/>
    <s v="03/12/1979"/>
    <s v="Jaipur"/>
    <x v="1"/>
    <x v="2"/>
    <s v="Notebook"/>
    <n v="9"/>
    <n v="60"/>
    <n v="20"/>
    <n v="432"/>
    <n v="1"/>
    <s v="NetBanking"/>
    <s v="Neha"/>
    <s v="amit.sharma@company.com"/>
    <s v="9518298190"/>
    <s v="Pending"/>
  </r>
  <r>
    <s v="ORD10057"/>
    <s v="C001"/>
    <s v="P102"/>
    <x v="54"/>
    <s v="30/03/2026"/>
    <s v="Amit Sharma"/>
    <s v="Male"/>
    <s v="27/12/1978"/>
    <s v="Bengaluru"/>
    <x v="0"/>
    <x v="1"/>
    <s v="Mouse"/>
    <n v="6"/>
    <n v="700"/>
    <n v="0"/>
    <n v="4200"/>
    <n v="4"/>
    <s v="UPI"/>
    <s v="Rahul"/>
    <s v="amit.sharmcompany.com"/>
    <s v="9366223547"/>
    <s v="Cancelled"/>
  </r>
  <r>
    <s v="ORD10058"/>
    <s v="C003"/>
    <s v="P303"/>
    <x v="27"/>
    <s v="19/03/2026"/>
    <s v="Rohit Singh"/>
    <s v="Male"/>
    <s v="15/04/1975"/>
    <s v="Delhi"/>
    <x v="1"/>
    <x v="2"/>
    <s v="Marker"/>
    <n v="18"/>
    <n v="45"/>
    <n v="5"/>
    <n v="769.5"/>
    <n v="1"/>
    <s v="Card"/>
    <s v="Aisha"/>
    <s v="rohit.singh@company.com"/>
    <s v="9701988524"/>
    <s v="Pending"/>
  </r>
  <r>
    <s v="ORD10059"/>
    <s v="C007"/>
    <s v="P302"/>
    <x v="55"/>
    <s v="26/06/2025"/>
    <s v="Arjun Rao"/>
    <s v="Male"/>
    <s v="19/12/1988"/>
    <s v="Jaipur"/>
    <x v="1"/>
    <x v="2"/>
    <s v="Pen"/>
    <n v="8"/>
    <n v="20"/>
    <n v="5"/>
    <n v="152"/>
    <n v="1"/>
    <s v="Card"/>
    <s v="Ritika"/>
    <s v="arjun.rao@company.com"/>
    <s v="9836327649"/>
    <s v="Completed"/>
  </r>
  <r>
    <s v="ORD10060"/>
    <s v="C005"/>
    <s v="P102"/>
    <x v="56"/>
    <s v="06/03/2025"/>
    <s v="Vikas Mehta"/>
    <s v="Male"/>
    <s v="07/03/1979"/>
    <s v="Jaipur"/>
    <x v="1"/>
    <x v="1"/>
    <s v="Mouse"/>
    <n v="8"/>
    <n v="700"/>
    <n v="10"/>
    <n v="5040"/>
    <n v="1"/>
    <s v="NetBanking"/>
    <s v="Aisha"/>
    <s v="vikas.mehta@company.com"/>
    <s v="9261800516"/>
    <s v="Cancelled"/>
  </r>
  <r>
    <s v="ORD10061"/>
    <s v="C008"/>
    <s v="P302"/>
    <x v="24"/>
    <s v="19/04/2026"/>
    <s v="Kavya Nair"/>
    <s v="Female"/>
    <s v="17/12/2003"/>
    <s v="Delhi"/>
    <x v="1"/>
    <x v="2"/>
    <s v="Pen"/>
    <n v="7"/>
    <n v="20"/>
    <n v="15"/>
    <n v="119"/>
    <n v="5"/>
    <s v="Card"/>
    <s v="Rahul"/>
    <s v="KAvya.nair@company.com"/>
    <s v="9950802015"/>
    <s v="Completed"/>
  </r>
  <r>
    <s v="ORD10062"/>
    <s v="C002"/>
    <s v="P302"/>
    <x v="57"/>
    <s v="25/08/2025"/>
    <s v="Priya Patel"/>
    <s v="Female"/>
    <s v="05/04/1984"/>
    <s v="Pune"/>
    <x v="2"/>
    <x v="2"/>
    <s v="Pen"/>
    <n v="16"/>
    <n v="20"/>
    <n v="0"/>
    <n v="320"/>
    <n v="5"/>
    <s v="NetBanking"/>
    <s v="Aisha"/>
    <s v="priYa.patel@company.com"/>
    <s v="9595183767"/>
    <s v="Pending"/>
  </r>
  <r>
    <s v="ORD10063"/>
    <s v="C010"/>
    <s v="P303"/>
    <x v="58"/>
    <s v="20/05/2026"/>
    <s v="Pooja Shah"/>
    <s v="Female"/>
    <s v="13/04/1996"/>
    <s v="Mumbai"/>
    <x v="2"/>
    <x v="2"/>
    <s v="Marker"/>
    <n v="15"/>
    <n v="45"/>
    <n v="0"/>
    <n v="675"/>
    <n v="4"/>
    <s v="Cash"/>
    <s v="Aisha"/>
    <s v="pooja.shah@company.com"/>
    <s v="9560201307"/>
    <s v="Cancelled"/>
  </r>
  <r>
    <s v="ORD10064"/>
    <s v="C006"/>
    <s v="P102"/>
    <x v="59"/>
    <s v="05/03/2025"/>
    <s v="Sneha Joshi"/>
    <s v="Female"/>
    <s v="08/09/2003"/>
    <s v="Ahmedabad"/>
    <x v="2"/>
    <x v="1"/>
    <s v="Mouse"/>
    <n v="15"/>
    <n v="700"/>
    <n v="10"/>
    <n v="9450"/>
    <n v="3"/>
    <s v="NetBanking"/>
    <s v="Karan"/>
    <s v="sneha.joshi@company.com"/>
    <s v="9826484650"/>
    <s v="Completed"/>
  </r>
  <r>
    <s v="ORD10065"/>
    <s v="C010"/>
    <s v="P303"/>
    <x v="60"/>
    <s v="12/02/2025"/>
    <s v="Pooja Shah"/>
    <s v="Female"/>
    <s v="24/09/1992"/>
    <s v="Kolkata"/>
    <x v="3"/>
    <x v="2"/>
    <s v="Marker"/>
    <n v="3"/>
    <n v="45"/>
    <n v="15"/>
    <n v="114.75"/>
    <n v="2"/>
    <s v="UPI"/>
    <s v="Neha"/>
    <s v="pooja.shah@company.com"/>
    <s v="9219978007"/>
    <s v="Pending"/>
  </r>
  <r>
    <s v="ORD10066"/>
    <s v="C002"/>
    <s v="P202"/>
    <x v="61"/>
    <s v="10/01/2026"/>
    <s v="Priya Patel"/>
    <s v="Female"/>
    <s v="19/09/1986"/>
    <s v="Kolkata"/>
    <x v="3"/>
    <x v="0"/>
    <s v="Iron"/>
    <n v="7"/>
    <n v="2200"/>
    <n v="15"/>
    <n v="13090"/>
    <n v="5"/>
    <s v="UPI"/>
    <s v="Neha"/>
    <s v="priYa.patel@company.com"/>
    <s v="9662063276"/>
    <s v="Completed"/>
  </r>
  <r>
    <s v="ORD10067"/>
    <s v="C008"/>
    <s v="P303"/>
    <x v="62"/>
    <s v="05/09/2025"/>
    <s v="Kavya Nair"/>
    <s v="Female"/>
    <s v="28/05/1985"/>
    <s v="Delhi"/>
    <x v="1"/>
    <x v="2"/>
    <s v="Marker"/>
    <n v="19"/>
    <n v="45"/>
    <n v="10"/>
    <n v="769.5"/>
    <n v="5"/>
    <s v="Card"/>
    <s v="Neha"/>
    <s v="KAvya.nair@company.com"/>
    <s v="9190393639"/>
    <s v="Cancelled"/>
  </r>
  <r>
    <s v="ORD10068"/>
    <s v="C006"/>
    <s v="P201"/>
    <x v="63"/>
    <s v="14/02/2026"/>
    <s v="Sneha Joshi"/>
    <s v="Female"/>
    <s v="27/08/1979"/>
    <s v="Hyderabad"/>
    <x v="0"/>
    <x v="0"/>
    <s v="Mixer"/>
    <n v="7"/>
    <n v="3500"/>
    <n v="15"/>
    <n v="20825"/>
    <n v="1"/>
    <s v="Cash"/>
    <s v="Karan"/>
    <s v="sneha.joshi@company.com"/>
    <s v="9106328582"/>
    <s v="Pending"/>
  </r>
  <r>
    <s v="ORD10069"/>
    <s v="C010"/>
    <s v="P203"/>
    <x v="64"/>
    <s v="19/12/2025"/>
    <s v="Pooja Shah"/>
    <s v="Female"/>
    <s v="22/12/1976"/>
    <s v="Jaipur"/>
    <x v="1"/>
    <x v="0"/>
    <s v="Microwave"/>
    <n v="7"/>
    <n v="8500"/>
    <n v="20"/>
    <n v="47600"/>
    <n v="4"/>
    <s v="NetBanking"/>
    <s v="Neha"/>
    <s v="pooja.shah@company.com"/>
    <s v="9264401015"/>
    <s v="Completed"/>
  </r>
  <r>
    <s v="ORD10070"/>
    <s v="C008"/>
    <s v="P101"/>
    <x v="65"/>
    <s v="10/04/2025"/>
    <s v="Kavya Nair"/>
    <s v="Female"/>
    <s v="05/02/2000"/>
    <s v="Bengaluru"/>
    <x v="0"/>
    <x v="1"/>
    <s v="Laptop"/>
    <n v="16"/>
    <n v="55000"/>
    <n v="10"/>
    <n v="792000"/>
    <n v="1"/>
    <s v="Card"/>
    <s v="Aisha"/>
    <s v="KAvya.nair@company.com"/>
    <s v="9959237375"/>
    <s v="Completed"/>
  </r>
  <r>
    <s v="ORD10071"/>
    <s v="C004"/>
    <s v="P104"/>
    <x v="66"/>
    <s v="03/01/2026"/>
    <s v="Anita Gupta"/>
    <s v="Female"/>
    <s v="24/02/1987"/>
    <s v="Mumbai"/>
    <x v="2"/>
    <x v="1"/>
    <s v="Monitor"/>
    <n v="2"/>
    <n v="12000"/>
    <n v="20"/>
    <n v="19200"/>
    <n v="1"/>
    <s v="Cash"/>
    <s v="Karan"/>
    <s v="anita.gupta@company.com"/>
    <s v="9561836580"/>
    <s v="Pending"/>
  </r>
  <r>
    <s v="ORD10072"/>
    <s v="C003"/>
    <s v="P303"/>
    <x v="67"/>
    <s v="05/09/2025"/>
    <s v="Rohit Singh"/>
    <s v="Male"/>
    <s v="24/07/1984"/>
    <s v="Bengaluru"/>
    <x v="0"/>
    <x v="2"/>
    <s v="Marker"/>
    <n v="4"/>
    <n v="45"/>
    <n v="5"/>
    <n v="171"/>
    <n v="1"/>
    <s v="Card"/>
    <s v="Rahul"/>
    <s v="rohit.singh@company.com"/>
    <s v="9512666401"/>
    <s v="Pending"/>
  </r>
  <r>
    <s v="ORD10073"/>
    <s v="C008"/>
    <s v="P103"/>
    <x v="68"/>
    <s v="23/12/2025"/>
    <s v="Kavya Nair"/>
    <s v="Female"/>
    <s v="22/09/1981"/>
    <s v="Jaipur"/>
    <x v="1"/>
    <x v="1"/>
    <s v="Keyboard"/>
    <n v="1"/>
    <n v="1200"/>
    <n v="5"/>
    <n v="1140"/>
    <n v="3"/>
    <s v="UPI"/>
    <s v="Aisha"/>
    <s v="KAvya.nair@company.com"/>
    <s v="9808988530"/>
    <s v="Cancelled"/>
  </r>
  <r>
    <s v="ORD10074"/>
    <s v="C010"/>
    <s v="P202"/>
    <x v="69"/>
    <s v="16/02/2026"/>
    <s v="Pooja Shah"/>
    <s v="Female"/>
    <s v="20/06/1980"/>
    <m/>
    <x v="0"/>
    <x v="0"/>
    <s v="Iron"/>
    <n v="1"/>
    <n v="2200"/>
    <n v="15"/>
    <n v="1870"/>
    <n v="4"/>
    <s v="Card"/>
    <s v="Aisha"/>
    <s v="pooja.shah@company.com"/>
    <s v="9286410494"/>
    <s v="Completed"/>
  </r>
  <r>
    <s v="ORD10075"/>
    <s v="C003"/>
    <s v="P103"/>
    <x v="70"/>
    <s v="28/01/2026"/>
    <s v="Rohit Singh"/>
    <s v="Male"/>
    <s v="02/11/1982"/>
    <s v="Pune"/>
    <x v="2"/>
    <x v="1"/>
    <s v="Keyboard"/>
    <n v="3"/>
    <n v="1200"/>
    <n v="10"/>
    <n v="3240"/>
    <n v="5"/>
    <s v="Cash"/>
    <s v="Rahul"/>
    <s v="rohit.singh@company.com"/>
    <s v="9311555196"/>
    <s v="Completed"/>
  </r>
  <r>
    <s v="ORD10076"/>
    <s v="C008"/>
    <s v="P201"/>
    <x v="71"/>
    <s v="07/07/2025"/>
    <s v="Kavya Nair"/>
    <s v="Female"/>
    <s v="10/01/1980"/>
    <s v="Bengaluru"/>
    <x v="0"/>
    <x v="0"/>
    <s v="Mixer"/>
    <n v="10"/>
    <n v="3500"/>
    <n v="20"/>
    <n v="28000"/>
    <n v="5"/>
    <s v="Card"/>
    <s v="Ritika"/>
    <s v="KAvya.nair@company.com"/>
    <s v="9101810266"/>
    <s v="Completed"/>
  </r>
  <r>
    <s v="ORD10077"/>
    <s v="C007"/>
    <s v="P102"/>
    <x v="72"/>
    <s v="19/03/2026"/>
    <s v="Arjun Rao"/>
    <s v="Male"/>
    <s v="27/04/1981"/>
    <s v="Delhi"/>
    <x v="1"/>
    <x v="1"/>
    <s v="Mouse"/>
    <n v="18"/>
    <n v="700"/>
    <n v="5"/>
    <n v="11970"/>
    <n v="3"/>
    <s v="Card"/>
    <s v="Neha"/>
    <s v="arjun.rao@company.com"/>
    <s v="9464556593"/>
    <s v="Cancelled"/>
  </r>
  <r>
    <s v="ORD10078"/>
    <s v="C005"/>
    <s v="P102"/>
    <x v="73"/>
    <s v="18/06/2025"/>
    <s v="Vikas Mehta"/>
    <s v="Male"/>
    <s v="12/03/1985"/>
    <s v="Bengaluru"/>
    <x v="0"/>
    <x v="1"/>
    <s v="Mouse"/>
    <n v="12"/>
    <n v="700"/>
    <n v="15"/>
    <n v="7140"/>
    <n v="2"/>
    <s v="UPI"/>
    <s v="Rahul"/>
    <s v="vikas.mehta@company.com"/>
    <s v="9338278358"/>
    <s v="Completed"/>
  </r>
  <r>
    <s v="ORD10079"/>
    <s v="C009"/>
    <s v="P103"/>
    <x v="74"/>
    <s v="16/11/2025"/>
    <s v="Mohit Verma"/>
    <s v="Male"/>
    <s v="15/03/1999"/>
    <s v="Mumbai"/>
    <x v="2"/>
    <x v="1"/>
    <s v="Keyboard"/>
    <n v="8"/>
    <n v="1200"/>
    <n v="0"/>
    <n v="9600"/>
    <n v="4"/>
    <s v="Card"/>
    <s v="Rahul"/>
    <s v="mohit.verma@company.com"/>
    <s v="9621410770"/>
    <s v="Pending"/>
  </r>
  <r>
    <s v="ORD10080"/>
    <s v="C003"/>
    <s v="P301"/>
    <x v="75"/>
    <s v="10/11/2025"/>
    <s v="Rohit Singh"/>
    <s v="Male"/>
    <s v="07/07/1983"/>
    <s v="Pune"/>
    <x v="2"/>
    <x v="2"/>
    <s v="Notebook"/>
    <n v="2"/>
    <n v="60"/>
    <n v="0"/>
    <n v="120"/>
    <n v="2"/>
    <s v="UPI"/>
    <s v="Rahul"/>
    <s v="rohit.singh@company.com"/>
    <s v="9981333189"/>
    <s v="Completed"/>
  </r>
  <r>
    <s v="ORD10081"/>
    <s v="C001"/>
    <s v="P303"/>
    <x v="76"/>
    <s v="07/01/2025"/>
    <s v="Amit Sharma"/>
    <s v="Male"/>
    <s v="06/03/1989"/>
    <s v="Pune"/>
    <x v="2"/>
    <x v="2"/>
    <s v="Marker"/>
    <n v="10"/>
    <n v="45"/>
    <n v="15"/>
    <n v="382.5"/>
    <n v="3"/>
    <s v="NetBanking"/>
    <s v="Ritika"/>
    <s v="amit.sharma@company.com"/>
    <s v="9723450355"/>
    <s v="Cancelled"/>
  </r>
  <r>
    <s v="ORD10082"/>
    <s v="C005"/>
    <s v="P201"/>
    <x v="77"/>
    <s v="03/05/2026"/>
    <s v="Vikas Mehta"/>
    <s v="Male"/>
    <s v="20/06/1982"/>
    <s v="Kolkata"/>
    <x v="3"/>
    <x v="0"/>
    <s v="Mixer"/>
    <n v="12"/>
    <n v="3500"/>
    <n v="5"/>
    <n v="39900"/>
    <n v="3"/>
    <s v="NetBanking"/>
    <s v="Aisha"/>
    <s v="vikas.mehta@company.com"/>
    <s v="9886243907"/>
    <s v="Pending"/>
  </r>
  <r>
    <s v="ORD10083"/>
    <s v="C003"/>
    <s v="P301"/>
    <x v="10"/>
    <s v="27/09/2025"/>
    <s v="Rohit Singh"/>
    <s v="Male"/>
    <s v="23/06/2001"/>
    <s v="Mumbai"/>
    <x v="2"/>
    <x v="2"/>
    <s v="Notebook"/>
    <n v="2"/>
    <n v="60"/>
    <n v="15"/>
    <n v="102"/>
    <n v="1"/>
    <s v="UPI"/>
    <s v="Neha"/>
    <s v="rohit.singh@company.com"/>
    <s v="9473931904"/>
    <s v="Completed"/>
  </r>
  <r>
    <s v="ORD10084"/>
    <s v="C003"/>
    <s v="P103"/>
    <x v="78"/>
    <s v="21/03/2025"/>
    <s v="Rohit Singh"/>
    <s v="Male"/>
    <s v="19/07/1983"/>
    <s v="Hyderabad"/>
    <x v="0"/>
    <x v="1"/>
    <s v="Keyboard"/>
    <n v="18"/>
    <n v="1200"/>
    <n v="15"/>
    <n v="18360"/>
    <n v="3"/>
    <s v="Card"/>
    <s v="Neha"/>
    <s v="rohit.singh@company.com"/>
    <s v="9287159610"/>
    <s v="Pending"/>
  </r>
  <r>
    <s v="ORD10085"/>
    <s v="C008"/>
    <s v="P104"/>
    <x v="79"/>
    <s v="31/10/2025"/>
    <s v="Kavya Nair"/>
    <s v="Female"/>
    <s v="24/03/1993"/>
    <s v="Mumbai"/>
    <x v="2"/>
    <x v="1"/>
    <s v="Monitor"/>
    <n v="18"/>
    <n v="12000"/>
    <n v="15"/>
    <n v="183600"/>
    <n v="2"/>
    <s v="Cash"/>
    <s v="Rahul"/>
    <s v="KAvya.nair@company.com"/>
    <s v="9876513858"/>
    <s v="Completed"/>
  </r>
  <r>
    <s v="ORD10086"/>
    <s v="C007"/>
    <s v="P302"/>
    <x v="80"/>
    <s v="11/11/2025"/>
    <s v="Arjun Rao"/>
    <s v="Male"/>
    <s v="10/05/1995"/>
    <s v="Ahmedabad"/>
    <x v="2"/>
    <x v="2"/>
    <s v="Pen"/>
    <n v="7"/>
    <n v="20"/>
    <n v="0"/>
    <n v="140"/>
    <n v="2"/>
    <s v="Card"/>
    <s v="Ritika"/>
    <s v="arjun.rao@company.com"/>
    <s v="9237400853"/>
    <s v="Cancelled"/>
  </r>
  <r>
    <s v="ORD10087"/>
    <s v="C006"/>
    <s v="P201"/>
    <x v="81"/>
    <s v="18/04/2025"/>
    <s v="Sneha Joshi"/>
    <s v="Female"/>
    <s v="15/02/2001"/>
    <s v="Pune"/>
    <x v="2"/>
    <x v="0"/>
    <s v="Mixer"/>
    <n v="20"/>
    <n v="3500"/>
    <n v="20"/>
    <n v="56000"/>
    <n v="4"/>
    <s v="Card"/>
    <s v="Neha"/>
    <s v="sneha.joshi@company.com"/>
    <s v="9599597595"/>
    <s v="Pending"/>
  </r>
  <r>
    <s v="ORD10088"/>
    <s v="C002"/>
    <s v="P203"/>
    <x v="82"/>
    <s v="26/03/2026"/>
    <s v="Priya Patel"/>
    <s v="Female"/>
    <s v="14/08/1999"/>
    <s v="Ahmedabad"/>
    <x v="2"/>
    <x v="0"/>
    <s v="Microwave"/>
    <n v="8"/>
    <n v="8500"/>
    <n v="20"/>
    <n v="54400"/>
    <n v="3"/>
    <s v="Card"/>
    <s v="Neha"/>
    <s v="priYa.patel@company.com"/>
    <s v="9230007509"/>
    <s v="Pending"/>
  </r>
  <r>
    <s v="ORD10089"/>
    <s v="C001"/>
    <s v="P104"/>
    <x v="83"/>
    <s v="24/09/2025"/>
    <s v="Amit Sharma"/>
    <s v="Male"/>
    <s v="20/03/2002"/>
    <s v="Ahmedabad"/>
    <x v="1"/>
    <x v="1"/>
    <s v="Monitor"/>
    <n v="6"/>
    <n v="12000"/>
    <n v="5"/>
    <n v="68400"/>
    <n v="4"/>
    <s v="NetBanking"/>
    <s v="Ritika"/>
    <s v="amit.sharma@company.com"/>
    <s v="9823428025"/>
    <s v="Completed"/>
  </r>
  <r>
    <s v="ORD10090"/>
    <s v="C008"/>
    <s v="P203"/>
    <x v="84"/>
    <s v="19/03/2026"/>
    <s v="Kavya Nair"/>
    <s v="Female"/>
    <s v="13/06/1992"/>
    <s v="Pune"/>
    <x v="2"/>
    <x v="0"/>
    <s v="Microwave"/>
    <n v="15"/>
    <n v="8500"/>
    <n v="0"/>
    <n v="127500"/>
    <n v="4"/>
    <s v="NetBanking"/>
    <s v="Ritika"/>
    <s v="KAvya.nair@company.com"/>
    <s v="9505048912"/>
    <s v="Cancelled"/>
  </r>
  <r>
    <s v="ORD10091"/>
    <s v="C010"/>
    <s v="P103"/>
    <x v="85"/>
    <s v="23/08/2025"/>
    <s v="Pooja Shah"/>
    <s v="Female"/>
    <s v="18/06/1996"/>
    <s v="Jaipur"/>
    <x v="1"/>
    <x v="1"/>
    <s v="Keyboard"/>
    <n v="5"/>
    <n v="1200"/>
    <n v="15"/>
    <n v="5100"/>
    <n v="1"/>
    <s v="NetBanking"/>
    <s v="Ritika"/>
    <s v="pooja.shah@company.com"/>
    <s v="9508068393"/>
    <s v="Cancelled"/>
  </r>
  <r>
    <s v="ORD10092"/>
    <s v="C010"/>
    <s v="P302"/>
    <x v="86"/>
    <s v="14/08/2025"/>
    <s v="Pooja Shah"/>
    <s v="Female"/>
    <s v="08/11/1982"/>
    <s v="Hyderabad"/>
    <x v="0"/>
    <x v="2"/>
    <s v="Pen"/>
    <n v="4"/>
    <n v="20"/>
    <n v="0"/>
    <n v="80"/>
    <n v="4"/>
    <s v="NetBanking"/>
    <s v="Rahul"/>
    <s v="pooja.shah@company.com"/>
    <s v="9785807771"/>
    <s v="Completed"/>
  </r>
  <r>
    <s v="ORD10093"/>
    <s v="C008"/>
    <s v="P302"/>
    <x v="87"/>
    <s v="20/03/2025"/>
    <s v="Kavya Nair"/>
    <s v="Female"/>
    <s v="25/06/1984"/>
    <s v="Bengaluru"/>
    <x v="0"/>
    <x v="2"/>
    <s v="Pen"/>
    <n v="10"/>
    <n v="20"/>
    <n v="0"/>
    <n v="200"/>
    <n v="3"/>
    <s v="Cash"/>
    <s v="Karan"/>
    <s v="KAvya.nair@company.com"/>
    <s v="9215250979"/>
    <s v="Pending"/>
  </r>
  <r>
    <s v="ORD10094"/>
    <s v="C004"/>
    <s v="P202"/>
    <x v="88"/>
    <s v="10/09/2025"/>
    <s v="Anita Gupta"/>
    <s v="Female"/>
    <s v="21/06/1994"/>
    <s v="Delhi"/>
    <x v="1"/>
    <x v="0"/>
    <s v="Iron"/>
    <n v="18"/>
    <n v="2200"/>
    <n v="10"/>
    <n v="35640"/>
    <n v="3"/>
    <s v="Cash"/>
    <s v="Ritika"/>
    <s v="anita.gupta@company.com"/>
    <s v="9845884906"/>
    <s v="Cancelled"/>
  </r>
  <r>
    <s v="ORD10095"/>
    <s v="C001"/>
    <s v="P201"/>
    <x v="89"/>
    <s v="15/04/2025"/>
    <s v="Amit Sharma"/>
    <s v="Male"/>
    <s v="17/10/1990"/>
    <s v="Delhi"/>
    <x v="1"/>
    <x v="0"/>
    <s v="Mixer"/>
    <n v="7"/>
    <n v="3500"/>
    <n v="15"/>
    <n v="20825"/>
    <n v="3"/>
    <s v="NetBanking"/>
    <s v="Rahul"/>
    <s v="amit.sharma@company.com"/>
    <s v="9393097397"/>
    <s v="Completed"/>
  </r>
  <r>
    <s v="ORD10096"/>
    <s v="C002"/>
    <s v="P203"/>
    <x v="90"/>
    <s v="07/05/2026"/>
    <s v="Priya Patel"/>
    <s v="Female"/>
    <s v="28/01/1987"/>
    <s v="Kolkata"/>
    <x v="3"/>
    <x v="0"/>
    <s v="Microwave"/>
    <n v="19"/>
    <n v="8500"/>
    <n v="15"/>
    <n v="137275"/>
    <n v="4"/>
    <s v="Card"/>
    <s v="Karan"/>
    <s v="priYa.patel@company.com"/>
    <s v="9958032109"/>
    <s v="Pending"/>
  </r>
  <r>
    <s v="ORD10097"/>
    <s v="C006"/>
    <s v="P104"/>
    <x v="91"/>
    <s v="27/01/2026"/>
    <s v="Sneha Joshi"/>
    <s v="Female"/>
    <s v="21/09/1983"/>
    <s v="Ahmedabad"/>
    <x v="2"/>
    <x v="1"/>
    <s v="Monitor"/>
    <n v="13"/>
    <n v="12000"/>
    <n v="15"/>
    <n v="132600"/>
    <n v="4"/>
    <s v="Cash"/>
    <s v="Rahul"/>
    <s v="sneha.joshi@company.com"/>
    <s v="9755082957"/>
    <s v="Completed"/>
  </r>
  <r>
    <s v="ORD10098"/>
    <s v="C001"/>
    <s v="P302"/>
    <x v="92"/>
    <s v="24/03/2026"/>
    <s v="Amit Sharma"/>
    <s v="Male"/>
    <s v="04/04/1989"/>
    <s v="Pune"/>
    <x v="2"/>
    <x v="2"/>
    <s v="Pen"/>
    <n v="7"/>
    <n v="20"/>
    <n v="0"/>
    <n v="140"/>
    <n v="1"/>
    <s v="Card"/>
    <s v="Karan"/>
    <s v="amit.sharma@company.com"/>
    <s v="9872235856"/>
    <s v="Cancelled"/>
  </r>
  <r>
    <s v="ORD10099"/>
    <s v="C004"/>
    <s v="P102"/>
    <x v="93"/>
    <s v="11/05/2025"/>
    <s v="Anita Gupta"/>
    <s v="Female"/>
    <s v="25/09/1987"/>
    <s v="Delhi"/>
    <x v="1"/>
    <x v="1"/>
    <s v="Mouse"/>
    <n v="5"/>
    <n v="700"/>
    <n v="15"/>
    <n v="999999"/>
    <n v="4"/>
    <s v="Card"/>
    <s v="Ritika"/>
    <s v="anita.gupta@company.com"/>
    <s v="9335138816"/>
    <s v="Pending"/>
  </r>
  <r>
    <s v="ORD10100"/>
    <s v="C007"/>
    <s v="P303"/>
    <x v="94"/>
    <s v="10/05/2026"/>
    <s v="Arjun Rao"/>
    <s v="Male"/>
    <s v="07/08/1982"/>
    <s v="Bengaluru"/>
    <x v="0"/>
    <x v="2"/>
    <s v="Marker"/>
    <n v="9"/>
    <n v="45"/>
    <n v="5"/>
    <n v="384.75"/>
    <n v="3"/>
    <s v="Cash"/>
    <s v="Ritika"/>
    <s v="arjun.rao@company.com"/>
    <s v="9750365609"/>
    <s v="Completed"/>
  </r>
  <r>
    <s v="ORD10101"/>
    <s v="C003"/>
    <s v="P301"/>
    <x v="95"/>
    <s v="29/04/2025"/>
    <s v="Rohit Singh"/>
    <s v="Male"/>
    <s v="17/07/1986"/>
    <s v="Kolkata"/>
    <x v="3"/>
    <x v="2"/>
    <s v="Notebook"/>
    <n v="19"/>
    <n v="60"/>
    <n v="10"/>
    <n v="1026"/>
    <n v="5"/>
    <s v="NetBanking"/>
    <s v="Neha"/>
    <s v="rohit.singh@company.com"/>
    <s v="9736812737"/>
    <s v="Completed"/>
  </r>
  <r>
    <s v="ORD10102"/>
    <s v="C001"/>
    <s v="P102"/>
    <x v="96"/>
    <s v="20/12/2025"/>
    <s v="Amit Sharma"/>
    <s v="Male"/>
    <s v="06/04/1987"/>
    <s v="Ahmedabad"/>
    <x v="2"/>
    <x v="1"/>
    <s v="Mouse"/>
    <n v="4"/>
    <n v="700"/>
    <n v="5"/>
    <n v="2660"/>
    <n v="3"/>
    <s v="NetBanking"/>
    <s v="Aisha"/>
    <s v="amit.sharma@company.com"/>
    <s v="9271420931"/>
    <s v="Completed"/>
  </r>
  <r>
    <s v="ORD10103"/>
    <s v="C001"/>
    <s v="P201"/>
    <x v="94"/>
    <s v="15/05/2026"/>
    <s v="Amit Sharma"/>
    <s v="Male"/>
    <s v="25/02/2004"/>
    <s v="Pune"/>
    <x v="2"/>
    <x v="0"/>
    <s v="Mixer"/>
    <n v="16"/>
    <n v="3500"/>
    <n v="0"/>
    <n v="56000"/>
    <n v="2"/>
    <s v="Card"/>
    <s v="Rahul"/>
    <s v="amit.sharma@company.com"/>
    <s v="9781411370"/>
    <s v="Completed"/>
  </r>
  <r>
    <s v="ORD10104"/>
    <s v="C006"/>
    <s v="P303"/>
    <x v="97"/>
    <s v="20/01/2025"/>
    <s v="Sneha Joshi"/>
    <s v="Female"/>
    <s v="24/04/2001"/>
    <s v="Bengaluru"/>
    <x v="0"/>
    <x v="2"/>
    <s v="Marker"/>
    <n v="5"/>
    <n v="45"/>
    <n v="20"/>
    <n v="180"/>
    <n v="3"/>
    <s v="Card"/>
    <s v="Ritika"/>
    <s v="sneha.joshi@company.com"/>
    <s v="9584152818"/>
    <s v="Completed"/>
  </r>
  <r>
    <s v="ORD10105"/>
    <s v="C007"/>
    <s v="P302"/>
    <x v="98"/>
    <s v="18/03/2025"/>
    <s v="Arjun Rao"/>
    <s v="Male"/>
    <s v="01/07/1996"/>
    <s v="Mumbai"/>
    <x v="2"/>
    <x v="2"/>
    <s v="Pen"/>
    <n v="9"/>
    <n v="20"/>
    <n v="10"/>
    <n v="162"/>
    <n v="4"/>
    <s v="Card"/>
    <s v="Ritika"/>
    <s v="arjun.rao@company.com"/>
    <s v="9507986836"/>
    <s v="Pending"/>
  </r>
  <r>
    <s v="ORD10106"/>
    <s v="C010"/>
    <s v="P103"/>
    <x v="99"/>
    <s v="01/03/2025"/>
    <s v="Pooja Shah"/>
    <s v="Female"/>
    <s v="06/02/1979"/>
    <s v="Delhi"/>
    <x v="1"/>
    <x v="1"/>
    <s v="Keyboard"/>
    <n v="9"/>
    <n v="1200"/>
    <n v="5"/>
    <n v="10260"/>
    <n v="3"/>
    <s v="UPI"/>
    <s v="Ritika"/>
    <s v="pooja.shah@company.com"/>
    <s v="9518249687"/>
    <s v="Pending"/>
  </r>
  <r>
    <s v="ORD10107"/>
    <s v="C002"/>
    <s v="P201"/>
    <x v="100"/>
    <s v="27/02/2025"/>
    <s v="Priya Patel"/>
    <s v="Female"/>
    <s v="12/12/1985"/>
    <s v="Delhi"/>
    <x v="1"/>
    <x v="0"/>
    <s v="Mixer"/>
    <n v="3"/>
    <n v="3500"/>
    <n v="10"/>
    <n v="9450"/>
    <n v="2"/>
    <s v="Card"/>
    <s v="Karan"/>
    <s v="priYa.patel@company.com"/>
    <s v="9179328207"/>
    <s v="Cancelled"/>
  </r>
  <r>
    <s v="ORD10108"/>
    <s v="C005"/>
    <s v="P103"/>
    <x v="27"/>
    <s v="18/03/2026"/>
    <s v="Vikas Mehta"/>
    <s v="Male"/>
    <s v="28/01/1992"/>
    <s v="Mumbai"/>
    <x v="2"/>
    <x v="1"/>
    <s v="Keyboard"/>
    <n v="6"/>
    <n v="1200"/>
    <n v="15"/>
    <n v="6120"/>
    <n v="4"/>
    <s v="UPI"/>
    <s v="Ritika"/>
    <s v="vikas.mehta@company.com"/>
    <s v="9778490728"/>
    <s v="Cancelled"/>
  </r>
  <r>
    <s v="ORD10109"/>
    <s v="C007"/>
    <s v="P103"/>
    <x v="101"/>
    <s v="12/07/2025"/>
    <s v="Arjun Rao"/>
    <s v="Male"/>
    <s v="05/07/1993"/>
    <s v="Jaipur"/>
    <x v="1"/>
    <x v="1"/>
    <s v="Keyboard"/>
    <n v="17"/>
    <n v="1200"/>
    <n v="15"/>
    <n v="17340"/>
    <n v="1"/>
    <s v="Cash"/>
    <s v="Aisha"/>
    <s v="arjun.rao@company.com"/>
    <s v="9223058722"/>
    <s v="Completed"/>
  </r>
  <r>
    <s v="ORD10110"/>
    <s v="C005"/>
    <s v="P203"/>
    <x v="102"/>
    <s v="26/11/2025"/>
    <s v="Vikas Mehta"/>
    <s v="Male"/>
    <s v="13/09/1977"/>
    <s v="Bengaluru"/>
    <x v="0"/>
    <x v="0"/>
    <s v="Microwave"/>
    <n v="15"/>
    <n v="8500"/>
    <n v="0"/>
    <n v="127500"/>
    <n v="3"/>
    <s v="Cash"/>
    <s v="Neha"/>
    <s v="vikas.mehta@company.com"/>
    <s v="9999889465"/>
    <s v="Pending"/>
  </r>
  <r>
    <s v="ORD10111"/>
    <s v="C003"/>
    <s v="P103"/>
    <x v="7"/>
    <s v="19/04/2025"/>
    <s v="Rohit Singh"/>
    <s v="Male"/>
    <s v="11/10/1985"/>
    <s v="Hyderabad"/>
    <x v="0"/>
    <x v="1"/>
    <s v="Keyboard"/>
    <n v="1"/>
    <n v="1200"/>
    <n v="20"/>
    <n v="960"/>
    <n v="1"/>
    <s v="UPI"/>
    <s v="Neha"/>
    <s v="rohit.singh@company.com"/>
    <s v="9489687402"/>
    <s v="Pending"/>
  </r>
  <r>
    <s v="ORD10112"/>
    <s v="C003"/>
    <s v="P203"/>
    <x v="103"/>
    <s v="18/04/2025"/>
    <s v="Rohit Singh"/>
    <s v="Male"/>
    <s v="02/10/2001"/>
    <s v="Kolkata"/>
    <x v="3"/>
    <x v="0"/>
    <s v="Microwave"/>
    <n v="5"/>
    <n v="8500"/>
    <n v="10"/>
    <n v="38250"/>
    <n v="1"/>
    <s v="Card"/>
    <s v="Aisha"/>
    <s v="rohit.singh@company.com"/>
    <s v="9236963301"/>
    <s v="Completed"/>
  </r>
  <r>
    <s v="ORD10113"/>
    <s v="C010"/>
    <s v="P303"/>
    <x v="104"/>
    <s v="10/04/2026"/>
    <s v="Pooja Shah"/>
    <s v="Female"/>
    <s v="08/04/1986"/>
    <s v="Hyderabad"/>
    <x v="0"/>
    <x v="2"/>
    <s v="Marker"/>
    <n v="12"/>
    <n v="45"/>
    <n v="5"/>
    <n v="513"/>
    <n v="2"/>
    <s v="NetBanking"/>
    <s v="Ritika"/>
    <s v="pooja.shah@company.com"/>
    <s v="9653594592"/>
    <s v="Cancelled"/>
  </r>
  <r>
    <s v="ORD10114"/>
    <s v="C005"/>
    <s v="P301"/>
    <x v="105"/>
    <s v="28/10/2025"/>
    <s v="Vikas Mehta"/>
    <s v="Male"/>
    <s v="21/07/1990"/>
    <s v="Pune"/>
    <x v="2"/>
    <x v="2"/>
    <s v="Notebook"/>
    <n v="5"/>
    <n v="60"/>
    <n v="5"/>
    <n v="285"/>
    <n v="2"/>
    <s v="Cash"/>
    <s v="Aisha"/>
    <s v="vikas.mehta@company.com"/>
    <s v="9781970426"/>
    <s v="Completed"/>
  </r>
  <r>
    <s v="ORD10115"/>
    <s v="C010"/>
    <s v="P102"/>
    <x v="106"/>
    <s v="14/04/2025"/>
    <s v="Pooja Shah"/>
    <s v="Female"/>
    <s v="11/04/1994"/>
    <s v="Kolkata"/>
    <x v="3"/>
    <x v="1"/>
    <s v="Mouse"/>
    <n v="3"/>
    <n v="700"/>
    <n v="0"/>
    <n v="2100"/>
    <n v="4"/>
    <s v="Card"/>
    <s v="Aisha"/>
    <s v="pooja.shah@company.com"/>
    <s v="9862165194"/>
    <s v="Completed"/>
  </r>
  <r>
    <s v="ORD10116"/>
    <s v="C004"/>
    <s v="P302"/>
    <x v="43"/>
    <s v="29/04/2025"/>
    <s v="Anita Gupta"/>
    <s v="Female"/>
    <s v="04/05/1992"/>
    <s v="Delhi"/>
    <x v="1"/>
    <x v="2"/>
    <s v="Pen"/>
    <n v="6"/>
    <n v="20"/>
    <n v="15"/>
    <n v="102"/>
    <n v="5"/>
    <s v="Card"/>
    <s v="Karan"/>
    <s v="anita.gupta@company.com"/>
    <s v="9661280388"/>
    <s v="Completed"/>
  </r>
  <r>
    <s v="ORD10117"/>
    <s v="C002"/>
    <s v="P102"/>
    <x v="107"/>
    <s v="31/08/2025"/>
    <s v="Priya Patel"/>
    <s v="Female"/>
    <s v="13/05/1980"/>
    <s v="Bengaluru"/>
    <x v="0"/>
    <x v="1"/>
    <s v="Mouse"/>
    <n v="2"/>
    <n v="700"/>
    <n v="15"/>
    <n v="1190"/>
    <n v="4"/>
    <s v="Cash"/>
    <s v="Karan"/>
    <s v="priYa.patel@company.com"/>
    <s v="9896985355"/>
    <s v="Pending"/>
  </r>
  <r>
    <s v="ORD10118"/>
    <s v="C001"/>
    <s v="P303"/>
    <x v="108"/>
    <s v="11/06/2025"/>
    <s v="Amit Sharma"/>
    <s v="Male"/>
    <s v="07/09/1995"/>
    <s v="Pune"/>
    <x v="2"/>
    <x v="2"/>
    <s v="Marker"/>
    <n v="16"/>
    <n v="45"/>
    <n v="0"/>
    <n v="720"/>
    <n v="1"/>
    <s v="NetBanking"/>
    <s v="Aisha"/>
    <s v="amit.sharma@company.com"/>
    <s v="9807154421"/>
    <s v="Completed"/>
  </r>
  <r>
    <s v="ORD10119"/>
    <s v="C009"/>
    <s v="P103"/>
    <x v="109"/>
    <s v="02/06/2025"/>
    <s v="Mohit Verma"/>
    <s v="Male"/>
    <s v="08/03/1988"/>
    <s v="Ahmedabad"/>
    <x v="2"/>
    <x v="1"/>
    <s v="Keyboard"/>
    <s v="Ten"/>
    <n v="1200"/>
    <n v="15"/>
    <n v="7140"/>
    <n v="4"/>
    <s v="UPI"/>
    <s v="Karan"/>
    <s v="mohit.verma@company.com"/>
    <s v="9919834000"/>
    <s v="Pending"/>
  </r>
  <r>
    <s v="ORD10120"/>
    <s v="C002"/>
    <s v="P104"/>
    <x v="50"/>
    <s v="30/08/2025"/>
    <s v="Priya Patel"/>
    <s v="Female"/>
    <s v="07/07/1989"/>
    <s v="Jaipur"/>
    <x v="1"/>
    <x v="1"/>
    <s v="Monitor"/>
    <n v="14"/>
    <n v="12000"/>
    <n v="15"/>
    <n v="142800"/>
    <n v="2"/>
    <s v="NetBanking"/>
    <s v="Aisha"/>
    <s v="priYa.patel@company.com"/>
    <s v="9739798818"/>
    <s v="Pending"/>
  </r>
  <r>
    <s v="ORD10121"/>
    <s v="C003"/>
    <s v="P203"/>
    <x v="64"/>
    <s v="16/12/2025"/>
    <s v="Rohit Singh"/>
    <s v="Male"/>
    <s v="11/11/1993"/>
    <s v="Pune"/>
    <x v="2"/>
    <x v="0"/>
    <s v="Microwave"/>
    <n v="8"/>
    <n v="8500"/>
    <n v="20"/>
    <n v="54400"/>
    <n v="3"/>
    <s v="Card"/>
    <s v="Rahul"/>
    <s v="rohit.singh@company.com"/>
    <s v="9208625306"/>
    <s v="Completed"/>
  </r>
  <r>
    <s v="ORD10122"/>
    <s v="C007"/>
    <s v="P303"/>
    <x v="8"/>
    <s v="10/02/2026"/>
    <s v="Arjun Rao"/>
    <s v="Male"/>
    <s v="01/02/2000"/>
    <s v="Bengaluru"/>
    <x v="0"/>
    <x v="2"/>
    <s v="Marker"/>
    <n v="3"/>
    <n v="45"/>
    <n v="0"/>
    <n v="135"/>
    <n v="4"/>
    <s v="UPI"/>
    <s v="Aisha"/>
    <s v="arjun.rao@company.com"/>
    <s v="9970178536"/>
    <s v="Cancelled"/>
  </r>
  <r>
    <s v="ORD10123"/>
    <s v="C001"/>
    <s v="P102"/>
    <x v="110"/>
    <s v="04/01/2026"/>
    <s v="Amit Sharma"/>
    <s v="Male"/>
    <s v="22/06/1986"/>
    <s v="Jaipur"/>
    <x v="1"/>
    <x v="1"/>
    <s v="Mouse"/>
    <n v="13"/>
    <n v="700"/>
    <n v="5"/>
    <n v="8645"/>
    <n v="3"/>
    <s v="Card"/>
    <s v="Neha"/>
    <s v="amit.sharma@company.com"/>
    <s v="9633745195"/>
    <s v="Pending"/>
  </r>
  <r>
    <s v="ORD10124"/>
    <s v="C004"/>
    <s v="P103"/>
    <x v="111"/>
    <s v="26/10/2025"/>
    <s v="Anita Gupta"/>
    <s v="Female"/>
    <s v="16/02/1986"/>
    <s v="Mumbai"/>
    <x v="2"/>
    <x v="1"/>
    <s v="Keyboard"/>
    <n v="14"/>
    <n v="1200"/>
    <n v="20"/>
    <n v="13440"/>
    <n v="5"/>
    <s v="NetBanking"/>
    <s v="Aisha"/>
    <s v="anita.gupta@company.com"/>
    <s v="9922102053"/>
    <s v="Completed"/>
  </r>
  <r>
    <s v="ORD10125"/>
    <s v="C002"/>
    <s v="P303"/>
    <x v="112"/>
    <s v="21/05/2025"/>
    <s v="Priya Patel"/>
    <s v="Female"/>
    <s v="18/09/1991"/>
    <s v="Delhi"/>
    <x v="1"/>
    <x v="2"/>
    <s v="Marker"/>
    <n v="2"/>
    <n v="45"/>
    <n v="5"/>
    <n v="85.5"/>
    <n v="3"/>
    <s v="UPI"/>
    <s v="Ritika"/>
    <s v="priYa.patel@company.com"/>
    <s v="9135963930"/>
    <s v="Cancelled"/>
  </r>
  <r>
    <s v="ORD10126"/>
    <s v="C004"/>
    <s v="P103"/>
    <x v="113"/>
    <s v="06/01/2026"/>
    <s v="Anita Gupta"/>
    <s v="Female"/>
    <s v="04/01/1981"/>
    <s v="Bengaluru"/>
    <x v="0"/>
    <x v="1"/>
    <s v="Keyboard"/>
    <n v="2"/>
    <n v="1200"/>
    <n v="20"/>
    <n v="1920"/>
    <n v="3"/>
    <s v="Card"/>
    <s v="Neha"/>
    <s v="anita.gupta@company.com"/>
    <s v="9429405275"/>
    <s v="Completed"/>
  </r>
  <r>
    <s v="ORD10127"/>
    <s v="C003"/>
    <s v="P101"/>
    <x v="114"/>
    <s v="26/04/2026"/>
    <s v="Rohit Singh"/>
    <s v="Male"/>
    <s v="12/10/2004"/>
    <s v="Bengaluru"/>
    <x v="0"/>
    <x v="1"/>
    <s v="Laptop"/>
    <n v="10"/>
    <n v="55000"/>
    <n v="5"/>
    <n v="522500"/>
    <n v="5"/>
    <s v="UPI"/>
    <s v="Aisha"/>
    <s v="rohit.singh@company.com"/>
    <s v="9521757571"/>
    <s v="Pending"/>
  </r>
  <r>
    <s v="ORD10128"/>
    <s v="C006"/>
    <s v="P201"/>
    <x v="115"/>
    <s v="05/08/2025"/>
    <s v="Sneha Joshi"/>
    <s v="Female"/>
    <s v="25/03/1984"/>
    <s v="Jaipur"/>
    <x v="1"/>
    <x v="0"/>
    <s v="Mixer"/>
    <n v="15"/>
    <n v="3500"/>
    <n v="10"/>
    <n v="47250"/>
    <n v="3"/>
    <s v="NetBanking"/>
    <s v="Neha"/>
    <s v="sneha.joshi@company.com"/>
    <s v="9467375455"/>
    <s v="Completed"/>
  </r>
  <r>
    <s v="ORD10129"/>
    <s v="C002"/>
    <s v="P202"/>
    <x v="86"/>
    <s v="18/08/2025"/>
    <s v="Priya Patel"/>
    <s v="Female"/>
    <s v="09/09/1982"/>
    <s v="Bengaluru"/>
    <x v="0"/>
    <x v="0"/>
    <s v="Iron"/>
    <n v="10"/>
    <n v="2200"/>
    <n v="15"/>
    <n v="18700"/>
    <n v="4"/>
    <s v="Card"/>
    <s v="Rahul"/>
    <s v="priYa.patel@company.com"/>
    <s v="9838809695"/>
    <s v="Pending"/>
  </r>
  <r>
    <s v="ORD10130"/>
    <s v="C006"/>
    <s v="P201"/>
    <x v="30"/>
    <s v="24/06/2025"/>
    <s v="Sneha Joshi"/>
    <s v="Female"/>
    <s v="15/02/1993"/>
    <s v="Pune"/>
    <x v="2"/>
    <x v="0"/>
    <s v="Mixer"/>
    <n v="11"/>
    <n v="3500"/>
    <n v="5"/>
    <n v="36575"/>
    <n v="5"/>
    <s v="Cash"/>
    <s v="Ritika"/>
    <s v="sneha.joshi@company.com"/>
    <s v="9296609782"/>
    <s v="Cancelled"/>
  </r>
  <r>
    <s v="ORD10131"/>
    <s v="C004"/>
    <s v="P103"/>
    <x v="116"/>
    <s v="30/04/2026"/>
    <s v="Anita Gupta"/>
    <s v="Female"/>
    <s v="08/04/2003"/>
    <s v="Bengaluru"/>
    <x v="0"/>
    <x v="1"/>
    <s v="Keyboard"/>
    <n v="14"/>
    <n v="1200"/>
    <n v="0"/>
    <n v="16800"/>
    <n v="5"/>
    <s v="Cash"/>
    <s v="Rahul"/>
    <s v="anita.gupta@company.com"/>
    <s v="9848259992"/>
    <s v="Cancelled"/>
  </r>
  <r>
    <s v="ORD10132"/>
    <s v="C002"/>
    <s v="P302"/>
    <x v="117"/>
    <s v="22/02/2026"/>
    <s v="Priya Patel"/>
    <s v="Female"/>
    <s v="20/10/1989"/>
    <s v="Delhi"/>
    <x v="1"/>
    <x v="2"/>
    <s v="Pen"/>
    <n v="11"/>
    <n v="20"/>
    <n v="20"/>
    <n v="176"/>
    <n v="4"/>
    <s v="NetBanking"/>
    <s v="Ritika"/>
    <s v="priYa.patel@company.com"/>
    <s v="9254082295"/>
    <s v="Completed"/>
  </r>
  <r>
    <s v="ORD10133"/>
    <s v="C009"/>
    <s v="P104"/>
    <x v="118"/>
    <s v="10/04/2026"/>
    <s v="Mohit Verma"/>
    <s v="Male"/>
    <s v="15/09/1995"/>
    <s v="Pune"/>
    <x v="2"/>
    <x v="1"/>
    <s v="Monitor"/>
    <n v="6"/>
    <n v="12000"/>
    <n v="10"/>
    <n v="64800"/>
    <n v="5"/>
    <s v="UPI"/>
    <s v="Karan"/>
    <s v="mohit.verma@company.com"/>
    <s v="9687923860"/>
    <s v="Completed"/>
  </r>
  <r>
    <s v="ORD10134"/>
    <s v="C009"/>
    <s v="P202"/>
    <x v="103"/>
    <s v="18/04/2025"/>
    <s v="Mohit Verma"/>
    <s v="Male"/>
    <s v="07/04/1994"/>
    <s v="Hyderabad"/>
    <x v="0"/>
    <x v="0"/>
    <s v="Iron"/>
    <n v="6"/>
    <n v="2200"/>
    <n v="5"/>
    <n v="12540"/>
    <n v="4"/>
    <s v="Cash"/>
    <s v="Rahul"/>
    <s v="mohit.verma@company.com"/>
    <s v="9426459149"/>
    <s v="Completed"/>
  </r>
  <r>
    <s v="ORD10135"/>
    <s v="C010"/>
    <s v="P201"/>
    <x v="55"/>
    <s v="27/06/2025"/>
    <s v="Pooja Shah"/>
    <s v="Female"/>
    <s v="02/10/2003"/>
    <s v="Delhi"/>
    <x v="1"/>
    <x v="0"/>
    <s v="Mixer"/>
    <n v="3"/>
    <n v="3500"/>
    <n v="5"/>
    <n v="9975"/>
    <n v="4"/>
    <s v="NetBanking"/>
    <s v="Rahul"/>
    <s v="pooja.shah@company.com"/>
    <s v="9155925975"/>
    <s v="Pending"/>
  </r>
  <r>
    <s v="ORD10136"/>
    <s v="C009"/>
    <s v="P203"/>
    <x v="119"/>
    <s v="10/06/2025"/>
    <s v="Mohit Verma"/>
    <s v="Male"/>
    <s v="14/07/1997"/>
    <s v="Hyderabad"/>
    <x v="0"/>
    <x v="0"/>
    <s v="Microwave"/>
    <n v="5"/>
    <n v="8500"/>
    <n v="20"/>
    <n v="34000"/>
    <n v="5"/>
    <s v="Cash"/>
    <s v="Aisha"/>
    <s v="mohit.verma@company.com"/>
    <s v="9945247701"/>
    <s v="Pending"/>
  </r>
  <r>
    <s v="ORD10137"/>
    <s v="C008"/>
    <s v="P201"/>
    <x v="120"/>
    <s v="01/08/2025"/>
    <s v="Kavya Nair"/>
    <s v="Female"/>
    <s v="09/08/1979"/>
    <s v="Bengaluru"/>
    <x v="0"/>
    <x v="0"/>
    <s v="Mixer"/>
    <n v="14"/>
    <n v="3500"/>
    <n v="10"/>
    <n v="44100"/>
    <n v="4"/>
    <s v="UPI"/>
    <s v="Ritika"/>
    <s v="KAvya.nair@company.com"/>
    <s v="9597378398"/>
    <s v="Cancelled"/>
  </r>
  <r>
    <s v="ORD10138"/>
    <s v="C001"/>
    <s v="P303"/>
    <x v="121"/>
    <s v="21/01/2025"/>
    <s v="Amit Sharma"/>
    <s v="Male"/>
    <s v="20/10/2002"/>
    <s v="Ahmedabad"/>
    <x v="2"/>
    <x v="2"/>
    <s v="Marker"/>
    <n v="8"/>
    <n v="45"/>
    <n v="0"/>
    <n v="360"/>
    <n v="1"/>
    <s v="Card"/>
    <s v="Karan"/>
    <s v="amit.sharma@company.com"/>
    <s v="9343963736"/>
    <s v="Cancelled"/>
  </r>
  <r>
    <s v="ORD10139"/>
    <s v="C005"/>
    <s v="P303"/>
    <x v="122"/>
    <s v="05/02/2025"/>
    <s v="Vikas Mehta"/>
    <s v="Male"/>
    <s v="24/07/1985"/>
    <s v="Delhi"/>
    <x v="1"/>
    <x v="2"/>
    <s v="Marker"/>
    <n v="11"/>
    <n v="45"/>
    <n v="5"/>
    <n v="470.25"/>
    <n v="3"/>
    <s v="Card"/>
    <s v="Rahul"/>
    <s v="vikas.mehta@company.com"/>
    <s v="9548742147"/>
    <s v="Completed"/>
  </r>
  <r>
    <s v="ORD10140"/>
    <s v="C007"/>
    <s v="P101"/>
    <x v="123"/>
    <s v="30/01/2025"/>
    <s v="Arjun Rao"/>
    <s v="Male"/>
    <s v="23/08/1988"/>
    <s v="Ahmedabad"/>
    <x v="2"/>
    <x v="1"/>
    <s v="Laptop"/>
    <n v="19"/>
    <n v="55000"/>
    <n v="0"/>
    <n v="1045000"/>
    <n v="2"/>
    <s v="Card"/>
    <s v="Ritika"/>
    <s v="arjun.rao@company.com"/>
    <s v="9912945471"/>
    <s v="Cancelled"/>
  </r>
  <r>
    <s v="ORD10141"/>
    <s v="C010"/>
    <s v="P201"/>
    <x v="124"/>
    <s v="18/04/2025"/>
    <s v="Pooja Shah"/>
    <s v="Female"/>
    <s v="09/01/1979"/>
    <s v="Pune"/>
    <x v="2"/>
    <x v="0"/>
    <s v="Mixer"/>
    <n v="20"/>
    <n v="3500"/>
    <n v="20"/>
    <n v="56000"/>
    <n v="4"/>
    <s v="NetBanking"/>
    <s v="Rahul"/>
    <s v="pooja.shah@company.com"/>
    <s v="9912630684"/>
    <s v="Completed"/>
  </r>
  <r>
    <s v="ORD10142"/>
    <s v="C007"/>
    <s v="P202"/>
    <x v="125"/>
    <s v="14/07/2025"/>
    <s v="Arjun Rao"/>
    <s v="Male"/>
    <s v="25/08/1986"/>
    <s v="Pune"/>
    <x v="2"/>
    <x v="0"/>
    <s v="Iron"/>
    <n v="17"/>
    <n v="2200"/>
    <n v="0"/>
    <n v="37400"/>
    <n v="5"/>
    <s v="NetBanking"/>
    <s v="Ritika"/>
    <s v="arjun.rao@company.com"/>
    <s v="9114017237"/>
    <s v="Pending"/>
  </r>
  <r>
    <s v="ORD10143"/>
    <s v="C007"/>
    <s v="P103"/>
    <x v="123"/>
    <s v="29/01/2025"/>
    <s v="Arjun Rao"/>
    <s v="Male"/>
    <s v="01/04/1977"/>
    <s v="Pune"/>
    <x v="2"/>
    <x v="1"/>
    <s v="Keyboard"/>
    <n v="10"/>
    <n v="1200"/>
    <n v="5"/>
    <n v="11400"/>
    <n v="2"/>
    <s v="Cash"/>
    <s v="Rahul"/>
    <s v="arjun.rao@company.com"/>
    <s v="9872471236"/>
    <s v="Cancelled"/>
  </r>
  <r>
    <s v="ORD10144"/>
    <s v="C005"/>
    <s v="P301"/>
    <x v="126"/>
    <s v="18/12/2025"/>
    <s v="Vikas Mehta"/>
    <s v="Male"/>
    <s v="04/08/1983"/>
    <s v="Hyderabad"/>
    <x v="0"/>
    <x v="2"/>
    <s v="Notebook"/>
    <n v="3"/>
    <n v="60"/>
    <n v="0"/>
    <n v="180"/>
    <n v="4"/>
    <s v="NetBanking"/>
    <s v="Karan"/>
    <s v="vikas.mehta@company.com"/>
    <s v="9461383824"/>
    <s v="Completed"/>
  </r>
  <r>
    <s v="ORD10145"/>
    <s v="C010"/>
    <s v="P202"/>
    <x v="127"/>
    <s v="21/10/2025"/>
    <s v="Pooja Shah"/>
    <s v="Female"/>
    <s v="07/04/1978"/>
    <s v="Mumbai"/>
    <x v="2"/>
    <x v="0"/>
    <s v="Iron"/>
    <n v="18"/>
    <n v="2200"/>
    <n v="10"/>
    <n v="35640"/>
    <n v="1"/>
    <s v="Card"/>
    <s v="Karan"/>
    <s v="pooja.shah@company.com"/>
    <s v="9243407457"/>
    <s v="Cancelled"/>
  </r>
  <r>
    <s v="ORD10146"/>
    <s v="C009"/>
    <s v="P301"/>
    <x v="128"/>
    <s v="10/03/2026"/>
    <s v="Mohit Verma"/>
    <s v="Male"/>
    <s v="04/03/1983"/>
    <s v="Delhi"/>
    <x v="1"/>
    <x v="2"/>
    <s v="Notebook"/>
    <n v="18"/>
    <n v="60"/>
    <n v="5"/>
    <n v="1026"/>
    <n v="3"/>
    <s v="Card"/>
    <s v="Rahul"/>
    <s v="mohit.verma@company.com"/>
    <s v="9418672379"/>
    <s v="Pending"/>
  </r>
  <r>
    <s v="ORD10147"/>
    <s v="C003"/>
    <s v="P101"/>
    <x v="57"/>
    <s v="23/08/2025"/>
    <s v="Rohit Singh"/>
    <s v="Male"/>
    <s v="27/10/1987"/>
    <s v="Pune"/>
    <x v="2"/>
    <x v="1"/>
    <s v="Laptop"/>
    <n v="11"/>
    <n v="55000"/>
    <n v="15"/>
    <n v="514250"/>
    <n v="4"/>
    <s v="UPI"/>
    <s v="Neha"/>
    <s v="rohit.singh@company.com"/>
    <s v="9222733065"/>
    <s v="Cancelled"/>
  </r>
  <r>
    <s v="ORD10148"/>
    <s v="C006"/>
    <s v="P203"/>
    <x v="129"/>
    <s v="03/01/2026"/>
    <s v="Sneha Joshi"/>
    <s v="Female"/>
    <s v="19/04/2003"/>
    <s v="Kolkata"/>
    <x v="3"/>
    <x v="0"/>
    <s v="Microwave"/>
    <n v="5"/>
    <n v="8500"/>
    <n v="5"/>
    <n v="40375"/>
    <n v="4"/>
    <s v="Cash"/>
    <s v="Karan"/>
    <s v="sneha.joshi@company.com"/>
    <s v="9684246902"/>
    <s v="Completed"/>
  </r>
  <r>
    <s v="ORD10020"/>
    <s v="C002"/>
    <s v="P102"/>
    <x v="28"/>
    <s v="19/09/2025"/>
    <s v="Priya Patel"/>
    <s v="Female"/>
    <s v="14/02/2002"/>
    <s v="Jaipur"/>
    <x v="1"/>
    <x v="1"/>
    <s v="Mouse"/>
    <n v="16"/>
    <n v="700"/>
    <n v="15"/>
    <n v="9520"/>
    <n v="4"/>
    <s v="Card"/>
    <s v="Aisha"/>
    <s v="priYa.patel@company.com"/>
    <s v="9989580228"/>
    <s v="Completed"/>
  </r>
  <r>
    <s v="ORD10150"/>
    <s v="C003"/>
    <s v="P102"/>
    <x v="130"/>
    <s v="13/07/2025"/>
    <s v="Rohit Singh"/>
    <s v="Male"/>
    <s v="05/07/1975"/>
    <s v="Pune"/>
    <x v="2"/>
    <x v="1"/>
    <s v="Mouse"/>
    <n v="6"/>
    <n v="700"/>
    <n v="10"/>
    <n v="3780"/>
    <n v="4"/>
    <s v="Cash"/>
    <s v="Rahul"/>
    <s v="rohit.singh@company.com"/>
    <s v="9110269572"/>
    <s v="Cancelled"/>
  </r>
  <r>
    <s v="ORD10151"/>
    <s v="C010"/>
    <s v="P201"/>
    <x v="131"/>
    <s v="15/05/2026"/>
    <s v="Pooja Shah"/>
    <s v="Female"/>
    <s v="05/03/1992"/>
    <s v="Delhi"/>
    <x v="1"/>
    <x v="0"/>
    <s v="Mixer"/>
    <n v="20"/>
    <n v="3500"/>
    <n v="10"/>
    <n v="63000"/>
    <n v="4"/>
    <s v="UPI"/>
    <s v="Rahul"/>
    <s v="pooja.shah@company.com"/>
    <s v="9745972422"/>
    <s v="Pending"/>
  </r>
  <r>
    <s v="ORD10152"/>
    <s v="C008"/>
    <s v="P302"/>
    <x v="132"/>
    <s v="07/12/2025"/>
    <s v="Kavya Nair"/>
    <s v="Female"/>
    <s v="03/06/1998"/>
    <s v="Bengaluru"/>
    <x v="0"/>
    <x v="2"/>
    <s v="Pen"/>
    <n v="2"/>
    <n v="20"/>
    <n v="10"/>
    <n v="36"/>
    <n v="1"/>
    <s v="NetBanking"/>
    <s v="Neha"/>
    <s v="KAvya.nair@company.com"/>
    <s v="9123712257"/>
    <s v="Pending"/>
  </r>
  <r>
    <s v="ORD10153"/>
    <s v="C002"/>
    <s v="P202"/>
    <x v="133"/>
    <s v="19/07/2025"/>
    <s v="Priya Patel"/>
    <s v="Female"/>
    <s v="28/09/1996"/>
    <s v="Pune"/>
    <x v="2"/>
    <x v="0"/>
    <s v="Iron"/>
    <n v="16"/>
    <n v="2200"/>
    <n v="20"/>
    <n v="28160"/>
    <n v="2"/>
    <s v="UPI"/>
    <s v="Karan"/>
    <s v="priYa.patel@company.com"/>
    <s v="9665525431"/>
    <s v="Pending"/>
  </r>
  <r>
    <s v="ORD10154"/>
    <s v="C005"/>
    <s v="P104"/>
    <x v="134"/>
    <s v="23/03/2025"/>
    <s v="Vikas Mehta"/>
    <s v="Male"/>
    <s v="15/12/1995"/>
    <s v="Pune"/>
    <x v="2"/>
    <x v="1"/>
    <s v="Monitor"/>
    <n v="15"/>
    <n v="12000"/>
    <n v="0"/>
    <n v="180000"/>
    <n v="1"/>
    <s v="Card"/>
    <s v="Aisha"/>
    <s v="vikas.mehta@company.com"/>
    <s v="9682415134"/>
    <s v="Pending"/>
  </r>
  <r>
    <s v="ORD10155"/>
    <s v="C008"/>
    <s v="P301"/>
    <x v="135"/>
    <s v="23/07/2025"/>
    <s v="Kavya Nair"/>
    <s v="Female"/>
    <s v="24/07/1976"/>
    <s v="Delhi"/>
    <x v="1"/>
    <x v="2"/>
    <s v="Notebook"/>
    <n v="14"/>
    <n v="60"/>
    <n v="15"/>
    <n v="714"/>
    <n v="4"/>
    <s v="UPI"/>
    <s v="Rahul"/>
    <s v="KAvya.nair@company.com"/>
    <s v="9808223872"/>
    <s v="Completed"/>
  </r>
  <r>
    <s v="ORD10156"/>
    <s v="C010"/>
    <s v="P103"/>
    <x v="136"/>
    <s v="24/07/2025"/>
    <s v="Pooja Shah"/>
    <s v="Female"/>
    <s v="22/06/1984"/>
    <s v="Hyderabad"/>
    <x v="0"/>
    <x v="1"/>
    <s v="Keyboard"/>
    <n v="9"/>
    <n v="1200"/>
    <n v="5"/>
    <n v="10260"/>
    <n v="5"/>
    <s v="NetBanking"/>
    <s v="Aisha"/>
    <s v="pooja.shah@company.com"/>
    <s v="9193549730"/>
    <s v="Pending"/>
  </r>
  <r>
    <s v="ORD10157"/>
    <s v="C005"/>
    <s v="P103"/>
    <x v="137"/>
    <s v="29/07/2025"/>
    <s v="Vikas Mehta"/>
    <s v="Male"/>
    <s v="06/08/1998"/>
    <s v="Kolkata"/>
    <x v="3"/>
    <x v="1"/>
    <s v="Keyboard"/>
    <n v="3"/>
    <n v="1200"/>
    <n v="10"/>
    <n v="3240"/>
    <n v="2"/>
    <s v="Card"/>
    <s v="Karan"/>
    <s v="vikas.mehta@company.com"/>
    <s v="9520617130"/>
    <s v="Cancelled"/>
  </r>
  <r>
    <s v="ORD10158"/>
    <s v="C001"/>
    <s v="P301"/>
    <x v="81"/>
    <s v="12/04/2025"/>
    <s v="Amit Sharma"/>
    <s v="Male"/>
    <s v="18/06/2001"/>
    <s v="Hyderabad"/>
    <x v="0"/>
    <x v="2"/>
    <s v="Notebook"/>
    <n v="2"/>
    <n v="60"/>
    <n v="10"/>
    <n v="108"/>
    <n v="2"/>
    <s v="UPI"/>
    <s v="Aisha"/>
    <s v="amit.sharma@company.com"/>
    <s v="9264578122"/>
    <s v="Completed"/>
  </r>
  <r>
    <s v="ORD10159"/>
    <s v="C009"/>
    <s v="P201"/>
    <x v="58"/>
    <s v="23/05/2026"/>
    <s v="Mohit Verma"/>
    <s v="Male"/>
    <s v="11/09/1999"/>
    <s v="Delhi"/>
    <x v="1"/>
    <x v="0"/>
    <s v="Mixer"/>
    <n v="9"/>
    <n v="3500"/>
    <n v="20"/>
    <n v="25200"/>
    <n v="1"/>
    <s v="NetBanking"/>
    <s v="Ritika"/>
    <s v="mohit.verma@company.com"/>
    <s v="9275071213"/>
    <s v="Completed"/>
  </r>
  <r>
    <s v="ORD10160"/>
    <s v="C005"/>
    <s v="P101"/>
    <x v="27"/>
    <s v="16/03/2026"/>
    <s v="Vikas Mehta"/>
    <s v="Male"/>
    <s v="07/12/1995"/>
    <s v="Jaipur"/>
    <x v="1"/>
    <x v="1"/>
    <s v="Laptop"/>
    <n v="4"/>
    <n v="55000"/>
    <n v="5"/>
    <n v="209000"/>
    <n v="2"/>
    <s v="Cash"/>
    <s v="Karan"/>
    <s v="vikas.mehta@company.com"/>
    <s v="9715222543"/>
    <s v="Pending"/>
  </r>
  <r>
    <s v="ORD10161"/>
    <s v="C001"/>
    <s v="P102"/>
    <x v="71"/>
    <s v="01/07/2025"/>
    <s v="Amit Sharma"/>
    <s v="Male"/>
    <s v="22/07/1999"/>
    <s v="Delhi"/>
    <x v="1"/>
    <x v="1"/>
    <s v="Mouse"/>
    <n v="11"/>
    <n v="700"/>
    <n v="20"/>
    <n v="6160"/>
    <n v="4"/>
    <s v="Cash"/>
    <s v="Karan"/>
    <s v="amit.sharma@company.com"/>
    <s v="9942010833"/>
    <s v="Cancelled"/>
  </r>
  <r>
    <s v="ORD10162"/>
    <s v="C004"/>
    <s v="P103"/>
    <x v="34"/>
    <s v="29/11/2025"/>
    <s v="Anita Gupta"/>
    <s v="Female"/>
    <s v="14/11/2000"/>
    <s v="Kolkata"/>
    <x v="3"/>
    <x v="1"/>
    <s v="Keyboard"/>
    <n v="16"/>
    <n v="1200"/>
    <n v="5"/>
    <n v="18240"/>
    <n v="1"/>
    <s v="Card"/>
    <s v="Ritika"/>
    <s v="anita.gupta@company.com"/>
    <s v="9347718932"/>
    <s v="Pending"/>
  </r>
  <r>
    <s v="ORD10163"/>
    <s v="C004"/>
    <s v="P103"/>
    <x v="83"/>
    <s v="17/09/2025"/>
    <s v="Anita Gupta"/>
    <s v="Female"/>
    <s v="24/07/2002"/>
    <s v="Pune"/>
    <x v="2"/>
    <x v="1"/>
    <s v="Keyboard"/>
    <n v="1"/>
    <n v="1200"/>
    <n v="5"/>
    <n v="1140"/>
    <n v="4"/>
    <s v="Card"/>
    <s v="Ritika"/>
    <s v="anita.gupta@company.com"/>
    <s v="9274808844"/>
    <s v="Completed"/>
  </r>
  <r>
    <s v="ORD10164"/>
    <s v="C001"/>
    <s v="P301"/>
    <x v="138"/>
    <s v="13/11/2025"/>
    <s v="Amit Sharma"/>
    <s v="Male"/>
    <s v="25/02/2002"/>
    <s v="Jaipur"/>
    <x v="1"/>
    <x v="2"/>
    <s v="Notebook"/>
    <n v="7"/>
    <n v="60"/>
    <n v="0"/>
    <n v="420"/>
    <n v="2"/>
    <s v="UPI"/>
    <s v="Karan"/>
    <s v="amit.sharma@company.com"/>
    <s v="9798996063"/>
    <s v="Completed"/>
  </r>
  <r>
    <s v="ORD10165"/>
    <s v="C004"/>
    <s v="P202"/>
    <x v="21"/>
    <s v="07/01/2025"/>
    <s v="Anita Gupta"/>
    <s v="Female"/>
    <s v="16/07/1980"/>
    <s v="Pune"/>
    <x v="2"/>
    <x v="0"/>
    <s v="Iron"/>
    <n v="14"/>
    <n v="2200"/>
    <n v="0"/>
    <n v="30800"/>
    <n v="2"/>
    <s v="UPI"/>
    <s v="Ritika"/>
    <s v="anita.gupta@company.com"/>
    <s v="9145200936"/>
    <s v="Cancelled"/>
  </r>
  <r>
    <s v="ORD10166"/>
    <s v="C004"/>
    <s v="P201"/>
    <x v="139"/>
    <s v="27/06/2025"/>
    <s v="Anita Gupta"/>
    <s v="Female"/>
    <s v="25/05/1996"/>
    <s v="Ahmedabad"/>
    <x v="2"/>
    <x v="0"/>
    <s v="Mixer"/>
    <n v="15"/>
    <n v="3500"/>
    <n v="15"/>
    <n v="44625"/>
    <n v="2"/>
    <s v="UPI"/>
    <s v="Aisha"/>
    <s v="anita.gupta@company.com"/>
    <s v="9697654418"/>
    <s v="Pending"/>
  </r>
  <r>
    <s v="ORD10167"/>
    <s v="C003"/>
    <s v="P201"/>
    <x v="140"/>
    <s v="06/04/2025"/>
    <s v="Rohit Singh"/>
    <s v="Male"/>
    <s v="11/05/1986"/>
    <s v="Kolkata"/>
    <x v="3"/>
    <x v="0"/>
    <s v="Mixer"/>
    <n v="19"/>
    <n v="3500"/>
    <n v="5"/>
    <n v="63175"/>
    <n v="2"/>
    <s v="Cash"/>
    <s v="Neha"/>
    <s v="rohit.singh@company.com"/>
    <s v="9457923119"/>
    <s v="Cancelled"/>
  </r>
  <r>
    <s v="ORD10168"/>
    <s v="C001"/>
    <s v="P101"/>
    <x v="141"/>
    <s v="10/07/2025"/>
    <s v="Amit Sharma"/>
    <s v="Male"/>
    <s v="25/05/1989"/>
    <s v="Bengaluru"/>
    <x v="0"/>
    <x v="1"/>
    <s v="Laptop"/>
    <n v="12"/>
    <n v="55000"/>
    <n v="5"/>
    <n v="627000"/>
    <n v="4"/>
    <s v="Card"/>
    <s v="Aisha"/>
    <s v="amit.sharma@company.com"/>
    <s v="9236111271"/>
    <s v="Cancelled"/>
  </r>
  <r>
    <s v="ORD10169"/>
    <s v="C010"/>
    <s v="P103"/>
    <x v="91"/>
    <s v="26/01/2026"/>
    <s v="Pooja Shah"/>
    <s v="Female"/>
    <s v="25/08/1989"/>
    <s v="Mumbai"/>
    <x v="2"/>
    <x v="1"/>
    <s v="Keyboard"/>
    <n v="6"/>
    <n v="1200"/>
    <n v="10"/>
    <n v="6480"/>
    <n v="5"/>
    <s v="NetBanking"/>
    <s v="Neha"/>
    <s v="pooja.shah@company.com"/>
    <s v="9402569141"/>
    <s v="Cancelled"/>
  </r>
  <r>
    <s v="ORD10170"/>
    <s v="C006"/>
    <s v="P203"/>
    <x v="10"/>
    <s v="20/09/2025"/>
    <s v="Sneha Joshi"/>
    <s v="Female"/>
    <s v="20/05/1997"/>
    <s v="Hyderabad"/>
    <x v="0"/>
    <x v="0"/>
    <s v="Microwave"/>
    <n v="1"/>
    <n v="8500"/>
    <n v="0"/>
    <n v="8500"/>
    <n v="1"/>
    <s v="UPI"/>
    <s v="Karan"/>
    <s v="sneha.joshi@company.com"/>
    <s v="9138184056"/>
    <s v="Cancelled"/>
  </r>
  <r>
    <s v="ORD10171"/>
    <s v="C003"/>
    <s v="P101"/>
    <x v="142"/>
    <s v="07/04/2026"/>
    <s v="Rohit Singh"/>
    <s v="Male"/>
    <s v="03/05/1987"/>
    <s v="Ahmedabad"/>
    <x v="2"/>
    <x v="1"/>
    <s v="Laptop"/>
    <n v="20"/>
    <n v="55000"/>
    <n v="10"/>
    <n v="990000"/>
    <n v="5"/>
    <s v="NetBanking"/>
    <s v="Karan"/>
    <s v="rohit.singh@company.com"/>
    <s v="9609598700"/>
    <s v="Completed"/>
  </r>
  <r>
    <s v="ORD10172"/>
    <s v="C005"/>
    <s v="P103"/>
    <x v="143"/>
    <s v="29/10/2025"/>
    <s v="Vikas Mehta"/>
    <s v="Male"/>
    <s v="02/12/2002"/>
    <s v="Ahmedabad"/>
    <x v="2"/>
    <x v="1"/>
    <s v="Keyboard"/>
    <n v="8"/>
    <n v="1200"/>
    <n v="15"/>
    <n v="8160"/>
    <n v="2"/>
    <s v="UPI"/>
    <s v="Neha"/>
    <s v="vikas.mehta@company.com"/>
    <s v="9385894399"/>
    <s v="Cancelled"/>
  </r>
  <r>
    <s v="ORD10173"/>
    <s v="C008"/>
    <s v="P201"/>
    <x v="144"/>
    <s v="17/02/2025"/>
    <s v="Kavya Nair"/>
    <s v="Female"/>
    <s v="25/05/1986"/>
    <s v="Jaipur"/>
    <x v="1"/>
    <x v="0"/>
    <s v="Mixer"/>
    <n v="19"/>
    <n v="3500"/>
    <n v="5"/>
    <n v="63175"/>
    <n v="4"/>
    <s v="UPI"/>
    <s v="Rahul"/>
    <s v="KAvya.nair@company.com"/>
    <s v="9329448011"/>
    <s v="Pending"/>
  </r>
  <r>
    <s v="ORD10174"/>
    <s v="C005"/>
    <s v="P303"/>
    <x v="1"/>
    <s v="29/04/2025"/>
    <s v="Vikas Mehta"/>
    <s v="Male"/>
    <s v="22/02/1986"/>
    <s v="Jaipur"/>
    <x v="1"/>
    <x v="2"/>
    <s v="Marker"/>
    <n v="6"/>
    <n v="45"/>
    <n v="20"/>
    <n v="216"/>
    <n v="1"/>
    <s v="Card"/>
    <s v="Rahul"/>
    <s v="vikas.mehtacompany.com"/>
    <s v="9889544104"/>
    <s v="Pending"/>
  </r>
  <r>
    <s v="ORD10175"/>
    <s v="C006"/>
    <s v="P303"/>
    <x v="145"/>
    <s v="25/03/2025"/>
    <s v="Sneha Joshi"/>
    <s v="Female"/>
    <s v="07/04/1988"/>
    <s v="Pune"/>
    <x v="2"/>
    <x v="2"/>
    <s v="Marker"/>
    <n v="17"/>
    <n v="45"/>
    <n v="15"/>
    <n v="650.25"/>
    <n v="5"/>
    <s v="Cash"/>
    <s v="Neha"/>
    <s v="sneha.joshi@company.com"/>
    <s v="9101861045"/>
    <s v="Pending"/>
  </r>
  <r>
    <s v="ORD10176"/>
    <s v="C008"/>
    <s v="P302"/>
    <x v="125"/>
    <s v="16/07/2025"/>
    <s v="Kavya Nair"/>
    <s v="Female"/>
    <s v="27/06/1993"/>
    <s v="Pune"/>
    <x v="2"/>
    <x v="2"/>
    <s v="Pen"/>
    <n v="19"/>
    <n v="20"/>
    <n v="5"/>
    <n v="361"/>
    <n v="4"/>
    <s v="Cash"/>
    <s v="Ritika"/>
    <s v="KAvya.nair@company.com"/>
    <s v="9364712105"/>
    <s v="Pending"/>
  </r>
  <r>
    <s v="ORD10177"/>
    <s v="C006"/>
    <s v="P302"/>
    <x v="146"/>
    <s v="03/12/2025"/>
    <s v="Sneha Joshi"/>
    <s v="Female"/>
    <s v="18/06/2004"/>
    <s v="Ahmedabad"/>
    <x v="2"/>
    <x v="2"/>
    <s v="Pen"/>
    <n v="11"/>
    <n v="20"/>
    <n v="0"/>
    <n v="220"/>
    <n v="3"/>
    <s v="NetBanking"/>
    <s v="Rahul"/>
    <s v="sneha.joshi@company.com"/>
    <s v="9950206376"/>
    <s v="Completed"/>
  </r>
  <r>
    <s v="ORD10178"/>
    <s v="C004"/>
    <s v="P301"/>
    <x v="147"/>
    <s v="21/02/2026"/>
    <s v="Anita Gupta"/>
    <s v="Female"/>
    <s v="09/09/1993"/>
    <s v="Delhi"/>
    <x v="1"/>
    <x v="2"/>
    <s v="Notebook"/>
    <n v="12"/>
    <n v="60"/>
    <n v="0"/>
    <n v="720"/>
    <n v="2"/>
    <s v="NetBanking"/>
    <s v="Rahul"/>
    <s v="anita.gupta@company.com"/>
    <s v="9235822094"/>
    <s v="Completed"/>
  </r>
  <r>
    <s v="ORD10179"/>
    <s v="C005"/>
    <s v="P303"/>
    <x v="148"/>
    <s v="13/11/2025"/>
    <s v="Priya Patel"/>
    <s v="Male"/>
    <s v="13/09/2001"/>
    <s v="Kolkata"/>
    <x v="3"/>
    <x v="2"/>
    <s v="Marker"/>
    <n v="14"/>
    <n v="45"/>
    <n v="15"/>
    <n v="535.5"/>
    <n v="5"/>
    <s v="UPI"/>
    <s v="Neha"/>
    <s v="vikas.mehta@company.com"/>
    <s v="9311021344"/>
    <s v="Pending"/>
  </r>
  <r>
    <s v="ORD10180"/>
    <s v="C008"/>
    <s v="P102"/>
    <x v="149"/>
    <s v="19/02/2025"/>
    <s v="Kavya Nair"/>
    <s v="Female"/>
    <s v="15/11/1981"/>
    <s v="Hyderabad"/>
    <x v="0"/>
    <x v="1"/>
    <s v="Mouse"/>
    <n v="15"/>
    <n v="700"/>
    <n v="10"/>
    <n v="9450"/>
    <n v="3"/>
    <s v="NetBanking"/>
    <s v="Rahul"/>
    <s v="KAvya.nair@company.com"/>
    <s v="9891358505"/>
    <s v="Pending"/>
  </r>
  <r>
    <s v="ORD10181"/>
    <s v="C002"/>
    <s v="P203"/>
    <x v="150"/>
    <s v="30/05/2025"/>
    <s v="Priya Patel"/>
    <s v="Female"/>
    <s v="12/09/1980"/>
    <s v="Ahmedabad"/>
    <x v="2"/>
    <x v="0"/>
    <s v="Microwave"/>
    <n v="19"/>
    <n v="8500"/>
    <n v="15"/>
    <n v="137275"/>
    <n v="2"/>
    <s v="Cash"/>
    <s v="Ritika"/>
    <s v="priYa.patel@company.com"/>
    <s v="9910085332"/>
    <s v="Cancelled"/>
  </r>
  <r>
    <s v="ORD10182"/>
    <s v="C006"/>
    <s v="P301"/>
    <x v="151"/>
    <s v="06/10/2025"/>
    <s v="Sneha Joshi"/>
    <s v="Female"/>
    <s v="07/04/1988"/>
    <s v="Jaipur"/>
    <x v="1"/>
    <x v="2"/>
    <s v="Notebook"/>
    <n v="19"/>
    <n v="60"/>
    <n v="20"/>
    <n v="912"/>
    <n v="4"/>
    <s v="Card"/>
    <s v="Rahul"/>
    <s v="sneha.joshi@company.com"/>
    <s v="9756908023"/>
    <s v="Pending"/>
  </r>
  <r>
    <s v="ORD10183"/>
    <s v="C002"/>
    <s v="P303"/>
    <x v="152"/>
    <s v="26/05/2025"/>
    <s v="Priya Patel"/>
    <s v="Female"/>
    <s v="19/02/1988"/>
    <s v="Bengaluru"/>
    <x v="0"/>
    <x v="2"/>
    <s v="Marker"/>
    <n v="10"/>
    <n v="45"/>
    <n v="15"/>
    <n v="382.5"/>
    <n v="4"/>
    <s v="Cash"/>
    <s v="Karan"/>
    <s v="priYa.patel@company.com"/>
    <s v="9645913247"/>
    <s v="Completed"/>
  </r>
  <r>
    <s v="ORD10184"/>
    <s v="C009"/>
    <s v="P202"/>
    <x v="153"/>
    <s v="23/06/2025"/>
    <s v="Mohit Verma"/>
    <s v="Male"/>
    <s v="03/12/1981"/>
    <s v="Delhi"/>
    <x v="1"/>
    <x v="0"/>
    <s v="Iron"/>
    <n v="7"/>
    <n v="2200"/>
    <n v="20"/>
    <n v="12320"/>
    <n v="5"/>
    <s v="UPI"/>
    <s v="Rahul"/>
    <s v="mohit.verma@company.com"/>
    <s v="9806914795"/>
    <s v="Pending"/>
  </r>
  <r>
    <s v="ORD10185"/>
    <s v="C002"/>
    <s v="P203"/>
    <x v="154"/>
    <s v="04/05/2025"/>
    <s v="Priya Patel"/>
    <s v="Female"/>
    <s v="11/02/1984"/>
    <s v="Kolkata"/>
    <x v="3"/>
    <x v="0"/>
    <s v="Microwave"/>
    <n v="20"/>
    <n v="8500"/>
    <n v="20"/>
    <n v="136000"/>
    <n v="4"/>
    <s v="NetBanking"/>
    <s v="Ritika"/>
    <s v="priYa.patel@company.com"/>
    <s v="9276222829"/>
    <s v="Completed"/>
  </r>
  <r>
    <s v="ORD10186"/>
    <s v="C006"/>
    <s v="P202"/>
    <x v="123"/>
    <s v="24/01/2025"/>
    <s v="Sneha Joshi"/>
    <s v="Female"/>
    <s v="07/12/1991"/>
    <s v="Hyderabad"/>
    <x v="0"/>
    <x v="0"/>
    <s v="Iron"/>
    <n v="10"/>
    <n v="2200"/>
    <n v="5"/>
    <n v="20900"/>
    <n v="2"/>
    <s v="NetBanking"/>
    <s v="Rahul"/>
    <s v="sneha.joshi@company.com"/>
    <s v="9533835528"/>
    <s v="Completed"/>
  </r>
  <r>
    <s v="ORD10187"/>
    <s v="C003"/>
    <s v="P301"/>
    <x v="155"/>
    <s v="26/12/2025"/>
    <s v="Rohit Singh"/>
    <s v="Male"/>
    <s v="21/02/1976"/>
    <s v="Pune"/>
    <x v="2"/>
    <x v="2"/>
    <s v="Notebook"/>
    <n v="15"/>
    <n v="60"/>
    <n v="20"/>
    <n v="720"/>
    <n v="1"/>
    <s v="Card"/>
    <s v="Ritika"/>
    <s v="rohit.singh@company.com"/>
    <s v="9654885820"/>
    <s v="Completed"/>
  </r>
  <r>
    <s v="ORD10188"/>
    <s v="C005"/>
    <s v="P201"/>
    <x v="25"/>
    <s v="28/06/2025"/>
    <s v="Vikas Mehta"/>
    <s v="Male"/>
    <s v="28/08/1975"/>
    <s v="Hyderabad"/>
    <x v="0"/>
    <x v="0"/>
    <s v="Mixer"/>
    <n v="18"/>
    <n v="3500"/>
    <n v="5"/>
    <n v="59850"/>
    <n v="1"/>
    <s v="Card"/>
    <s v="Rahul"/>
    <s v="vikas.mehta@company.com"/>
    <s v="9456029544"/>
    <s v="Cancelled"/>
  </r>
  <r>
    <s v="ORD10189"/>
    <s v="C001"/>
    <s v="P104"/>
    <x v="156"/>
    <s v="22/05/2026"/>
    <s v="Amit Sharma"/>
    <s v="Male"/>
    <s v="05/12/1987"/>
    <s v="Pune"/>
    <x v="2"/>
    <x v="1"/>
    <s v="Monitor"/>
    <n v="6"/>
    <n v="12000"/>
    <n v="5"/>
    <n v="68400"/>
    <n v="1"/>
    <s v="NetBanking"/>
    <s v="Rahul"/>
    <s v="amit.sharma@company.com"/>
    <s v="9914571493"/>
    <s v="Cancelled"/>
  </r>
  <r>
    <s v="ORD10190"/>
    <s v="C001"/>
    <s v="P302"/>
    <x v="147"/>
    <s v="16/02/2026"/>
    <s v="Amit Sharma"/>
    <s v="Male"/>
    <s v="26/08/2004"/>
    <s v="Bengaluru"/>
    <x v="0"/>
    <x v="2"/>
    <s v="Pen"/>
    <n v="19"/>
    <n v="20"/>
    <n v="10"/>
    <n v="342"/>
    <n v="2"/>
    <s v="NetBanking"/>
    <s v="Ritika"/>
    <s v="amit.sharma@company.com"/>
    <s v="9270726986"/>
    <s v="Pending"/>
  </r>
  <r>
    <s v="ORD10191"/>
    <s v="C005"/>
    <s v="P202"/>
    <x v="58"/>
    <s v="20/05/2026"/>
    <s v="Vikas Mehta"/>
    <s v="Male"/>
    <s v="16/01/1994"/>
    <s v="Pune"/>
    <x v="2"/>
    <x v="0"/>
    <s v="Iron"/>
    <n v="7"/>
    <n v="2200"/>
    <n v="0"/>
    <n v="15400"/>
    <n v="1"/>
    <s v="Card"/>
    <s v="Neha"/>
    <s v="vikas.mehta@company.com"/>
    <s v="9570080664"/>
    <s v="Cancelled"/>
  </r>
  <r>
    <s v="ORD10192"/>
    <s v="C001"/>
    <s v="P104"/>
    <x v="157"/>
    <s v="20/11/2025"/>
    <s v="Amit Sharma"/>
    <s v="Male"/>
    <s v="28/10/2003"/>
    <s v="Jaipur"/>
    <x v="1"/>
    <x v="1"/>
    <s v="Monitor"/>
    <n v="3"/>
    <n v="12000"/>
    <n v="5"/>
    <n v="34200"/>
    <n v="3"/>
    <s v="Card"/>
    <s v="Aisha"/>
    <s v="amit.sharma@company.com"/>
    <s v="9109009524"/>
    <s v="Cancelled"/>
  </r>
  <r>
    <s v="ORD10193"/>
    <s v="C004"/>
    <s v="P202"/>
    <x v="105"/>
    <s v="04/11/2025"/>
    <s v="Anita Gupta"/>
    <s v="Female"/>
    <s v="16/05/2000"/>
    <s v="Jaipur"/>
    <x v="1"/>
    <x v="0"/>
    <s v="Iron"/>
    <n v="16"/>
    <n v="2200"/>
    <n v="0"/>
    <n v="35200"/>
    <n v="5"/>
    <s v="Card"/>
    <s v="Ritika"/>
    <s v="anita.gupta@company.com"/>
    <s v="9701276770"/>
    <s v="Pending"/>
  </r>
  <r>
    <s v="ORD10194"/>
    <s v="C006"/>
    <s v="P202"/>
    <x v="158"/>
    <s v="18/02/2025"/>
    <s v="Sneha Joshi"/>
    <s v="Female"/>
    <s v="04/07/1989"/>
    <s v="Delhi"/>
    <x v="1"/>
    <x v="0"/>
    <s v="Iron"/>
    <n v="8"/>
    <n v="2200"/>
    <n v="5"/>
    <n v="16720"/>
    <n v="2"/>
    <s v="UPI"/>
    <s v="Karan"/>
    <s v="sneha.joshi@company.com"/>
    <s v="9298278507"/>
    <s v="Completed"/>
  </r>
  <r>
    <s v="ORD10195"/>
    <s v="C006"/>
    <s v="P202"/>
    <x v="96"/>
    <s v="14/12/2025"/>
    <s v="Sneha Joshi"/>
    <s v="Female"/>
    <s v="09/03/1998"/>
    <s v="Ahmedabad"/>
    <x v="2"/>
    <x v="0"/>
    <s v="Iron"/>
    <n v="10"/>
    <n v="2200"/>
    <n v="10"/>
    <n v="19800"/>
    <n v="5"/>
    <s v="NetBanking"/>
    <s v="Neha"/>
    <s v="sneha.joshi@company.com"/>
    <s v="9895908093"/>
    <s v="Pending"/>
  </r>
  <r>
    <s v="ORD10196"/>
    <s v="C007"/>
    <s v="P302"/>
    <x v="159"/>
    <s v="09/05/2025"/>
    <s v="Arjun Rao"/>
    <s v="Male"/>
    <s v="21/05/1988"/>
    <s v="Delhi"/>
    <x v="1"/>
    <x v="2"/>
    <s v="Pen"/>
    <n v="7"/>
    <n v="20"/>
    <n v="10"/>
    <n v="126"/>
    <n v="4"/>
    <s v="Card"/>
    <s v="Aisha"/>
    <s v="arjun.rao@company.com"/>
    <s v="9734108795"/>
    <s v="Completed"/>
  </r>
  <r>
    <s v="ORD10197"/>
    <s v="C005"/>
    <s v="P203"/>
    <x v="29"/>
    <s v="14/01/2026"/>
    <s v="Vikas Mehta"/>
    <s v="Male"/>
    <s v="18/07/1994"/>
    <s v="Hyderabad"/>
    <x v="0"/>
    <x v="0"/>
    <s v="Microwave"/>
    <n v="19"/>
    <n v="8500"/>
    <n v="20"/>
    <n v="129200"/>
    <n v="3"/>
    <s v="NetBanking"/>
    <s v="Aisha"/>
    <s v="vikas.mehta@company.com"/>
    <s v="9799597413"/>
    <s v="Pending"/>
  </r>
  <r>
    <s v="ORD10198"/>
    <s v="C002"/>
    <s v="P301"/>
    <x v="59"/>
    <s v="06/03/2025"/>
    <s v="Priya Patel"/>
    <s v="Female"/>
    <s v="15/11/1977"/>
    <s v="Pune"/>
    <x v="2"/>
    <x v="2"/>
    <s v="Notebook"/>
    <n v="16"/>
    <n v="60"/>
    <n v="0"/>
    <n v="960"/>
    <n v="2"/>
    <s v="NetBanking"/>
    <s v="Neha"/>
    <s v="priYa.patel@company.com"/>
    <s v="9688987266"/>
    <s v="Completed"/>
  </r>
  <r>
    <s v="ORD10199"/>
    <s v="C005"/>
    <s v="P201"/>
    <x v="160"/>
    <s v="27/04/2026"/>
    <s v="Vikas Mehta"/>
    <s v="Male"/>
    <s v="22/09/1982"/>
    <s v="Bengaluru"/>
    <x v="0"/>
    <x v="2"/>
    <s v="Mixer"/>
    <n v="18"/>
    <n v="3500"/>
    <n v="5"/>
    <n v="59850"/>
    <n v="1"/>
    <s v="UPI"/>
    <s v="Neha"/>
    <s v="vikas.mehta@company.com"/>
    <s v="9867169037"/>
    <s v="Pending"/>
  </r>
  <r>
    <s v="ORD10200"/>
    <s v="C002"/>
    <s v="P101"/>
    <x v="161"/>
    <s v="01/03/2025"/>
    <s v="Priya Patel"/>
    <s v="Female"/>
    <s v="14/09/1994"/>
    <s v="Jaipur"/>
    <x v="1"/>
    <x v="1"/>
    <s v="Laptop"/>
    <n v="16"/>
    <n v="55000"/>
    <n v="0"/>
    <n v="880000"/>
    <n v="1"/>
    <s v="Card"/>
    <s v="Aisha"/>
    <s v="priYa.patel@company.com"/>
    <s v="9485547425"/>
    <s v="Cancelled"/>
  </r>
  <r>
    <s v="ORD10201"/>
    <s v="C005"/>
    <s v="P103"/>
    <x v="144"/>
    <s v="09/02/2025"/>
    <s v="Vikas Mehta"/>
    <s v="Male"/>
    <s v="02/12/1995"/>
    <s v="Ahmedabad"/>
    <x v="2"/>
    <x v="1"/>
    <s v="Keyboard"/>
    <n v="18"/>
    <n v="1200"/>
    <n v="15"/>
    <n v="18360"/>
    <n v="2"/>
    <s v="NetBanking"/>
    <s v="Ritika"/>
    <s v="vikas.mehta@company.com"/>
    <s v="9889733076"/>
    <s v="Cancelled"/>
  </r>
  <r>
    <s v="ORD10202"/>
    <s v="C009"/>
    <s v="P303"/>
    <x v="162"/>
    <s v="27/05/2025"/>
    <s v="Mohit Verma"/>
    <s v="Male"/>
    <s v="10/07/1985"/>
    <s v="Hyderabad"/>
    <x v="0"/>
    <x v="2"/>
    <s v="Marker"/>
    <n v="2"/>
    <n v="45"/>
    <n v="15"/>
    <n v="76.5"/>
    <n v="5"/>
    <s v="Cash"/>
    <s v="Aisha"/>
    <s v="mohit.verma@company.com"/>
    <s v="9145434449"/>
    <s v="Cancelled"/>
  </r>
  <r>
    <s v="ORD10203"/>
    <s v="C010"/>
    <s v="P203"/>
    <x v="163"/>
    <s v="12/01/2026"/>
    <s v="Pooja Shah"/>
    <s v="Female"/>
    <s v="25/03/2001"/>
    <s v="Bengaluru"/>
    <x v="0"/>
    <x v="0"/>
    <s v="Microwave"/>
    <n v="20"/>
    <n v="8500"/>
    <n v="0"/>
    <n v="170000"/>
    <n v="4"/>
    <s v="NetBanking"/>
    <s v="Aisha"/>
    <s v="pooja.shah@company.com"/>
    <s v="9598942148"/>
    <s v="Cancelled"/>
  </r>
  <r>
    <s v="ORD10204"/>
    <s v="C003"/>
    <s v="P201"/>
    <x v="36"/>
    <s v="09/03/2026"/>
    <s v="Rohit Singh"/>
    <s v="Male"/>
    <s v="27/04/1981"/>
    <s v="Jaipur"/>
    <x v="1"/>
    <x v="0"/>
    <s v="Mixer"/>
    <n v="6"/>
    <n v="3500"/>
    <n v="5"/>
    <n v="19950"/>
    <n v="1"/>
    <s v="Cash"/>
    <s v="Karan"/>
    <s v="rohit.singh@company.com"/>
    <s v="9599252705"/>
    <s v="Completed"/>
  </r>
  <r>
    <s v="ORD10205"/>
    <s v="C004"/>
    <s v="P303"/>
    <x v="38"/>
    <s v="09/10/2025"/>
    <s v="Anita Gupta"/>
    <s v="Female"/>
    <s v="14/01/2003"/>
    <s v="Pune"/>
    <x v="2"/>
    <x v="2"/>
    <s v="Marker"/>
    <n v="8"/>
    <n v="45"/>
    <n v="5"/>
    <n v="342"/>
    <n v="2"/>
    <s v="Cash"/>
    <s v="Rahul"/>
    <s v="anita.gupta@company.com"/>
    <s v="9626843681"/>
    <s v="Pending"/>
  </r>
  <r>
    <s v="ORD10206"/>
    <s v="C001"/>
    <s v="P202"/>
    <x v="164"/>
    <s v="12/03/2025"/>
    <s v="Amit Sharma"/>
    <s v="Male"/>
    <s v="02/10/1980"/>
    <s v="Mumbai"/>
    <x v="2"/>
    <x v="0"/>
    <s v="Iron"/>
    <n v="18"/>
    <n v="2200"/>
    <n v="15"/>
    <n v="33660"/>
    <n v="4"/>
    <s v="Card"/>
    <s v="Aisha"/>
    <s v="amit.sharma@company.com"/>
    <s v="9934933215"/>
    <s v="Pending"/>
  </r>
  <r>
    <s v="ORD10207"/>
    <s v="C005"/>
    <s v="P102"/>
    <x v="165"/>
    <s v="15/04/2026"/>
    <s v="Vikas Mehta"/>
    <s v="Male"/>
    <s v="24/10/1990"/>
    <s v="Hyderabad"/>
    <x v="0"/>
    <x v="1"/>
    <s v="Mouse"/>
    <n v="18"/>
    <n v="700"/>
    <n v="15"/>
    <n v="10710"/>
    <n v="3"/>
    <s v="Card"/>
    <s v="Karan"/>
    <s v="vikas.mehta@company.com"/>
    <s v="9508025585"/>
    <s v="Cancelled"/>
  </r>
  <r>
    <s v="ORD10208"/>
    <s v="C001"/>
    <s v="P101"/>
    <x v="166"/>
    <s v="20/01/2026"/>
    <s v="Amit Sharma"/>
    <s v="Male"/>
    <s v="24/09/1977"/>
    <s v="Pune"/>
    <x v="2"/>
    <x v="1"/>
    <s v="Laptop"/>
    <n v="12"/>
    <n v="55000"/>
    <n v="0"/>
    <n v="660000"/>
    <n v="2"/>
    <s v="UPI"/>
    <s v="Rahul"/>
    <s v="amit.sharma@company.com"/>
    <s v="9364681052"/>
    <s v="Cancelled"/>
  </r>
  <r>
    <s v="ORD10209"/>
    <s v="C008"/>
    <s v="P104"/>
    <x v="74"/>
    <s v="24/11/2025"/>
    <s v="Kavya Nair"/>
    <s v="Female"/>
    <s v="02/10/1996"/>
    <s v="Mumbai"/>
    <x v="2"/>
    <x v="1"/>
    <s v="Monitor"/>
    <n v="7"/>
    <n v="12000"/>
    <n v="5"/>
    <n v="79800"/>
    <n v="3"/>
    <s v="Card"/>
    <s v="Karan"/>
    <s v="KAvya.nair@company.com"/>
    <s v="9117102884"/>
    <s v="Pending"/>
  </r>
  <r>
    <s v="ORD10210"/>
    <s v="C006"/>
    <s v="P104"/>
    <x v="167"/>
    <s v="23/09/2025"/>
    <s v="Sneha Joshi"/>
    <s v="Female"/>
    <s v="17/05/1976"/>
    <s v="Mumbai"/>
    <x v="2"/>
    <x v="1"/>
    <s v="Monitor"/>
    <n v="8"/>
    <n v="12000"/>
    <n v="15"/>
    <n v="81600"/>
    <n v="4"/>
    <s v="Card"/>
    <s v="Rahul"/>
    <s v="sneha.joshi@company.com"/>
    <s v="9819453185"/>
    <s v="Completed"/>
  </r>
  <r>
    <s v="ORD10211"/>
    <s v="C001"/>
    <s v="P201"/>
    <x v="168"/>
    <s v="27/12/2025"/>
    <s v="Amit Sharma"/>
    <s v="Male"/>
    <s v="09/12/1987"/>
    <s v="Mumbai"/>
    <x v="2"/>
    <x v="0"/>
    <s v="Mixer"/>
    <n v="19"/>
    <n v="3500"/>
    <n v="5"/>
    <n v="63175"/>
    <n v="3"/>
    <s v="Card"/>
    <s v="Aisha"/>
    <s v="amit.sharma@company.com"/>
    <s v="9511806701"/>
    <s v="Pending"/>
  </r>
  <r>
    <s v="ORD10212"/>
    <s v="C006"/>
    <s v="P303"/>
    <x v="144"/>
    <s v="16/02/2025"/>
    <s v="Sneha Joshi"/>
    <s v="Female"/>
    <s v="16/07/1990"/>
    <s v="Ahmedabad"/>
    <x v="2"/>
    <x v="2"/>
    <s v="Marker"/>
    <n v="7"/>
    <n v="45"/>
    <n v="5"/>
    <n v="299.25"/>
    <n v="3"/>
    <s v="Card"/>
    <s v="Ritika"/>
    <s v="sneha.joshi@company.com"/>
    <s v="9875249891"/>
    <s v="Cancelled"/>
  </r>
  <r>
    <s v="ORD10213"/>
    <s v="C008"/>
    <s v="P301"/>
    <x v="169"/>
    <s v="08/06/2025"/>
    <s v="Kavya Nair"/>
    <s v="Female"/>
    <s v="09/08/1991"/>
    <s v="Hyderabad"/>
    <x v="0"/>
    <x v="2"/>
    <s v="Notebook"/>
    <n v="3"/>
    <n v="60"/>
    <n v="15"/>
    <n v="153"/>
    <n v="3"/>
    <s v="NetBanking"/>
    <s v="Rahul"/>
    <s v="KAvya.nair@company.com"/>
    <s v="9438232503"/>
    <s v="Cancelled"/>
  </r>
  <r>
    <s v="ORD10214"/>
    <s v="C010"/>
    <s v="P303"/>
    <x v="170"/>
    <s v="04/05/2026"/>
    <s v="Pooja Shah"/>
    <s v="Female"/>
    <s v="26/12/1977"/>
    <s v="Pune"/>
    <x v="2"/>
    <x v="2"/>
    <s v="Marker"/>
    <n v="19"/>
    <n v="45"/>
    <n v="0"/>
    <n v="855"/>
    <n v="2"/>
    <s v="Cash"/>
    <s v="Aisha"/>
    <s v="pooja.shah@company.com"/>
    <s v="9449953754"/>
    <s v="Completed"/>
  </r>
  <r>
    <s v="ORD10215"/>
    <s v="C002"/>
    <s v="P104"/>
    <x v="171"/>
    <s v="16/03/2026"/>
    <s v="Priya Patel"/>
    <s v="Female"/>
    <s v="04/06/1995"/>
    <s v="Bengaluru"/>
    <x v="0"/>
    <x v="1"/>
    <s v="Monitor"/>
    <n v="10"/>
    <n v="12000"/>
    <n v="5"/>
    <n v="114000"/>
    <n v="1"/>
    <s v="Card"/>
    <s v="Neha"/>
    <s v="priYa.patel@company.com"/>
    <s v="9833801891"/>
    <s v="Cancelled"/>
  </r>
  <r>
    <s v="ORD10216"/>
    <s v="C008"/>
    <s v="P103"/>
    <x v="172"/>
    <s v="12/03/2025"/>
    <s v="Kavya Nair"/>
    <s v="Female"/>
    <s v="16/11/1983"/>
    <s v="Kolkata"/>
    <x v="3"/>
    <x v="1"/>
    <s v="Keyboard"/>
    <n v="4"/>
    <n v="1200"/>
    <n v="0"/>
    <n v="4800"/>
    <n v="4"/>
    <s v="Cash"/>
    <s v="Aisha"/>
    <s v="KAvya.nair@company.com"/>
    <s v="9183949273"/>
    <s v="Completed"/>
  </r>
  <r>
    <s v="ORD10217"/>
    <s v="C005"/>
    <s v="P203"/>
    <x v="80"/>
    <s v="07/11/2025"/>
    <s v="Vikas Mehta"/>
    <s v="Male"/>
    <s v="10/10/1985"/>
    <s v="Bengaluru"/>
    <x v="0"/>
    <x v="0"/>
    <s v="Microwave"/>
    <n v="2"/>
    <n v="8500"/>
    <n v="20"/>
    <n v="13600"/>
    <n v="3"/>
    <s v="Card"/>
    <s v="Karan"/>
    <s v="vikas.mehta@company.com"/>
    <s v="9168257367"/>
    <s v="Completed"/>
  </r>
  <r>
    <s v="ORD10218"/>
    <s v="C007"/>
    <s v="P102"/>
    <x v="173"/>
    <s v="08/02/2026"/>
    <s v="Arjun Rao"/>
    <s v="Male"/>
    <s v="07/01/2002"/>
    <s v="Kolkata"/>
    <x v="3"/>
    <x v="1"/>
    <s v="Mouse"/>
    <n v="7"/>
    <n v="700"/>
    <n v="20"/>
    <n v="3920"/>
    <n v="2"/>
    <s v="Card"/>
    <s v="Karan"/>
    <s v="arjun.rao@company.com"/>
    <s v="9580903210"/>
    <s v="Pending"/>
  </r>
  <r>
    <s v="ORD10219"/>
    <s v="C010"/>
    <s v="P302"/>
    <x v="174"/>
    <s v="03/05/2026"/>
    <s v="Pooja Shah"/>
    <s v="Female"/>
    <s v="18/07/1999"/>
    <s v="Pune"/>
    <x v="2"/>
    <x v="2"/>
    <s v="Pen"/>
    <n v="9"/>
    <n v="20"/>
    <n v="15"/>
    <n v="153"/>
    <n v="3"/>
    <s v="NetBanking"/>
    <s v="Neha"/>
    <s v="pooja.shah@company.com"/>
    <s v="9602152945"/>
    <s v="Completed"/>
  </r>
  <r>
    <s v="ORD10220"/>
    <s v="C002"/>
    <s v="P203"/>
    <x v="175"/>
    <s v="20/05/2025"/>
    <s v="Priya Patel"/>
    <s v="Female"/>
    <s v="02/09/1990"/>
    <s v="Kolkata"/>
    <x v="3"/>
    <x v="0"/>
    <s v="Microwave"/>
    <n v="16"/>
    <n v="8500"/>
    <n v="0"/>
    <n v="136000"/>
    <n v="4"/>
    <s v="NetBanking"/>
    <s v="Ritika"/>
    <s v="priYa.patel@company.com"/>
    <s v="9646917552"/>
    <s v="Completed"/>
  </r>
  <r>
    <s v="ORD10221"/>
    <s v="C006"/>
    <s v="P201"/>
    <x v="176"/>
    <s v="28/03/2026"/>
    <s v="Sneha Joshi"/>
    <s v="Female"/>
    <s v="02/08/1992"/>
    <s v="Delhi"/>
    <x v="1"/>
    <x v="0"/>
    <s v="Mixer"/>
    <n v="10"/>
    <n v="3500"/>
    <n v="5"/>
    <n v="33250"/>
    <n v="3"/>
    <s v="NetBanking"/>
    <s v="Neha"/>
    <s v="sneha.joshi@company.com"/>
    <s v="9127548552"/>
    <s v="Completed"/>
  </r>
  <r>
    <s v="ORD10222"/>
    <s v="C010"/>
    <s v="P104"/>
    <x v="177"/>
    <s v="27/01/2026"/>
    <s v="Pooja Shah"/>
    <s v="Female"/>
    <s v="09/02/1980"/>
    <s v="Kolkata"/>
    <x v="3"/>
    <x v="1"/>
    <s v="Monitor"/>
    <n v="1"/>
    <n v="12000"/>
    <n v="0"/>
    <n v="12000"/>
    <n v="5"/>
    <s v="UPI"/>
    <s v="Neha"/>
    <s v="pooja.shah@company.com"/>
    <s v="9712805603"/>
    <s v="Pending"/>
  </r>
  <r>
    <s v="ORD10223"/>
    <s v="C001"/>
    <s v="P303"/>
    <x v="178"/>
    <s v="10/05/2026"/>
    <s v="Amit Sharma"/>
    <s v="Male"/>
    <s v="18/02/1989"/>
    <s v="Kolkata"/>
    <x v="3"/>
    <x v="2"/>
    <s v="Marker"/>
    <n v="19"/>
    <n v="45"/>
    <n v="15"/>
    <n v="726.75"/>
    <n v="2"/>
    <s v="UPI"/>
    <s v="Karan"/>
    <s v="amit.sharma@company.com"/>
    <s v="9798313682"/>
    <s v="Pending"/>
  </r>
  <r>
    <s v="ORD10224"/>
    <s v="C008"/>
    <s v="P101"/>
    <x v="80"/>
    <s v="02/11/2025"/>
    <s v="Kavya Nair"/>
    <s v="Female"/>
    <s v="10/09/1993"/>
    <s v="Delhi"/>
    <x v="1"/>
    <x v="1"/>
    <s v="Laptop"/>
    <n v="13"/>
    <n v="55000"/>
    <n v="5"/>
    <n v="679250"/>
    <n v="4"/>
    <s v="Card"/>
    <s v="Rahul"/>
    <s v="KAvya.nair@company.com"/>
    <s v="9642822397"/>
    <s v="Cancelled"/>
  </r>
  <r>
    <s v="ORD10225"/>
    <s v="C007"/>
    <s v="P303"/>
    <x v="179"/>
    <s v="26/07/2025"/>
    <s v="Arjun Rao"/>
    <s v="Male"/>
    <s v="17/11/1981"/>
    <s v="Mumbai"/>
    <x v="2"/>
    <x v="2"/>
    <s v="Marker"/>
    <n v="2"/>
    <n v="45"/>
    <n v="15"/>
    <n v="76.5"/>
    <n v="1"/>
    <s v="NetBanking"/>
    <s v="Neha"/>
    <s v="arjun.rao@company.com"/>
    <s v="9490067655"/>
    <s v="Completed"/>
  </r>
  <r>
    <s v="ORD10226"/>
    <s v="C002"/>
    <s v="P302"/>
    <x v="180"/>
    <s v="24/02/2025"/>
    <s v="Priya Patel"/>
    <s v="Female"/>
    <s v="24/08/2003"/>
    <s v="Hyderabad"/>
    <x v="0"/>
    <x v="2"/>
    <s v="Pen"/>
    <n v="8"/>
    <n v="20"/>
    <n v="15"/>
    <n v="136"/>
    <n v="1"/>
    <s v="Card"/>
    <s v="Ritika"/>
    <s v="priYa.patel@company.com"/>
    <s v="9389792144"/>
    <s v="Pending"/>
  </r>
  <r>
    <s v="ORD10227"/>
    <s v="C004"/>
    <s v="P104"/>
    <x v="181"/>
    <s v="01/05/2025"/>
    <s v="Anita Gupta"/>
    <s v="Female"/>
    <s v="19/07/1985"/>
    <s v="Hyderabad"/>
    <x v="0"/>
    <x v="1"/>
    <s v="Monitor"/>
    <n v="9"/>
    <n v="12000"/>
    <n v="5"/>
    <n v="102600"/>
    <n v="2"/>
    <s v="Card"/>
    <s v="Ritika"/>
    <s v="anita.gupta@company.com"/>
    <s v="9736113863"/>
    <s v="Cancelled"/>
  </r>
  <r>
    <s v="ORD10228"/>
    <s v="C009"/>
    <s v="P201"/>
    <x v="182"/>
    <s v="13/06/2025"/>
    <s v="Mohit Verma"/>
    <s v="Male"/>
    <s v="10/05/1994"/>
    <s v="Kolkata"/>
    <x v="3"/>
    <x v="0"/>
    <s v="Mixer"/>
    <n v="3"/>
    <n v="3500"/>
    <n v="15"/>
    <n v="8925"/>
    <n v="1"/>
    <s v="Cash"/>
    <s v="Rahul"/>
    <s v="mohit.verma@company.com"/>
    <s v="9324634732"/>
    <s v="Cancelled"/>
  </r>
  <r>
    <s v="ORD10229"/>
    <s v="C002"/>
    <s v="P102"/>
    <x v="183"/>
    <s v="23/05/2025"/>
    <s v="Priya Patel"/>
    <s v="Female"/>
    <s v="23/03/1993"/>
    <s v="Hyderabad"/>
    <x v="0"/>
    <x v="1"/>
    <s v="Mouse"/>
    <n v="18"/>
    <n v="700"/>
    <n v="20"/>
    <n v="10080"/>
    <n v="1"/>
    <s v="Card"/>
    <s v="Karan"/>
    <s v="priYa.patel@company.com"/>
    <s v="9529968110"/>
    <s v="Completed"/>
  </r>
  <r>
    <s v="ORD10230"/>
    <s v="C009"/>
    <s v="P201"/>
    <x v="184"/>
    <s v="31/01/2026"/>
    <s v="Mohit Verma"/>
    <s v="Male"/>
    <s v="13/06/1979"/>
    <s v="Pune"/>
    <x v="2"/>
    <x v="0"/>
    <s v="Mixer"/>
    <n v="14"/>
    <n v="3500"/>
    <n v="5"/>
    <n v="46550"/>
    <n v="1"/>
    <s v="Cash"/>
    <s v="Aisha"/>
    <s v="mohit.verma@company.com"/>
    <s v="9102417647"/>
    <s v="Completed"/>
  </r>
  <r>
    <s v="ORD10231"/>
    <s v="C002"/>
    <s v="P102"/>
    <x v="169"/>
    <s v="04/06/2025"/>
    <s v="Priya Patel"/>
    <s v="Female"/>
    <s v="24/01/1991"/>
    <s v="Kolkata"/>
    <x v="3"/>
    <x v="1"/>
    <s v="Mouse"/>
    <n v="6"/>
    <n v="700"/>
    <n v="5"/>
    <n v="3990"/>
    <n v="5"/>
    <s v="Cash"/>
    <s v="Ritika"/>
    <s v="priYa.patel@company.com"/>
    <s v="9630302865"/>
    <s v="Completed"/>
  </r>
  <r>
    <s v="ORD10232"/>
    <s v="C002"/>
    <s v="P201"/>
    <x v="185"/>
    <s v="19/06/2025"/>
    <s v="Priya Patel"/>
    <s v="Female"/>
    <s v="22/02/2004"/>
    <s v="Mumbai"/>
    <x v="2"/>
    <x v="0"/>
    <s v="Mixer"/>
    <n v="17"/>
    <n v="3500"/>
    <n v="15"/>
    <n v="50575"/>
    <n v="3"/>
    <s v="NetBanking"/>
    <s v="Rahul"/>
    <s v="priYa.patel@company.com"/>
    <s v="9465353780"/>
    <s v="Pending"/>
  </r>
  <r>
    <s v="ORD10233"/>
    <s v="C006"/>
    <s v="P302"/>
    <x v="186"/>
    <s v="24/01/2026"/>
    <s v="Sneha Joshi"/>
    <s v="Female"/>
    <s v="25/04/1977"/>
    <s v="Kolkata"/>
    <x v="3"/>
    <x v="2"/>
    <s v="Pen"/>
    <n v="7"/>
    <n v="20"/>
    <n v="5"/>
    <n v="133"/>
    <n v="2"/>
    <s v="UPI"/>
    <s v="Karan"/>
    <s v="sneha.joshi@company.com"/>
    <s v="9837426414"/>
    <s v="Completed"/>
  </r>
  <r>
    <s v="ORD10234"/>
    <s v="C008"/>
    <s v="P202"/>
    <x v="187"/>
    <s v="04/03/2026"/>
    <s v="Kavya Nair"/>
    <s v="Female"/>
    <s v="22/07/1994"/>
    <s v="Bengaluru"/>
    <x v="0"/>
    <x v="0"/>
    <s v="Iron"/>
    <n v="15"/>
    <n v="2200"/>
    <n v="20"/>
    <n v="26400"/>
    <n v="2"/>
    <s v="Cash"/>
    <s v="Aisha"/>
    <s v="KAvya.nair@company.com"/>
    <s v="9249918272"/>
    <s v="Completed"/>
  </r>
  <r>
    <s v="ORD10235"/>
    <s v="C009"/>
    <s v="P302"/>
    <x v="117"/>
    <s v="25/02/2026"/>
    <s v="Mohit Verma"/>
    <s v="Male"/>
    <s v="11/11/1979"/>
    <s v="Mumbai"/>
    <x v="2"/>
    <x v="2"/>
    <s v="Pen"/>
    <n v="5"/>
    <n v="20"/>
    <n v="0"/>
    <n v="100"/>
    <n v="3"/>
    <s v="Cash"/>
    <s v="Karan"/>
    <s v="mohit.verma@company.com"/>
    <s v="9265580582"/>
    <s v="Completed"/>
  </r>
  <r>
    <s v="ORD10236"/>
    <s v="C003"/>
    <s v="P104"/>
    <x v="188"/>
    <s v="14/07/2025"/>
    <s v="Rohit Singh"/>
    <s v="Male"/>
    <s v="27/05/1995"/>
    <s v="Delhi"/>
    <x v="1"/>
    <x v="1"/>
    <s v="Monitor"/>
    <n v="8"/>
    <n v="12000"/>
    <n v="20"/>
    <n v="76800"/>
    <n v="3"/>
    <s v="Card"/>
    <s v="Aisha"/>
    <s v="rohit.singh@company.com"/>
    <s v="9751049833"/>
    <s v="Pending"/>
  </r>
  <r>
    <s v="ORD10237"/>
    <s v="C003"/>
    <s v="P201"/>
    <x v="189"/>
    <s v="16/02/2025"/>
    <s v="Rohit Singh"/>
    <s v="Male"/>
    <s v="18/06/1998"/>
    <s v="Mumbai"/>
    <x v="2"/>
    <x v="0"/>
    <s v="Mixer"/>
    <n v="4"/>
    <n v="3500"/>
    <n v="20"/>
    <n v="11200"/>
    <n v="1"/>
    <s v="Card"/>
    <s v="Neha"/>
    <s v="rohit.singh@company.com"/>
    <s v="9741671507"/>
    <s v="Completed"/>
  </r>
  <r>
    <s v="ORD10238"/>
    <s v="C005"/>
    <s v="P303"/>
    <x v="99"/>
    <s v="04/03/2025"/>
    <s v="Vikas Mehta"/>
    <s v="Male"/>
    <s v="21/01/1983"/>
    <s v="Hyderabad"/>
    <x v="0"/>
    <x v="2"/>
    <s v="Marker"/>
    <n v="19"/>
    <n v="45"/>
    <n v="10"/>
    <n v="769.5"/>
    <n v="1"/>
    <s v="Cash"/>
    <s v="Neha"/>
    <s v="vikas.mehta@company.com"/>
    <s v="9367541035"/>
    <s v="Completed"/>
  </r>
  <r>
    <s v="ORD10239"/>
    <s v="C010"/>
    <s v="P303"/>
    <x v="190"/>
    <s v="06/02/2026"/>
    <s v="Pooja Shah"/>
    <s v="Female"/>
    <s v="03/03/1978"/>
    <s v="Pune"/>
    <x v="2"/>
    <x v="2"/>
    <s v="Marker"/>
    <n v="10"/>
    <n v="45"/>
    <n v="0"/>
    <n v="450"/>
    <n v="4"/>
    <s v="UPI"/>
    <s v="Aisha"/>
    <s v="pooja.shah@company.com"/>
    <s v="9323696971"/>
    <s v="Completed"/>
  </r>
  <r>
    <s v="ORD10240"/>
    <s v="C010"/>
    <s v="P303"/>
    <x v="191"/>
    <s v="17/01/2026"/>
    <s v="Pooja Shah"/>
    <s v="Female"/>
    <s v="24/06/1997"/>
    <s v="Hyderabad"/>
    <x v="0"/>
    <x v="2"/>
    <s v="Marker"/>
    <n v="16"/>
    <n v="45"/>
    <n v="15"/>
    <n v="612"/>
    <n v="3"/>
    <s v="Cash"/>
    <s v="Neha"/>
    <s v="pooja.shah@company.com"/>
    <s v="9786384529"/>
    <s v="Cancelled"/>
  </r>
  <r>
    <s v="ORD10241"/>
    <s v="C004"/>
    <s v="P203"/>
    <x v="9"/>
    <s v="27/03/2025"/>
    <s v="Anita Gupta"/>
    <s v="Female"/>
    <s v="25/08/1976"/>
    <s v="Pune"/>
    <x v="2"/>
    <x v="0"/>
    <s v="Microwave"/>
    <n v="16"/>
    <n v="8500"/>
    <n v="15"/>
    <n v="115600"/>
    <n v="4"/>
    <s v="NetBanking"/>
    <s v="Ritika"/>
    <s v="anita.gupta@company.com"/>
    <s v="9444900541"/>
    <s v="Cancelled"/>
  </r>
  <r>
    <s v="ORD10242"/>
    <s v="C004"/>
    <s v="P302"/>
    <x v="62"/>
    <s v="12/09/2025"/>
    <s v="Anita Gupta"/>
    <s v="Female"/>
    <s v="04/04/1996"/>
    <s v="Kolkata"/>
    <x v="3"/>
    <x v="2"/>
    <s v="Pen"/>
    <n v="15"/>
    <n v="20"/>
    <n v="20"/>
    <n v="240"/>
    <n v="3"/>
    <s v="NetBanking"/>
    <s v="Rahul"/>
    <s v="anita.gupta@company.com"/>
    <s v="9108024911"/>
    <s v="Cancelled"/>
  </r>
  <r>
    <s v="ORD10243"/>
    <s v="C007"/>
    <s v="P301"/>
    <x v="61"/>
    <s v="13/01/2026"/>
    <s v="Arjun Rao"/>
    <s v="Male"/>
    <s v="09/10/2001"/>
    <s v="Bengaluru"/>
    <x v="0"/>
    <x v="2"/>
    <s v="Notebook"/>
    <n v="14"/>
    <n v="60"/>
    <n v="5"/>
    <n v="798"/>
    <n v="4"/>
    <s v="Cash"/>
    <s v="Rahul"/>
    <s v="arjun.rao@company.com"/>
    <s v="9897181325"/>
    <s v="Completed"/>
  </r>
  <r>
    <s v="ORD10244"/>
    <s v="C010"/>
    <s v="P103"/>
    <x v="192"/>
    <s v="19/05/2026"/>
    <s v="Pooja Shah"/>
    <s v="Female"/>
    <s v="11/04/1995"/>
    <s v="Mumbai"/>
    <x v="2"/>
    <x v="1"/>
    <s v="Keyboard"/>
    <n v="19"/>
    <n v="1200"/>
    <n v="20"/>
    <n v="18240"/>
    <n v="2"/>
    <s v="Cash"/>
    <s v="Neha"/>
    <s v="pooja.shah@company.com"/>
    <s v="9554719621"/>
    <s v="Cancelled"/>
  </r>
  <r>
    <s v="ORD10245"/>
    <s v="C008"/>
    <s v="P303"/>
    <x v="44"/>
    <s v="14/10/2025"/>
    <s v="Kavya Nair"/>
    <s v="Female"/>
    <s v="04/05/2000"/>
    <s v="Bengaluru"/>
    <x v="0"/>
    <x v="2"/>
    <s v="Marker"/>
    <n v="5"/>
    <n v="45"/>
    <n v="15"/>
    <n v="191.25"/>
    <n v="2"/>
    <s v="Cash"/>
    <s v="Aisha"/>
    <s v="KAvya.nair@company.com"/>
    <s v="9815899217"/>
    <s v="Cancelled"/>
  </r>
  <r>
    <s v="ORD10246"/>
    <s v="C001"/>
    <s v="P102"/>
    <x v="193"/>
    <s v="01/06/2025"/>
    <s v="Amit Sharma"/>
    <s v="Male"/>
    <s v="01/03/2002"/>
    <s v="Hyderabad"/>
    <x v="0"/>
    <x v="1"/>
    <s v="Mouse"/>
    <n v="19"/>
    <n v="700"/>
    <n v="5"/>
    <n v="12635"/>
    <n v="5"/>
    <s v="UPI"/>
    <s v="Karan"/>
    <s v="amit.sharma@company.com"/>
    <s v="9308497039"/>
    <s v="Completed"/>
  </r>
  <r>
    <s v="ORD10247"/>
    <s v="C003"/>
    <s v="P301"/>
    <x v="110"/>
    <s v="04/01/2026"/>
    <s v="Rohit Singh"/>
    <s v="Male"/>
    <s v="27/05/1975"/>
    <s v="Kolkata"/>
    <x v="3"/>
    <x v="2"/>
    <s v="Notebook"/>
    <n v="7"/>
    <n v="60"/>
    <n v="0"/>
    <n v="420"/>
    <n v="4"/>
    <s v="Cash"/>
    <s v="Neha"/>
    <s v="rohit.singh@company.com"/>
    <s v="9882054354"/>
    <s v="Pending"/>
  </r>
  <r>
    <s v="ORD10248"/>
    <s v="C009"/>
    <s v="P202"/>
    <x v="23"/>
    <s v="02/01/2026"/>
    <s v="Mohit Verma"/>
    <s v="Male"/>
    <s v="02/12/1988"/>
    <s v="Mumbai"/>
    <x v="2"/>
    <x v="0"/>
    <s v="Iron"/>
    <n v="13"/>
    <n v="2200"/>
    <n v="10"/>
    <n v="25740"/>
    <n v="1"/>
    <s v="Card"/>
    <s v="Karan"/>
    <s v="mohit.verma@company.com"/>
    <s v="9193016830"/>
    <s v="Completed"/>
  </r>
  <r>
    <s v="ORD10249"/>
    <s v="C009"/>
    <s v="P202"/>
    <x v="194"/>
    <s v="05/01/2026"/>
    <s v="Mohit Verma"/>
    <s v="Male"/>
    <s v="06/12/1984"/>
    <s v="Bengaluru"/>
    <x v="0"/>
    <x v="0"/>
    <s v="Iron"/>
    <n v="9"/>
    <n v="2200"/>
    <n v="10"/>
    <n v="17820"/>
    <n v="2"/>
    <s v="Crypto"/>
    <s v="Aisha"/>
    <s v="mohit.verma@company.com"/>
    <s v="9921470418"/>
    <s v="Cancelled"/>
  </r>
  <r>
    <s v="ORD10250"/>
    <s v="C001"/>
    <s v="P203"/>
    <x v="152"/>
    <s v="17/05/2025"/>
    <s v="Amit Sharma"/>
    <s v="Male"/>
    <s v="01/05/1990"/>
    <s v="Bengaluru"/>
    <x v="0"/>
    <x v="0"/>
    <s v="Microwave"/>
    <n v="6"/>
    <n v="8500"/>
    <n v="15"/>
    <n v="43350"/>
    <n v="2"/>
    <s v="Cash"/>
    <s v="Karan"/>
    <s v="amit.sharma@company.com"/>
    <s v="9686979026"/>
    <s v="Cancelled"/>
  </r>
  <r>
    <s v="ORD10251"/>
    <s v="C005"/>
    <s v="P202"/>
    <x v="117"/>
    <s v="25/02/2026"/>
    <s v="Vikas Mehta"/>
    <s v="Male"/>
    <s v="09/02/1988"/>
    <s v="Delhi"/>
    <x v="1"/>
    <x v="0"/>
    <s v="Iron"/>
    <n v="9"/>
    <n v="2200"/>
    <n v="10"/>
    <n v="17820"/>
    <n v="3"/>
    <s v="Card"/>
    <s v="Ritika"/>
    <s v="vikas.mehta@company.com"/>
    <s v="9569007422"/>
    <s v="Pending"/>
  </r>
  <r>
    <s v="ORD10252"/>
    <s v="C008"/>
    <s v="P203"/>
    <x v="195"/>
    <s v="26/03/2025"/>
    <s v="Kavya Nair"/>
    <s v="Female"/>
    <s v="28/03/1982"/>
    <s v="Kolkata"/>
    <x v="3"/>
    <x v="0"/>
    <s v="Microwave"/>
    <n v="16"/>
    <n v="8500"/>
    <n v="0"/>
    <n v="136000"/>
    <n v="5"/>
    <s v="UPI"/>
    <s v="Neha"/>
    <s v="KAvya.nair@company.com"/>
    <s v="9180820441"/>
    <s v="Cancelled"/>
  </r>
  <r>
    <s v="ORD10253"/>
    <s v="C001"/>
    <s v="P103"/>
    <x v="196"/>
    <s v="16/12/2025"/>
    <s v="Amit Sharma"/>
    <s v="Male"/>
    <s v="28/12/1976"/>
    <s v="Delhi"/>
    <x v="1"/>
    <x v="1"/>
    <s v="Keyboard"/>
    <n v="10"/>
    <n v="1200"/>
    <n v="15"/>
    <n v="10200"/>
    <n v="5"/>
    <s v="Cash"/>
    <s v="Rahul"/>
    <s v="amit.sharma@company.com"/>
    <s v="9769075826"/>
    <s v="Completed"/>
  </r>
  <r>
    <s v="ORD10254"/>
    <s v="C003"/>
    <s v="P104"/>
    <x v="56"/>
    <s v="15/03/2025"/>
    <s v="Rohit Singh"/>
    <s v="Male"/>
    <s v="03/08/2003"/>
    <s v="Kolkata"/>
    <x v="3"/>
    <x v="1"/>
    <s v="Monitor"/>
    <n v="7"/>
    <n v="12000"/>
    <n v="0"/>
    <n v="84000"/>
    <n v="1"/>
    <s v="UPI"/>
    <s v="Karan"/>
    <s v="rohit.singh@company.com"/>
    <s v="9467916296"/>
    <s v="Pending"/>
  </r>
  <r>
    <s v="ORD10255"/>
    <s v="C005"/>
    <s v="P104"/>
    <x v="10"/>
    <s v="01/10/2025"/>
    <s v="Vikas Mehta"/>
    <s v="Male"/>
    <s v="06/05/1986"/>
    <s v="Pune"/>
    <x v="2"/>
    <x v="1"/>
    <s v="Monitor"/>
    <n v="3"/>
    <n v="12000"/>
    <n v="10"/>
    <n v="32400"/>
    <n v="4"/>
    <s v="Card"/>
    <s v="Karan"/>
    <s v="vikas.mehta@company.com"/>
    <s v="9477052923"/>
    <s v="Completed"/>
  </r>
  <r>
    <s v="ORD10256"/>
    <s v="C005"/>
    <s v="P104"/>
    <x v="197"/>
    <s v="09/11/2025"/>
    <s v="Vikas Mehta"/>
    <s v="Male"/>
    <s v="04/02/1989"/>
    <s v="Hyderabad"/>
    <x v="0"/>
    <x v="1"/>
    <s v="Monitor"/>
    <n v="4"/>
    <n v="12000"/>
    <n v="15"/>
    <n v="40800"/>
    <n v="3"/>
    <s v="Card"/>
    <s v="Ritika"/>
    <s v="vikas.mehta@company.com"/>
    <s v="9184311420"/>
    <s v="Pending"/>
  </r>
  <r>
    <s v="ORD10257"/>
    <s v="C003"/>
    <s v="P104"/>
    <x v="30"/>
    <s v="18/06/2025"/>
    <s v="Rohit Singh"/>
    <s v="Male"/>
    <s v="08/02/1980"/>
    <s v="Hyderabad"/>
    <x v="0"/>
    <x v="1"/>
    <s v="Monitor"/>
    <n v="13"/>
    <n v="12000"/>
    <n v="10"/>
    <n v="140400"/>
    <n v="2"/>
    <s v="Cash"/>
    <s v="Karan"/>
    <s v="rohit.singh@company.com"/>
    <s v="9630913127"/>
    <s v="Cancelled"/>
  </r>
  <r>
    <s v="ORD10258"/>
    <s v="C008"/>
    <s v="P201"/>
    <x v="40"/>
    <s v="11/06/2025"/>
    <s v="Kavya Nair"/>
    <s v="Female"/>
    <s v="13/01/1985"/>
    <s v="Bengaluru"/>
    <x v="0"/>
    <x v="0"/>
    <s v="Mixer"/>
    <n v="19"/>
    <n v="3500"/>
    <n v="20"/>
    <n v="53200"/>
    <n v="1"/>
    <s v="Cash"/>
    <s v="Aisha"/>
    <s v="KAvya.nair@company.com"/>
    <s v="9997515828"/>
    <s v="Cancelled"/>
  </r>
  <r>
    <s v="ORD10259"/>
    <s v="C008"/>
    <s v="P202"/>
    <x v="149"/>
    <s v="12/02/2025"/>
    <s v="Kavya Nair"/>
    <s v="Female"/>
    <s v="24/07/1979"/>
    <s v="Mumbai"/>
    <x v="2"/>
    <x v="0"/>
    <s v="Iron"/>
    <n v="7"/>
    <n v="2200"/>
    <n v="5"/>
    <n v="14630"/>
    <n v="3"/>
    <s v="UPI"/>
    <s v="Aisha"/>
    <s v="KAvya.nair@company.com"/>
    <s v="9394291182"/>
    <s v="Cancelled"/>
  </r>
  <r>
    <s v="ORD10260"/>
    <s v="C007"/>
    <s v="P102"/>
    <x v="198"/>
    <s v="13/05/2026"/>
    <s v="Arjun Rao"/>
    <s v="Male"/>
    <s v="03/08/1993"/>
    <s v="Jaipur"/>
    <x v="1"/>
    <x v="1"/>
    <s v="Mouse"/>
    <n v="18"/>
    <n v="700"/>
    <n v="5"/>
    <n v="11970"/>
    <n v="2"/>
    <s v="UPI"/>
    <s v="Aisha"/>
    <s v="arjun.rao@company.com"/>
    <s v="9616853220"/>
    <s v="Cancelled"/>
  </r>
  <r>
    <s v="ORD10261"/>
    <s v="C008"/>
    <s v="P302"/>
    <x v="179"/>
    <s v="30/07/2025"/>
    <s v="Kavya Nair"/>
    <s v="Female"/>
    <s v="23/08/1975"/>
    <s v="Kolkata"/>
    <x v="3"/>
    <x v="2"/>
    <s v="Pen"/>
    <n v="11"/>
    <n v="20"/>
    <n v="0"/>
    <n v="220"/>
    <n v="2"/>
    <s v="NetBanking"/>
    <s v="Neha"/>
    <s v="KAvya.nair@company.com"/>
    <s v="9147552626"/>
    <s v="Cancelled"/>
  </r>
  <r>
    <s v="ORD10262"/>
    <s v="C001"/>
    <s v="P104"/>
    <x v="172"/>
    <s v="07/03/2025"/>
    <s v="Amit Sharma"/>
    <s v="Male"/>
    <s v="23/04/1978"/>
    <s v="Pune"/>
    <x v="2"/>
    <x v="1"/>
    <s v="Monitor"/>
    <n v="17"/>
    <n v="12000"/>
    <n v="20"/>
    <n v="163200"/>
    <n v="4"/>
    <s v="UPI"/>
    <s v="Karan"/>
    <s v="amit.sharma@company.com"/>
    <s v="9724197033"/>
    <s v="Completed"/>
  </r>
  <r>
    <s v="ORD10263"/>
    <s v="C006"/>
    <s v="P202"/>
    <x v="199"/>
    <s v="13/07/2025"/>
    <s v="Sneha Joshi"/>
    <s v="Female"/>
    <s v="25/09/2003"/>
    <s v="Kolkata"/>
    <x v="3"/>
    <x v="0"/>
    <s v="Iron"/>
    <n v="4"/>
    <n v="2200"/>
    <n v="5"/>
    <n v="8360"/>
    <n v="2"/>
    <s v="Cash"/>
    <s v="Ritika"/>
    <s v="sneha.joshi@company.com"/>
    <s v="9130666128"/>
    <s v="Completed"/>
  </r>
  <r>
    <s v="ORD10264"/>
    <s v="C008"/>
    <s v="P101"/>
    <x v="200"/>
    <s v="19/12/2025"/>
    <s v="Kavya Nair"/>
    <s v="Female"/>
    <s v="09/04/2002"/>
    <s v="Ahmedabad"/>
    <x v="2"/>
    <x v="1"/>
    <s v="Laptop"/>
    <n v="6"/>
    <n v="55000"/>
    <n v="20"/>
    <n v="264000"/>
    <n v="2"/>
    <s v="UPI"/>
    <s v="Karan"/>
    <s v="KAvya.nair@company.com"/>
    <s v="9866567601"/>
    <s v="Cancelled"/>
  </r>
  <r>
    <s v="ORD10265"/>
    <s v="C009"/>
    <s v="P203"/>
    <x v="5"/>
    <s v="14/01/2026"/>
    <s v="Mohit Verma"/>
    <s v="Male"/>
    <s v="24/09/1985"/>
    <s v="Delhi"/>
    <x v="1"/>
    <x v="0"/>
    <s v="Microwave"/>
    <n v="6"/>
    <n v="8500"/>
    <n v="10"/>
    <n v="45900"/>
    <n v="5"/>
    <s v="UPI"/>
    <s v="Aisha"/>
    <s v="mohit.verma@company.com"/>
    <s v="9477282450"/>
    <s v="Completed"/>
  </r>
  <r>
    <s v="ORD10266"/>
    <s v="C008"/>
    <s v="P302"/>
    <x v="85"/>
    <s v="25/08/2025"/>
    <s v="Kavya Nair"/>
    <s v="Female"/>
    <s v="12/12/1984"/>
    <s v="Jaipur"/>
    <x v="1"/>
    <x v="2"/>
    <s v="Pen"/>
    <n v="6"/>
    <n v="20"/>
    <n v="15"/>
    <n v="102"/>
    <n v="2"/>
    <s v="UPI"/>
    <s v="Rahul"/>
    <s v="KAvya.nair@company.com"/>
    <s v="9857621478"/>
    <s v="Cancelled"/>
  </r>
  <r>
    <s v="ORD10267"/>
    <s v="C010"/>
    <s v="P301"/>
    <x v="201"/>
    <s v="11/05/2025"/>
    <s v="Pooja Shah"/>
    <s v="Female"/>
    <s v="20/07/1984"/>
    <s v="Mumbai"/>
    <x v="2"/>
    <x v="2"/>
    <s v="Notebook"/>
    <n v="6"/>
    <n v="60"/>
    <n v="5"/>
    <n v="342"/>
    <n v="1"/>
    <s v="NetBanking"/>
    <s v="Aisha"/>
    <s v="pooja.shah@company.com"/>
    <s v="9753869055"/>
    <s v="Completed"/>
  </r>
  <r>
    <s v="ORD10268"/>
    <s v="C003"/>
    <s v="P203"/>
    <x v="202"/>
    <s v="12/01/2025"/>
    <s v="Rohit Singh"/>
    <s v="Male"/>
    <s v="15/03/1988"/>
    <s v="Hyderabad"/>
    <x v="0"/>
    <x v="0"/>
    <s v="Microwave"/>
    <n v="19"/>
    <n v="8500"/>
    <n v="0"/>
    <n v="161500"/>
    <n v="5"/>
    <s v="UPI"/>
    <s v="Karan"/>
    <s v="rohit.singh@company.com"/>
    <s v="9663266204"/>
    <s v="Completed"/>
  </r>
  <r>
    <s v="ORD10269"/>
    <s v="C006"/>
    <s v="P101"/>
    <x v="62"/>
    <s v="10/09/2025"/>
    <s v="Sneha Joshi"/>
    <s v="Female"/>
    <s v="27/05/1987"/>
    <s v="Jaipur"/>
    <x v="1"/>
    <x v="1"/>
    <s v="Laptop"/>
    <n v="8"/>
    <n v="55000"/>
    <n v="0"/>
    <n v="440000"/>
    <n v="3"/>
    <s v="Card"/>
    <s v="Neha"/>
    <s v="sneha.joshi@company.com"/>
    <s v="9675208616"/>
    <s v="Pending"/>
  </r>
  <r>
    <s v="ORD10270"/>
    <s v="C009"/>
    <s v="P104"/>
    <x v="178"/>
    <s v="07/05/2026"/>
    <s v="Mohit Verma"/>
    <s v="Male"/>
    <s v="25/10/1988"/>
    <s v="Kolkata"/>
    <x v="3"/>
    <x v="1"/>
    <s v="Monitor"/>
    <n v="18"/>
    <n v="12000"/>
    <n v="20"/>
    <n v="172800"/>
    <n v="5"/>
    <s v="UPI"/>
    <s v="Aisha"/>
    <s v="mohit.verma@company.com"/>
    <s v="9618393586"/>
    <s v="Cancelled"/>
  </r>
  <r>
    <s v="ORD10271"/>
    <s v="C003"/>
    <s v="P203"/>
    <x v="203"/>
    <s v="26/04/2025"/>
    <s v="Rohit Singh"/>
    <s v="Male"/>
    <s v="12/12/1990"/>
    <s v="Ahmedabad"/>
    <x v="2"/>
    <x v="0"/>
    <s v="Microwave"/>
    <n v="8"/>
    <n v="8500"/>
    <n v="5"/>
    <n v="64600"/>
    <n v="2"/>
    <s v="Card"/>
    <s v="Aisha"/>
    <s v="rohit.singh@company.com"/>
    <s v="9137027840"/>
    <s v="Cancelled"/>
  </r>
  <r>
    <s v="ORD10272"/>
    <s v="C008"/>
    <s v="P302"/>
    <x v="204"/>
    <s v="18/08/2025"/>
    <s v="Kavya Nair"/>
    <s v="Female"/>
    <s v="23/02/1981"/>
    <s v="Mumbai"/>
    <x v="2"/>
    <x v="2"/>
    <s v="Pen"/>
    <n v="13"/>
    <n v="20"/>
    <n v="5"/>
    <n v="247"/>
    <n v="3"/>
    <s v="NetBanking"/>
    <s v="Neha"/>
    <s v="KAvya.nair@company.com"/>
    <s v="9362758134"/>
    <s v="Pending"/>
  </r>
  <r>
    <s v="ORD10273"/>
    <s v="C007"/>
    <s v="P301"/>
    <x v="118"/>
    <s v="16/04/2026"/>
    <s v="Arjun Rao"/>
    <s v="Male"/>
    <s v="03/04/1985"/>
    <s v="Jaipur"/>
    <x v="1"/>
    <x v="2"/>
    <s v="Notebook"/>
    <n v="1"/>
    <n v="60"/>
    <n v="15"/>
    <n v="51"/>
    <n v="2"/>
    <s v="Card"/>
    <s v="Aisha"/>
    <s v="arjun.rao@company.com"/>
    <s v="9648541985"/>
    <s v="Cancelled"/>
  </r>
  <r>
    <s v="ORD10274"/>
    <s v="C010"/>
    <s v="P302"/>
    <x v="205"/>
    <s v="28/06/2025"/>
    <s v="Pooja Shah"/>
    <s v="Female"/>
    <s v="06/08/1976"/>
    <s v="Pune"/>
    <x v="2"/>
    <x v="2"/>
    <s v="Pen"/>
    <n v="5"/>
    <n v="20"/>
    <n v="5"/>
    <n v="95"/>
    <n v="2"/>
    <s v="NetBanking"/>
    <s v="Rahul"/>
    <s v="pooja.shah@company.com"/>
    <s v="9175002781"/>
    <s v="Pending"/>
  </r>
  <r>
    <s v="ORD10275"/>
    <s v="C005"/>
    <s v="P302"/>
    <x v="206"/>
    <s v="24/05/2025"/>
    <s v="Vikas Mehta"/>
    <s v="Male"/>
    <s v="13/05/1978"/>
    <s v="Kolkata"/>
    <x v="3"/>
    <x v="2"/>
    <s v="Pen"/>
    <n v="19"/>
    <n v="20"/>
    <n v="20"/>
    <n v="304"/>
    <n v="3"/>
    <s v="Cash"/>
    <s v="Ritika"/>
    <s v="vikas.mehta@company.com"/>
    <s v="9786241263"/>
    <s v="Cancelled"/>
  </r>
  <r>
    <s v="ORD10276"/>
    <s v="C002"/>
    <s v="P303"/>
    <x v="207"/>
    <s v="07/04/2025"/>
    <s v="Priya Patel"/>
    <s v="Female"/>
    <s v="19/08/1998"/>
    <s v="Ahmedabad"/>
    <x v="2"/>
    <x v="2"/>
    <s v="Marker"/>
    <n v="17"/>
    <n v="45"/>
    <n v="5"/>
    <n v="726.75"/>
    <n v="4"/>
    <s v="Cash"/>
    <s v="Neha"/>
    <s v="priYa.patel@company.com"/>
    <s v="9691078176"/>
    <s v="Pending"/>
  </r>
  <r>
    <s v="ORD10277"/>
    <s v="C007"/>
    <s v="P102"/>
    <x v="208"/>
    <s v="22/02/2026"/>
    <s v="Arjun Rao"/>
    <s v="Male"/>
    <s v="20/10/1975"/>
    <s v="Bengaluru"/>
    <x v="0"/>
    <x v="1"/>
    <s v="Mouse"/>
    <n v="8"/>
    <n v="700"/>
    <n v="15"/>
    <n v="4760"/>
    <n v="4"/>
    <s v="NetBanking"/>
    <s v="Ritika"/>
    <s v="arjun.rao@company.com"/>
    <s v="9336679085"/>
    <s v="Pending"/>
  </r>
  <r>
    <s v="ORD10278"/>
    <s v="C004"/>
    <s v="P202"/>
    <x v="209"/>
    <s v="29/01/2026"/>
    <s v="Anita Gupta"/>
    <s v="Female"/>
    <s v="28/09/1975"/>
    <s v="Mumbai"/>
    <x v="2"/>
    <x v="0"/>
    <s v="Iron"/>
    <n v="15"/>
    <n v="2200"/>
    <n v="10"/>
    <n v="29700"/>
    <n v="5"/>
    <s v="UPI"/>
    <s v="Karan"/>
    <s v="anita.gupta@company.com"/>
    <s v="9497351043"/>
    <s v="Completed"/>
  </r>
  <r>
    <s v="ORD10279"/>
    <s v="C002"/>
    <s v="P202"/>
    <x v="210"/>
    <s v="29/09/2025"/>
    <s v="Priya Patel"/>
    <s v="Female"/>
    <s v="23/09/2002"/>
    <s v="Mumbai"/>
    <x v="2"/>
    <x v="0"/>
    <s v="Iron"/>
    <n v="1"/>
    <n v="2200"/>
    <n v="0"/>
    <n v="2200"/>
    <n v="4"/>
    <s v="Cash"/>
    <s v="Rahul"/>
    <s v="priYa.patel@company.com"/>
    <s v="9357038998"/>
    <s v="Cancelled"/>
  </r>
  <r>
    <s v="ORD10280"/>
    <s v="C006"/>
    <s v="P201"/>
    <x v="139"/>
    <s v="30/06/2025"/>
    <s v="Sneha Joshi"/>
    <s v="Female"/>
    <s v="17/06/1988"/>
    <s v="Ahmedabad"/>
    <x v="2"/>
    <x v="0"/>
    <s v="Mixer"/>
    <n v="10"/>
    <n v="3500"/>
    <n v="10"/>
    <n v="31500"/>
    <n v="4"/>
    <s v="NetBanking"/>
    <s v="Ritika"/>
    <s v="sneha.joshi@company.com"/>
    <s v="9986371291"/>
    <s v="Cancelled"/>
  </r>
  <r>
    <s v="ORD10281"/>
    <s v="C009"/>
    <s v="P201"/>
    <x v="211"/>
    <s v="16/05/2025"/>
    <s v="Mohit Verma"/>
    <s v="Male"/>
    <s v="02/02/1991"/>
    <s v="Jaipur"/>
    <x v="1"/>
    <x v="0"/>
    <s v="Mixer"/>
    <n v="16"/>
    <n v="3500"/>
    <n v="15"/>
    <n v="47600"/>
    <n v="1"/>
    <s v="Card"/>
    <s v="Neha"/>
    <s v="mohit.verma@company.com"/>
    <s v="9397839191"/>
    <s v="Pending"/>
  </r>
  <r>
    <s v="ORD10282"/>
    <s v="C006"/>
    <s v="P104"/>
    <x v="212"/>
    <s v="18/09/2025"/>
    <s v="Sneha Joshi"/>
    <s v="Female"/>
    <s v="09/08/1978"/>
    <s v="Jaipur"/>
    <x v="1"/>
    <x v="1"/>
    <s v="Monitor"/>
    <n v="1"/>
    <n v="12000"/>
    <n v="0"/>
    <n v="12000"/>
    <n v="4"/>
    <s v="NetBanking"/>
    <s v="Neha"/>
    <s v="sneha.joshi@company.com"/>
    <s v="9162975843"/>
    <s v="Cancelled"/>
  </r>
  <r>
    <s v="ORD10283"/>
    <s v="C007"/>
    <s v="P102"/>
    <x v="213"/>
    <s v="29/04/2025"/>
    <s v="Arjun Rao"/>
    <s v="Male"/>
    <s v="02/02/1994"/>
    <s v="Mumbai"/>
    <x v="2"/>
    <x v="1"/>
    <s v="Mouse"/>
    <n v="6"/>
    <n v="700"/>
    <n v="20"/>
    <n v="3360"/>
    <n v="2"/>
    <s v="NetBanking"/>
    <s v="Neha"/>
    <s v="arjun.rao@company.com"/>
    <s v="9237616558"/>
    <s v="Pending"/>
  </r>
  <r>
    <s v="ORD10284"/>
    <s v="C009"/>
    <s v="P202"/>
    <x v="214"/>
    <s v="27/02/2026"/>
    <s v="Mohit Verma"/>
    <s v="Male"/>
    <s v="28/03/1995"/>
    <s v="Ahmedabad"/>
    <x v="2"/>
    <x v="0"/>
    <s v="Iron"/>
    <n v="3"/>
    <n v="2200"/>
    <n v="0"/>
    <n v="6600"/>
    <n v="4"/>
    <s v="Card"/>
    <s v="Ritika"/>
    <s v="mohit.verma@company.com"/>
    <s v="9935063989"/>
    <s v="Completed"/>
  </r>
  <r>
    <s v="ORD10285"/>
    <s v="C006"/>
    <s v="P303"/>
    <x v="194"/>
    <s v="01/01/2026"/>
    <s v="Sneha Joshi"/>
    <s v="Female"/>
    <s v="12/03/1992"/>
    <s v="Hyderabad"/>
    <x v="0"/>
    <x v="2"/>
    <s v="Marker"/>
    <n v="6"/>
    <n v="45"/>
    <n v="15"/>
    <n v="229.5"/>
    <n v="1"/>
    <s v="UPI"/>
    <s v="Rahul"/>
    <s v="sneha.joshi@company.com"/>
    <s v="9167376169"/>
    <s v="Completed"/>
  </r>
  <r>
    <s v="ORD10286"/>
    <s v="C006"/>
    <s v="P103"/>
    <x v="215"/>
    <s v="30/09/2025"/>
    <s v="Sneha Joshi"/>
    <s v="Female"/>
    <s v="23/01/1981"/>
    <s v="Bengaluru"/>
    <x v="0"/>
    <x v="1"/>
    <s v="Keyboard"/>
    <n v="2"/>
    <n v="1200"/>
    <n v="0"/>
    <n v="2400"/>
    <n v="1"/>
    <s v="Cash"/>
    <s v="Karan"/>
    <s v="sneha.joshi@company.com"/>
    <s v="9231845497"/>
    <s v="Cancelled"/>
  </r>
  <r>
    <s v="ORD10287"/>
    <s v="C004"/>
    <s v="P102"/>
    <x v="216"/>
    <s v="11/05/2026"/>
    <s v="Anita Gupta"/>
    <s v="Female"/>
    <s v="28/09/1984"/>
    <s v="Hyderabad"/>
    <x v="0"/>
    <x v="1"/>
    <s v="Mouse"/>
    <n v="14"/>
    <n v="700"/>
    <n v="15"/>
    <n v="8330"/>
    <n v="5"/>
    <s v="Cash"/>
    <s v="Neha"/>
    <s v="anita.gupta@company.com"/>
    <s v="9409415805"/>
    <s v="Pending"/>
  </r>
  <r>
    <s v="ORD10288"/>
    <s v="C002"/>
    <s v="P302"/>
    <x v="35"/>
    <s v="06/11/2025"/>
    <s v="Priya Patel"/>
    <s v="Female"/>
    <s v="06/11/1975"/>
    <s v="Mumbai"/>
    <x v="2"/>
    <x v="2"/>
    <s v="Pen"/>
    <n v="13"/>
    <n v="20"/>
    <n v="5"/>
    <n v="247"/>
    <n v="1"/>
    <s v="Card"/>
    <s v="Ritika"/>
    <s v="priya.patecompany.com"/>
    <s v="9240800508"/>
    <s v="Pending"/>
  </r>
  <r>
    <s v="ORD10289"/>
    <s v="C009"/>
    <s v="P202"/>
    <x v="11"/>
    <s v="15/03/2025"/>
    <s v="Mohit Verma"/>
    <s v="Male"/>
    <s v="26/06/1995"/>
    <s v="Pune"/>
    <x v="2"/>
    <x v="0"/>
    <s v="Iron"/>
    <n v="3"/>
    <n v="2200"/>
    <n v="0"/>
    <n v="6600"/>
    <n v="4"/>
    <s v="NetBanking"/>
    <s v="Aisha"/>
    <s v="mohit.verma@company.com"/>
    <s v="9764609936"/>
    <s v="Cancelled"/>
  </r>
  <r>
    <s v="ORD10290"/>
    <s v="C009"/>
    <s v="P301"/>
    <x v="63"/>
    <s v="21/02/2026"/>
    <s v="Mohit Verma"/>
    <s v="Male"/>
    <s v="21/11/1979"/>
    <s v="Pune"/>
    <x v="2"/>
    <x v="2"/>
    <s v="Notebook"/>
    <n v="3"/>
    <n v="60"/>
    <n v="15"/>
    <n v="153"/>
    <n v="4"/>
    <s v="UPI"/>
    <s v="Neha"/>
    <s v="mohit.verma@company.com"/>
    <s v="9362733217"/>
    <s v="Completed"/>
  </r>
  <r>
    <s v="ORD10291"/>
    <s v="C003"/>
    <s v="P201"/>
    <x v="98"/>
    <s v="23/03/2025"/>
    <s v="Rohit Singh"/>
    <s v="Male"/>
    <s v="28/01/1987"/>
    <s v="Mumbai"/>
    <x v="2"/>
    <x v="0"/>
    <s v="Mixer"/>
    <n v="9"/>
    <n v="3500"/>
    <n v="5"/>
    <n v="29925"/>
    <n v="1"/>
    <s v="Cash"/>
    <s v="Aisha"/>
    <s v="rohit.singh@company.com"/>
    <s v="9270466205"/>
    <s v="Pending"/>
  </r>
  <r>
    <s v="ORD10292"/>
    <s v="C001"/>
    <s v="P103"/>
    <x v="217"/>
    <s v="01/04/2025"/>
    <s v="Amit Sharma"/>
    <s v="Male"/>
    <s v="08/02/2001"/>
    <s v="Jaipur"/>
    <x v="1"/>
    <x v="1"/>
    <s v="Keyboard"/>
    <n v="5"/>
    <n v="1200"/>
    <n v="20"/>
    <n v="4800"/>
    <n v="2"/>
    <s v="UPI"/>
    <s v="Neha"/>
    <s v="amit.sharma@company.com"/>
    <s v="9571436865"/>
    <s v="Pending"/>
  </r>
  <r>
    <s v="ORD10293"/>
    <s v="C010"/>
    <s v="P103"/>
    <x v="218"/>
    <s v="14/03/2025"/>
    <s v="Pooja Shah"/>
    <s v="Female"/>
    <s v="14/12/1989"/>
    <s v="Jaipur"/>
    <x v="1"/>
    <x v="1"/>
    <s v="Keyboard"/>
    <n v="10"/>
    <n v="1200"/>
    <n v="20"/>
    <n v="9600"/>
    <n v="4"/>
    <s v="Cash"/>
    <s v="Rahul"/>
    <s v="pooja.shah@company.com"/>
    <s v="9307011171"/>
    <s v="Completed"/>
  </r>
  <r>
    <s v="ORD10294"/>
    <s v="C008"/>
    <s v="P103"/>
    <x v="219"/>
    <s v="24/02/2026"/>
    <s v="Kavya Nair"/>
    <s v="Female"/>
    <s v="15/12/1988"/>
    <s v="Ahmedabad"/>
    <x v="2"/>
    <x v="1"/>
    <s v="Keyboard"/>
    <n v="5"/>
    <n v="1200"/>
    <n v="20"/>
    <n v="4800"/>
    <n v="3"/>
    <s v="NetBanking"/>
    <s v="Karan"/>
    <s v="KAvya.nair@company.com"/>
    <s v="9922380435"/>
    <s v="Completed"/>
  </r>
  <r>
    <s v="ORD10295"/>
    <s v="C004"/>
    <s v="P302"/>
    <x v="220"/>
    <s v="14/02/2025"/>
    <s v="Anita Gupta"/>
    <s v="Female"/>
    <s v="20/10/1990"/>
    <s v="Mumbai"/>
    <x v="2"/>
    <x v="2"/>
    <s v="Pen"/>
    <n v="10"/>
    <n v="20"/>
    <n v="5"/>
    <n v="190"/>
    <n v="4"/>
    <s v="Cash"/>
    <s v="Karan"/>
    <s v="anita.gupta@company.com"/>
    <s v="9463618792"/>
    <s v="Pending"/>
  </r>
  <r>
    <s v="ORD10296"/>
    <s v="C002"/>
    <s v="P301"/>
    <x v="221"/>
    <s v="27/01/2025"/>
    <s v="Priya Patel"/>
    <s v="Female"/>
    <s v="08/09/1978"/>
    <s v="Delhi"/>
    <x v="1"/>
    <x v="2"/>
    <s v="Notebook"/>
    <n v="20"/>
    <n v="60"/>
    <n v="15"/>
    <n v="1020"/>
    <n v="5"/>
    <s v="Card"/>
    <s v="Ritika"/>
    <s v="priYa.patel@company.com"/>
    <s v="9954973200"/>
    <s v="Pending"/>
  </r>
  <r>
    <s v="ORD10297"/>
    <s v="C001"/>
    <s v="P202"/>
    <x v="222"/>
    <s v="12/04/2025"/>
    <s v="Amit Sharma"/>
    <s v="Male"/>
    <s v="09/02/1978"/>
    <s v="Ahmedabad"/>
    <x v="2"/>
    <x v="0"/>
    <s v="Iron"/>
    <n v="7"/>
    <n v="2200"/>
    <n v="15"/>
    <n v="13090"/>
    <n v="4"/>
    <s v="Cash"/>
    <s v="Aisha"/>
    <s v="amit.sharma@company.com"/>
    <s v="9383199236"/>
    <s v="Cancelled"/>
  </r>
  <r>
    <s v="ORD10298"/>
    <s v="C003"/>
    <s v="P101"/>
    <x v="97"/>
    <s v="16/01/2025"/>
    <s v="Rohit Singh"/>
    <s v="Male"/>
    <s v="03/01/2004"/>
    <s v="Hyderabad"/>
    <x v="0"/>
    <x v="1"/>
    <s v="Laptop"/>
    <n v="11"/>
    <n v="55000"/>
    <n v="5"/>
    <n v="574750"/>
    <n v="1"/>
    <s v="UPI"/>
    <s v="Ritika"/>
    <s v="rohit.singh@company.com"/>
    <s v="9482699727"/>
    <s v="Cancelled"/>
  </r>
  <r>
    <s v="ORD10299"/>
    <s v="C007"/>
    <s v="P201"/>
    <x v="38"/>
    <s v="17/10/2025"/>
    <s v="Arjun Rao"/>
    <s v="Male"/>
    <s v="02/05/1992"/>
    <s v="Jaipur"/>
    <x v="1"/>
    <x v="0"/>
    <s v="Mixer"/>
    <n v="12"/>
    <n v="3500"/>
    <n v="0"/>
    <n v="42000"/>
    <n v="2"/>
    <s v="NetBanking"/>
    <s v="Not Assigned"/>
    <s v="arjun.rao@company.com"/>
    <s v="9332473934"/>
    <s v="Pending"/>
  </r>
  <r>
    <s v="ORD10300"/>
    <s v="C009"/>
    <s v="P303"/>
    <x v="223"/>
    <s v="08/03/2026"/>
    <s v="Mohit Verma"/>
    <s v="Male"/>
    <s v="26/01/2003"/>
    <s v="Hyderabad"/>
    <x v="0"/>
    <x v="2"/>
    <s v="Marker"/>
    <n v="15"/>
    <n v="45"/>
    <n v="10"/>
    <n v="607.5"/>
    <n v="2"/>
    <s v="Cash"/>
    <s v="Karan"/>
    <s v="mohit.verma@company.com"/>
    <s v="9647657382"/>
    <s v="Pending"/>
  </r>
  <r>
    <s v="ORD10301"/>
    <s v="C001"/>
    <s v="P303"/>
    <x v="224"/>
    <s v="26/05/2025"/>
    <s v="Amit Sharma"/>
    <s v="Male"/>
    <s v="20/05/1987"/>
    <s v="Bengaluru"/>
    <x v="0"/>
    <x v="2"/>
    <s v="Marker"/>
    <n v="13"/>
    <n v="45"/>
    <n v="0"/>
    <n v="585"/>
    <n v="5"/>
    <s v="NetBanking"/>
    <s v="Rahul"/>
    <s v="amit.sharma@company.com"/>
    <s v="9736797776"/>
    <s v="Pending"/>
  </r>
  <r>
    <s v="ORD10302"/>
    <s v="C003"/>
    <s v="P101"/>
    <x v="113"/>
    <s v="05/01/2026"/>
    <s v="Rohit Singh"/>
    <s v="Male"/>
    <s v="07/09/1975"/>
    <s v="Bengaluru"/>
    <x v="0"/>
    <x v="1"/>
    <s v="Laptop"/>
    <n v="8"/>
    <n v="55000"/>
    <n v="0"/>
    <n v="440000"/>
    <n v="2"/>
    <s v="UPI"/>
    <s v="Karan"/>
    <s v="rohit.singh@company.com"/>
    <s v="9745773533"/>
    <s v="Cancelled"/>
  </r>
  <r>
    <s v="ORD10303"/>
    <s v="C006"/>
    <s v="P101"/>
    <x v="225"/>
    <s v="27/07/2025"/>
    <s v="Sneha Joshi"/>
    <s v="Female"/>
    <s v="10/08/1980"/>
    <s v="Delhi"/>
    <x v="1"/>
    <x v="1"/>
    <s v="Laptop"/>
    <n v="4"/>
    <n v="55000"/>
    <n v="20"/>
    <n v="176000"/>
    <n v="5"/>
    <s v="Cash"/>
    <s v="Rahul"/>
    <s v="sneha.joshi@company.com"/>
    <s v="9246715757"/>
    <s v="Pending"/>
  </r>
  <r>
    <s v="ORD10304"/>
    <s v="C008"/>
    <s v="P201"/>
    <x v="226"/>
    <s v="26/04/2026"/>
    <s v="Kavya Nair"/>
    <s v="Female"/>
    <s v="07/04/1989"/>
    <s v="Ahmedabad"/>
    <x v="2"/>
    <x v="0"/>
    <s v="Mixer"/>
    <n v="19"/>
    <n v="3500"/>
    <n v="5"/>
    <n v="63175"/>
    <n v="1"/>
    <s v="Card"/>
    <s v="Neha"/>
    <s v="KAvya.nair@company.com"/>
    <s v="9904065774"/>
    <s v="Completed"/>
  </r>
  <r>
    <s v="ORD10305"/>
    <s v="C005"/>
    <s v="P103"/>
    <x v="227"/>
    <s v="06/03/2025"/>
    <s v="Vikas Mehta"/>
    <s v="Male"/>
    <s v="20/08/1998"/>
    <s v="Jaipur"/>
    <x v="1"/>
    <x v="1"/>
    <s v="Keyboard"/>
    <n v="17"/>
    <n v="1200"/>
    <n v="15"/>
    <n v="17340"/>
    <n v="2"/>
    <s v="NetBanking"/>
    <s v="Rahul"/>
    <s v="vikas.mehta@company.com"/>
    <s v="9652985385"/>
    <s v="Completed"/>
  </r>
  <r>
    <s v="ORD10306"/>
    <s v="C008"/>
    <s v="P202"/>
    <x v="63"/>
    <s v="17/02/2026"/>
    <s v="Kavya Nair"/>
    <s v="Female"/>
    <s v="03/04/2001"/>
    <s v="Hyderabad"/>
    <x v="0"/>
    <x v="0"/>
    <s v="Iron"/>
    <n v="8"/>
    <n v="2200"/>
    <n v="5"/>
    <n v="16720"/>
    <n v="3"/>
    <s v="Card"/>
    <s v="Neha"/>
    <s v="KAvya.nair@company.com"/>
    <s v="9427001508"/>
    <s v="Pending"/>
  </r>
  <r>
    <s v="ORD10307"/>
    <s v="C006"/>
    <s v="P102"/>
    <x v="158"/>
    <s v="26/02/2025"/>
    <s v="Sneha Joshi"/>
    <s v="Female"/>
    <s v="05/03/1992"/>
    <s v="Mumbai"/>
    <x v="2"/>
    <x v="1"/>
    <s v="Mouse"/>
    <n v="17"/>
    <n v="700"/>
    <n v="20"/>
    <n v="9520"/>
    <n v="4"/>
    <s v="NetBanking"/>
    <s v="Neha"/>
    <s v="sneha.joshi@company.com"/>
    <s v="9666803655"/>
    <s v="Completed"/>
  </r>
  <r>
    <s v="ORD10308"/>
    <s v="C006"/>
    <s v="P203"/>
    <x v="228"/>
    <s v="08/09/2025"/>
    <s v="Sneha Joshi"/>
    <s v="Female"/>
    <s v="28/12/1976"/>
    <s v="Pune"/>
    <x v="2"/>
    <x v="0"/>
    <s v="Microwave"/>
    <n v="6"/>
    <n v="8500"/>
    <n v="15"/>
    <n v="43350"/>
    <n v="1"/>
    <s v="Cash"/>
    <s v="Aisha"/>
    <s v="sneha.joshi@company.com"/>
    <s v="9134878547"/>
    <s v="Completed"/>
  </r>
  <r>
    <s v="ORD10309"/>
    <s v="C010"/>
    <s v="P201"/>
    <x v="229"/>
    <s v="11/10/2025"/>
    <s v="Pooja Shah"/>
    <s v="Female"/>
    <s v="04/09/1986"/>
    <s v="Hyderabad"/>
    <x v="0"/>
    <x v="0"/>
    <s v="Mixer"/>
    <n v="3"/>
    <n v="3500"/>
    <n v="10"/>
    <n v="9450"/>
    <n v="1"/>
    <s v="NetBanking"/>
    <s v="Rahul"/>
    <s v="pooja.shah@company.com"/>
    <s v="9253593557"/>
    <s v="Completed"/>
  </r>
  <r>
    <s v="ORD10310"/>
    <s v="C009"/>
    <s v="P104"/>
    <x v="221"/>
    <s v="29/01/2025"/>
    <s v="Mohit Verma"/>
    <s v="Male"/>
    <s v="14/08/1989"/>
    <s v="Ahmedabad"/>
    <x v="2"/>
    <x v="1"/>
    <s v="Monitor"/>
    <n v="2"/>
    <n v="12000"/>
    <n v="20"/>
    <n v="19200"/>
    <n v="1"/>
    <s v="Card"/>
    <s v="Aisha"/>
    <s v="mohit.verma@company.com"/>
    <s v="9183094051"/>
    <s v="Completed"/>
  </r>
  <r>
    <s v="ORD10311"/>
    <s v="C005"/>
    <s v="P302"/>
    <x v="44"/>
    <s v="16/10/2025"/>
    <s v="Vikas Mehta"/>
    <s v="Male"/>
    <s v="02/03/1991"/>
    <s v="Delhi"/>
    <x v="1"/>
    <x v="2"/>
    <s v="Pen"/>
    <n v="12"/>
    <n v="20"/>
    <n v="20"/>
    <n v="192"/>
    <n v="2"/>
    <s v="Card"/>
    <s v="Rahul"/>
    <s v="vikas.mehta@company.com"/>
    <s v="9293147620"/>
    <s v="Completed"/>
  </r>
  <r>
    <s v="ORD10312"/>
    <s v="C002"/>
    <s v="P104"/>
    <x v="230"/>
    <s v="28/04/2026"/>
    <s v="Priya Patel"/>
    <s v="Female"/>
    <s v="13/08/1989"/>
    <s v="Kolkata"/>
    <x v="3"/>
    <x v="1"/>
    <s v="Monitor"/>
    <n v="20"/>
    <n v="12000"/>
    <n v="15"/>
    <n v="204000"/>
    <n v="3"/>
    <s v="Cash"/>
    <s v="Ritika"/>
    <s v="priYa.patel@company.com"/>
    <s v="9755583734"/>
    <s v="Pending"/>
  </r>
  <r>
    <s v="ORD10313"/>
    <s v="C010"/>
    <s v="P301"/>
    <x v="54"/>
    <s v="04/04/2026"/>
    <s v="Pooja Shah"/>
    <s v="Female"/>
    <s v="02/02/2003"/>
    <s v="Jaipur"/>
    <x v="1"/>
    <x v="2"/>
    <s v="Notebook"/>
    <n v="13"/>
    <n v="60"/>
    <n v="10"/>
    <n v="702"/>
    <n v="5"/>
    <s v="Cash"/>
    <s v="Ritika"/>
    <s v="pooja.shah@company.com"/>
    <s v="9186592813"/>
    <s v="Pending"/>
  </r>
  <r>
    <s v="ORD10314"/>
    <s v="C009"/>
    <s v="P101"/>
    <x v="231"/>
    <s v="19/05/2025"/>
    <s v="Mohit Verma"/>
    <s v="Male"/>
    <s v="16/11/1995"/>
    <s v="Pune"/>
    <x v="2"/>
    <x v="1"/>
    <s v="Laptop"/>
    <n v="13"/>
    <n v="55000"/>
    <n v="5"/>
    <n v="679250"/>
    <n v="1"/>
    <s v="UPI"/>
    <s v="Karan"/>
    <s v="mohit.verma@company.com"/>
    <s v="9203482008"/>
    <s v="Pending"/>
  </r>
  <r>
    <s v="ORD10315"/>
    <s v="C002"/>
    <s v="P103"/>
    <x v="128"/>
    <s v="10/03/2026"/>
    <s v="Priya Patel"/>
    <s v="Female"/>
    <s v="24/11/1989"/>
    <s v="Bengaluru"/>
    <x v="0"/>
    <x v="1"/>
    <s v="Keyboard"/>
    <n v="7"/>
    <n v="1200"/>
    <n v="15"/>
    <n v="7140"/>
    <n v="5"/>
    <s v="UPI"/>
    <s v="Rahul"/>
    <s v="priYa.patel@company.com"/>
    <s v="9829888777"/>
    <s v="Pending"/>
  </r>
  <r>
    <s v="ORD10316"/>
    <s v="C007"/>
    <s v="P104"/>
    <x v="232"/>
    <s v="30/12/2025"/>
    <s v="Arjun Rao"/>
    <s v="Male"/>
    <s v="20/04/1988"/>
    <s v="Jaipur"/>
    <x v="1"/>
    <x v="1"/>
    <s v="Monitor"/>
    <n v="17"/>
    <n v="12000"/>
    <n v="5"/>
    <n v="193800"/>
    <n v="1"/>
    <s v="Cash"/>
    <s v="Aisha"/>
    <s v="arjun.rao@company.com"/>
    <s v="9566101317"/>
    <s v="Cancelled"/>
  </r>
  <r>
    <s v="ORD10317"/>
    <s v="C007"/>
    <s v="P302"/>
    <x v="47"/>
    <s v="25/04/2026"/>
    <s v="Arjun Rao"/>
    <s v="Male"/>
    <s v="02/11/1978"/>
    <s v="Bengaluru"/>
    <x v="0"/>
    <x v="2"/>
    <s v="Pen"/>
    <n v="10"/>
    <n v="20"/>
    <n v="5"/>
    <n v="190"/>
    <n v="2"/>
    <s v="Cash"/>
    <s v="Aisha"/>
    <s v="arjun.rao@company.com"/>
    <s v="9706240823"/>
    <s v="Cancelled"/>
  </r>
  <r>
    <s v="ORD10318"/>
    <s v="C004"/>
    <s v="P202"/>
    <x v="35"/>
    <s v="08/11/2025"/>
    <s v="Anita Gupta"/>
    <s v="Female"/>
    <s v="13/12/1989"/>
    <s v="Delhi"/>
    <x v="1"/>
    <x v="0"/>
    <s v="Iron"/>
    <n v="11"/>
    <n v="2200"/>
    <n v="5"/>
    <n v="22990"/>
    <n v="5"/>
    <s v="Card"/>
    <s v="Rahul"/>
    <s v="anita.gupta@company.com"/>
    <s v="9259943760"/>
    <s v="Pending"/>
  </r>
  <r>
    <s v="ORD10319"/>
    <s v="C002"/>
    <s v="P301"/>
    <x v="233"/>
    <s v="28/02/2026"/>
    <s v="Priya Patel"/>
    <s v="Female"/>
    <s v="08/01/1995"/>
    <s v="Jaipur"/>
    <x v="1"/>
    <x v="2"/>
    <s v="Notebook"/>
    <n v="8"/>
    <n v="60"/>
    <n v="15"/>
    <n v="408"/>
    <n v="4"/>
    <s v="Cash"/>
    <s v="Rahul"/>
    <s v="priYa.patel@company.com"/>
    <s v="9527326977"/>
    <s v="Pending"/>
  </r>
  <r>
    <s v="ORD10320"/>
    <s v="C005"/>
    <s v="P303"/>
    <x v="195"/>
    <s v="25/03/2025"/>
    <s v="Vikas Mehta"/>
    <s v="Male"/>
    <s v="23/10/1994"/>
    <s v="Delhi"/>
    <x v="1"/>
    <x v="2"/>
    <s v="Marker"/>
    <n v="17"/>
    <n v="45"/>
    <n v="15"/>
    <n v="650.25"/>
    <n v="2"/>
    <s v="UPI"/>
    <s v="Karan"/>
    <s v="vikas.mehta@company.com"/>
    <s v="9886970990"/>
    <s v="Completed"/>
  </r>
  <r>
    <s v="ORD10321"/>
    <s v="C001"/>
    <s v="P102"/>
    <x v="234"/>
    <s v="10/03/2025"/>
    <s v="Amit Sharma"/>
    <s v="Male"/>
    <s v="21/05/1996"/>
    <s v="Jaipur"/>
    <x v="1"/>
    <x v="1"/>
    <s v="Mouse"/>
    <n v="14"/>
    <n v="700"/>
    <n v="15"/>
    <n v="8330"/>
    <n v="1"/>
    <s v="Card"/>
    <s v="Neha"/>
    <s v="amit.sharma@company.com"/>
    <s v="9106930369"/>
    <s v="Completed"/>
  </r>
  <r>
    <s v="ORD10322"/>
    <s v="C007"/>
    <s v="P103"/>
    <x v="235"/>
    <s v="14/06/2025"/>
    <s v="Arjun Rao"/>
    <s v="Male"/>
    <s v="26/05/1982"/>
    <s v="Pune"/>
    <x v="2"/>
    <x v="1"/>
    <s v="Keyboard"/>
    <n v="3"/>
    <n v="1200"/>
    <n v="5"/>
    <n v="3420"/>
    <n v="3"/>
    <s v="NetBanking"/>
    <s v="Karan"/>
    <s v="arjun.rao@company.com"/>
    <s v="9342009114"/>
    <s v="Completed"/>
  </r>
  <r>
    <s v="ORD10323"/>
    <s v="C008"/>
    <s v="P103"/>
    <x v="130"/>
    <s v="16/07/2025"/>
    <s v="Kavya Nair"/>
    <s v="Female"/>
    <s v="22/11/2001"/>
    <s v="Ahmedabad"/>
    <x v="2"/>
    <x v="1"/>
    <s v="Keyboard"/>
    <n v="9"/>
    <n v="1200"/>
    <n v="15"/>
    <n v="9180"/>
    <n v="3"/>
    <s v="Cash"/>
    <s v="Rahul"/>
    <s v="KAvya.nair@company.com"/>
    <s v="9992739960"/>
    <s v="Completed"/>
  </r>
  <r>
    <s v="ORD10324"/>
    <s v="C006"/>
    <s v="P302"/>
    <x v="114"/>
    <s v="21/04/2026"/>
    <s v="Sneha Joshi"/>
    <s v="Female"/>
    <s v="26/02/1989"/>
    <s v="Mumbai"/>
    <x v="2"/>
    <x v="2"/>
    <s v="Pen"/>
    <n v="5"/>
    <n v="20"/>
    <n v="5"/>
    <n v="95"/>
    <n v="4"/>
    <s v="Cash"/>
    <s v="Karan"/>
    <s v="sneha.joshi@company.com"/>
    <s v="9241987748"/>
    <s v="Completed"/>
  </r>
  <r>
    <s v="ORD10325"/>
    <s v="C006"/>
    <s v="P202"/>
    <x v="236"/>
    <s v="21/12/2025"/>
    <s v="Sneha Joshi"/>
    <s v="Female"/>
    <s v="18/08/1985"/>
    <s v="Ahmedabad"/>
    <x v="2"/>
    <x v="0"/>
    <s v="Iron"/>
    <n v="8"/>
    <n v="2200"/>
    <n v="10"/>
    <n v="15840"/>
    <n v="4"/>
    <s v="UPI"/>
    <s v="Aisha"/>
    <s v="sneha.joshi@company.com"/>
    <s v="9571990711"/>
    <s v="Cancelled"/>
  </r>
  <r>
    <s v="ORD10326"/>
    <s v="C006"/>
    <s v="P102"/>
    <x v="36"/>
    <s v="12/03/2026"/>
    <s v="Sneha Joshi"/>
    <s v="Female"/>
    <s v="03/01/1980"/>
    <s v="Mumbai"/>
    <x v="2"/>
    <x v="1"/>
    <s v="Mouse"/>
    <n v="10"/>
    <n v="700"/>
    <n v="20"/>
    <n v="5600"/>
    <n v="1"/>
    <s v="UPI"/>
    <s v="Neha"/>
    <s v="sneha.joshi@company.com"/>
    <s v="9219231183"/>
    <s v="Completed"/>
  </r>
  <r>
    <s v="ORD10327"/>
    <s v="C007"/>
    <s v="P102"/>
    <x v="237"/>
    <s v="28/11/2025"/>
    <s v="Arjun Rao"/>
    <s v="Male"/>
    <s v="08/01/1978"/>
    <s v="Bengaluru"/>
    <x v="0"/>
    <x v="1"/>
    <s v="Mouse"/>
    <n v="2"/>
    <n v="700"/>
    <n v="20"/>
    <n v="1120"/>
    <n v="2"/>
    <s v="Cash"/>
    <s v="Neha"/>
    <s v="arjun.rao@company.com"/>
    <s v="9847386174"/>
    <s v="Pending"/>
  </r>
  <r>
    <s v="ORD10328"/>
    <s v="C005"/>
    <s v="P201"/>
    <x v="139"/>
    <s v="28/06/2025"/>
    <s v="Vikas Mehta"/>
    <s v="Male"/>
    <s v="05/08/1992"/>
    <s v="Pune"/>
    <x v="2"/>
    <x v="0"/>
    <s v="Mixer"/>
    <n v="16"/>
    <n v="3500"/>
    <n v="20"/>
    <n v="44800"/>
    <n v="2"/>
    <s v="UPI"/>
    <s v="Ritika"/>
    <s v="vikas.mehta@company.com"/>
    <s v="9941274924"/>
    <s v="Pending"/>
  </r>
  <r>
    <s v="ORD10329"/>
    <s v="C004"/>
    <s v="P201"/>
    <x v="135"/>
    <s v="01/08/2025"/>
    <s v="Anita Gupta"/>
    <s v="Female"/>
    <s v="28/12/2004"/>
    <s v="Delhi"/>
    <x v="1"/>
    <x v="0"/>
    <s v="Mixer"/>
    <n v="9"/>
    <n v="3500"/>
    <n v="20"/>
    <n v="25200"/>
    <n v="1"/>
    <s v="Card"/>
    <s v="Rahul"/>
    <s v="anita.gupta@company.com"/>
    <s v="9950650508"/>
    <s v="Cancelled"/>
  </r>
  <r>
    <s v="ORD10330"/>
    <s v="C003"/>
    <s v="P102"/>
    <x v="238"/>
    <s v="30/10/2025"/>
    <s v="Rohit Singh"/>
    <s v="Male"/>
    <s v="07/01/2003"/>
    <s v="Hyderabad"/>
    <x v="0"/>
    <x v="1"/>
    <s v="Mouse"/>
    <n v="15"/>
    <n v="700"/>
    <n v="5"/>
    <n v="9975"/>
    <n v="1"/>
    <s v="Cash"/>
    <s v="Rahul"/>
    <s v="rohit.singh@company.com"/>
    <s v="9464035549"/>
    <s v="Cancelled"/>
  </r>
  <r>
    <s v="ORD10331"/>
    <s v="C010"/>
    <s v="P103"/>
    <x v="239"/>
    <s v="10/03/2026"/>
    <s v="Pooja Shah"/>
    <s v="Female"/>
    <s v="09/03/1993"/>
    <s v="Ahmedabad"/>
    <x v="2"/>
    <x v="1"/>
    <s v="Keyboard"/>
    <n v="13"/>
    <n v="1200"/>
    <n v="0"/>
    <n v="15600"/>
    <n v="3"/>
    <s v="NetBanking"/>
    <s v="Neha"/>
    <s v="pooja.shah@company.com"/>
    <s v="9142334315"/>
    <s v="Cancelled"/>
  </r>
  <r>
    <s v="ORD10332"/>
    <s v="C001"/>
    <s v="P104"/>
    <x v="240"/>
    <s v="07/09/2025"/>
    <s v="Amit Sharma"/>
    <s v="Male"/>
    <s v="03/06/1993"/>
    <s v="Delhi"/>
    <x v="1"/>
    <x v="1"/>
    <s v="Monitor"/>
    <n v="5"/>
    <n v="12000"/>
    <n v="10"/>
    <n v="54000"/>
    <n v="3"/>
    <s v="UPI"/>
    <s v="Rahul"/>
    <s v="amit.sharma@company.com"/>
    <s v="9123961962"/>
    <s v="Completed"/>
  </r>
  <r>
    <s v="ORD10333"/>
    <s v="C010"/>
    <s v="P303"/>
    <x v="241"/>
    <s v="08/04/2025"/>
    <s v="Pooja Shah"/>
    <s v="Female"/>
    <s v="10/12/1999"/>
    <s v="Bengaluru"/>
    <x v="0"/>
    <x v="2"/>
    <s v="Marker"/>
    <n v="12"/>
    <n v="45"/>
    <n v="20"/>
    <n v="432"/>
    <n v="3"/>
    <s v="NetBanking"/>
    <s v="Aisha"/>
    <s v="pooja.shah@company.com"/>
    <s v="9741953402"/>
    <s v="Completed"/>
  </r>
  <r>
    <s v="ORD10334"/>
    <s v="C008"/>
    <s v="P201"/>
    <x v="103"/>
    <s v="14/04/2025"/>
    <s v="Kavya Nair"/>
    <s v="Female"/>
    <s v="06/06/1976"/>
    <s v="Bengaluru"/>
    <x v="0"/>
    <x v="0"/>
    <s v="Mixer"/>
    <n v="2"/>
    <n v="3500"/>
    <n v="0"/>
    <n v="7000"/>
    <n v="1"/>
    <s v="NetBanking"/>
    <s v="Neha"/>
    <s v="KAvya.nair@company.com"/>
    <s v="9404733633"/>
    <s v="Pending"/>
  </r>
  <r>
    <s v="ORD10335"/>
    <s v="C008"/>
    <s v="P202"/>
    <x v="58"/>
    <s v="16/05/2026"/>
    <s v="Kavya Nair"/>
    <s v="Female"/>
    <s v="27/10/1984"/>
    <s v="Pune"/>
    <x v="2"/>
    <x v="0"/>
    <s v="Iron"/>
    <n v="15"/>
    <n v="2200"/>
    <n v="15"/>
    <n v="28050"/>
    <n v="2"/>
    <s v="NetBanking"/>
    <s v="Rahul"/>
    <s v="KAvya.nair@company.com"/>
    <s v="9297492337"/>
    <s v="Pending"/>
  </r>
  <r>
    <s v="ORD10336"/>
    <s v="C002"/>
    <s v="P302"/>
    <x v="242"/>
    <s v="12/12/2025"/>
    <s v="Priya Patel"/>
    <s v="Female"/>
    <s v="28/02/1975"/>
    <s v="Ahmedabad"/>
    <x v="2"/>
    <x v="2"/>
    <s v="Pen"/>
    <n v="8"/>
    <n v="20"/>
    <n v="20"/>
    <n v="128"/>
    <n v="5"/>
    <s v="UPI"/>
    <s v="Rahul"/>
    <s v="priYa.patel@company.com"/>
    <s v="9350338928"/>
    <s v="Completed"/>
  </r>
  <r>
    <s v="ORD10337"/>
    <s v="C003"/>
    <s v="P302"/>
    <x v="36"/>
    <s v="10/03/2026"/>
    <s v="Rohit Singh"/>
    <s v="Male"/>
    <s v="19/10/1993"/>
    <s v="Hyderabad"/>
    <x v="0"/>
    <x v="2"/>
    <s v="Pen"/>
    <n v="1"/>
    <n v="20"/>
    <n v="0"/>
    <n v="20"/>
    <n v="3"/>
    <s v="UPI"/>
    <s v="Ritika"/>
    <s v="rohit.singh@company.com"/>
    <s v="9933894798"/>
    <s v="Completed"/>
  </r>
  <r>
    <s v="ORD10338"/>
    <s v="C008"/>
    <s v="P102"/>
    <x v="243"/>
    <s v="16/01/2026"/>
    <s v="Kavya Nair"/>
    <s v="Female"/>
    <s v="25/10/1983"/>
    <s v="Jaipur"/>
    <x v="1"/>
    <x v="1"/>
    <s v="Mouse"/>
    <n v="15"/>
    <n v="700"/>
    <n v="0"/>
    <n v="10500"/>
    <n v="2"/>
    <s v="UPI"/>
    <s v="Rahul"/>
    <s v="KAvya.nair@company.com"/>
    <s v="9705218824"/>
    <s v="Completed"/>
  </r>
  <r>
    <s v="ORD10339"/>
    <s v="C001"/>
    <s v="P201"/>
    <x v="149"/>
    <s v="10/02/2025"/>
    <s v="Amit Sharma"/>
    <s v="Male"/>
    <s v="08/01/1983"/>
    <s v="Hyderabad"/>
    <x v="0"/>
    <x v="0"/>
    <s v="Mixer"/>
    <n v="15"/>
    <n v="3500"/>
    <n v="10"/>
    <n v="47250"/>
    <n v="3"/>
    <s v="Cash"/>
    <s v="Karan"/>
    <s v="amit.sharma@company.com"/>
    <s v="9229164453"/>
    <s v="Pending"/>
  </r>
  <r>
    <s v="ORD10340"/>
    <s v="C008"/>
    <s v="P301"/>
    <x v="244"/>
    <s v="07/08/2025"/>
    <s v="Kavya Nair"/>
    <s v="Female"/>
    <s v="14/12/1983"/>
    <s v="Kolkata"/>
    <x v="3"/>
    <x v="2"/>
    <s v="Notebook"/>
    <n v="16"/>
    <n v="60"/>
    <n v="10"/>
    <n v="864"/>
    <n v="4"/>
    <s v="Card"/>
    <s v="Aisha"/>
    <s v="KAvya.nair@company.com"/>
    <s v="9219806176"/>
    <s v="Completed"/>
  </r>
  <r>
    <s v="ORD10341"/>
    <s v="C003"/>
    <s v="P303"/>
    <x v="245"/>
    <s v="21/10/2025"/>
    <s v="Rohit Singh"/>
    <s v="Male"/>
    <s v="26/09/1983"/>
    <s v="Delhi"/>
    <x v="1"/>
    <x v="2"/>
    <s v="Marker"/>
    <n v="2"/>
    <n v="45"/>
    <n v="15"/>
    <n v="76.5"/>
    <n v="1"/>
    <s v="UPI"/>
    <s v="Karan"/>
    <s v="rohit.singh@company.com"/>
    <s v="9630210250"/>
    <s v="Cancelled"/>
  </r>
  <r>
    <s v="ORD10342"/>
    <s v="C004"/>
    <s v="P301"/>
    <x v="246"/>
    <s v="15/12/2025"/>
    <s v="Anita Gupta"/>
    <s v="Female"/>
    <s v="23/05/1975"/>
    <s v="Delhi"/>
    <x v="1"/>
    <x v="2"/>
    <s v="Notebook"/>
    <n v="13"/>
    <n v="60"/>
    <n v="15"/>
    <n v="663"/>
    <n v="2"/>
    <s v="NetBanking"/>
    <s v="Aisha"/>
    <s v="anita.gupta@company.com"/>
    <s v="9583354052"/>
    <s v="Cancelled"/>
  </r>
  <r>
    <s v="ORD10343"/>
    <s v="C007"/>
    <s v="P104"/>
    <x v="183"/>
    <s v="22/05/2025"/>
    <s v="Arjun Rao"/>
    <s v="Male"/>
    <s v="09/11/1994"/>
    <s v="Delhi"/>
    <x v="1"/>
    <x v="1"/>
    <s v="Monitor"/>
    <n v="15"/>
    <n v="12000"/>
    <n v="20"/>
    <n v="144000"/>
    <n v="3"/>
    <s v="Card"/>
    <s v="Ritika"/>
    <s v="arjun.rao@company.com"/>
    <s v="9242534507"/>
    <s v="Cancelled"/>
  </r>
  <r>
    <s v="ORD10344"/>
    <s v="C001"/>
    <s v="P302"/>
    <x v="120"/>
    <s v="02/08/2025"/>
    <s v="Amit Sharma"/>
    <s v="Male"/>
    <s v="17/12/1987"/>
    <s v="Delhi"/>
    <x v="1"/>
    <x v="2"/>
    <s v="Pen"/>
    <n v="2"/>
    <n v="20"/>
    <n v="20"/>
    <n v="32"/>
    <n v="4"/>
    <s v="Cash"/>
    <s v="Ritika"/>
    <s v="amit.sharma@company.com"/>
    <s v="9291239150"/>
    <s v="Pending"/>
  </r>
  <r>
    <s v="ORD10345"/>
    <s v="C003"/>
    <s v="P201"/>
    <x v="247"/>
    <s v="17/08/2025"/>
    <s v="Rohit Singh"/>
    <s v="Male"/>
    <s v="19/06/1975"/>
    <s v="Bengaluru"/>
    <x v="0"/>
    <x v="0"/>
    <s v="Mixer"/>
    <n v="16"/>
    <n v="3500"/>
    <n v="0"/>
    <n v="56000"/>
    <n v="4"/>
    <s v="Cash"/>
    <s v="Neha"/>
    <s v="rohit.singh@company.com"/>
    <s v="9550820904"/>
    <s v="Completed"/>
  </r>
  <r>
    <s v="ORD10346"/>
    <s v="C010"/>
    <s v="P201"/>
    <x v="208"/>
    <s v="25/02/2026"/>
    <s v="Pooja Shah"/>
    <s v="Female"/>
    <s v="09/01/1977"/>
    <s v="Ahmedabad"/>
    <x v="2"/>
    <x v="0"/>
    <s v="Mixer"/>
    <n v="18"/>
    <n v="3500"/>
    <n v="15"/>
    <n v="53550"/>
    <n v="5"/>
    <s v="Cash"/>
    <s v="Karan"/>
    <s v="pooja.shah@company.com"/>
    <s v="9294486423"/>
    <s v="Cancelled"/>
  </r>
  <r>
    <s v="ORD10347"/>
    <s v="C008"/>
    <s v="P303"/>
    <x v="3"/>
    <s v="26/03/2026"/>
    <s v="Kavya Nair"/>
    <s v="Female"/>
    <s v="20/09/1993"/>
    <s v="Ahmedabad"/>
    <x v="2"/>
    <x v="2"/>
    <s v="Marker"/>
    <n v="20"/>
    <n v="45"/>
    <n v="15"/>
    <n v="765"/>
    <n v="4"/>
    <s v="Cash"/>
    <s v="Karan"/>
    <s v="KAvya.nair@company.com"/>
    <s v="9260258621"/>
    <s v="Cancelled"/>
  </r>
  <r>
    <s v="ORD10348"/>
    <s v="C006"/>
    <s v="P202"/>
    <x v="248"/>
    <s v="19/04/2026"/>
    <s v="Sneha Joshi"/>
    <s v="Female"/>
    <s v="05/03/1997"/>
    <s v="Delhi"/>
    <x v="1"/>
    <x v="0"/>
    <s v="Iron"/>
    <n v="13"/>
    <n v="2200"/>
    <n v="15"/>
    <n v="24310"/>
    <n v="2"/>
    <s v="NetBanking"/>
    <s v="Neha"/>
    <s v="sneha.joshi@company.com"/>
    <s v="9697433584"/>
    <s v="Pending"/>
  </r>
  <r>
    <s v="ORD10349"/>
    <s v="C010"/>
    <s v="P999"/>
    <x v="44"/>
    <s v="14/10/2025"/>
    <s v="Pooja Shah"/>
    <s v="Female"/>
    <s v="10/07/2002"/>
    <s v="Kolkata"/>
    <x v="3"/>
    <x v="0"/>
    <s v="Microwave"/>
    <n v="11"/>
    <n v="8500"/>
    <n v="5"/>
    <n v="88825"/>
    <n v="1"/>
    <s v="UPI"/>
    <s v="Neha"/>
    <s v="pooja.shah@company.com"/>
    <s v="9837969758"/>
    <s v="Cancelled"/>
  </r>
  <r>
    <s v="ORD10350"/>
    <s v="C010"/>
    <s v="P202"/>
    <x v="249"/>
    <s v="10/12/2025"/>
    <s v="Pooja Shah"/>
    <s v="Female"/>
    <s v="18/04/1984"/>
    <s v="Jaipur"/>
    <x v="1"/>
    <x v="0"/>
    <s v="Iron"/>
    <n v="2"/>
    <n v="2200"/>
    <n v="0"/>
    <n v="4400"/>
    <n v="4"/>
    <s v="UPI"/>
    <s v="Karan"/>
    <s v="pooja.shah@company.com"/>
    <s v="9209736419"/>
    <s v="Pending"/>
  </r>
  <r>
    <s v="ORD10351"/>
    <s v="C007"/>
    <s v="P102"/>
    <x v="250"/>
    <s v="04/08/2025"/>
    <s v="Arjun Rao"/>
    <s v="Male"/>
    <s v="01/07/2003"/>
    <s v="Mumbai"/>
    <x v="2"/>
    <x v="1"/>
    <s v="Mouse"/>
    <n v="15"/>
    <n v="700"/>
    <n v="15"/>
    <n v="8925"/>
    <n v="3"/>
    <s v="NetBanking"/>
    <s v="Neha"/>
    <s v="arjun.rao@company.com"/>
    <s v="9645907237"/>
    <s v="Completed"/>
  </r>
  <r>
    <s v="ORD10352"/>
    <s v="C003"/>
    <s v="P202"/>
    <x v="251"/>
    <s v="24/07/2025"/>
    <s v="Rohit Singh"/>
    <s v="Male"/>
    <s v="25/10/1992"/>
    <s v="Ahmedabad"/>
    <x v="2"/>
    <x v="0"/>
    <s v="Iron"/>
    <n v="5"/>
    <n v="2200"/>
    <n v="15"/>
    <n v="9350"/>
    <n v="1"/>
    <s v="NetBanking"/>
    <s v="Neha"/>
    <s v="rohit.singh@company.com"/>
    <s v="9566149945"/>
    <s v="Pending"/>
  </r>
  <r>
    <s v="ORD10353"/>
    <s v="C007"/>
    <s v="P103"/>
    <x v="84"/>
    <s v="12/03/2026"/>
    <s v="Arjun Rao"/>
    <s v="Male"/>
    <s v="05/08/1988"/>
    <s v="Ahmedabad"/>
    <x v="2"/>
    <x v="1"/>
    <s v="Keyboard"/>
    <n v="15"/>
    <n v="1200"/>
    <n v="0"/>
    <n v="18000"/>
    <n v="3"/>
    <s v="NetBanking"/>
    <s v="Aisha"/>
    <s v="arjun.rao@company.com"/>
    <s v="9935018068"/>
    <s v="Cancelled"/>
  </r>
  <r>
    <s v="ORD10354"/>
    <s v="C006"/>
    <s v="P103"/>
    <x v="15"/>
    <s v="10/04/2026"/>
    <s v="Sneha Joshi"/>
    <s v="Female"/>
    <s v="24/06/1987"/>
    <s v="Mumbai"/>
    <x v="2"/>
    <x v="1"/>
    <s v="Keyboard"/>
    <n v="19"/>
    <n v="1200"/>
    <n v="0"/>
    <n v="22800"/>
    <n v="1"/>
    <s v="Cash"/>
    <s v="Rahul"/>
    <s v="sneha.joshi@company.com"/>
    <s v="9171794652"/>
    <s v="Cancelled"/>
  </r>
  <r>
    <s v="ORD10355"/>
    <s v="C004"/>
    <s v="P104"/>
    <x v="0"/>
    <s v="25/09/2025"/>
    <s v="Anita Gupta"/>
    <s v="Female"/>
    <s v="19/10/1989"/>
    <s v="Mumbai"/>
    <x v="2"/>
    <x v="1"/>
    <s v="Monitor"/>
    <n v="9"/>
    <n v="12000"/>
    <n v="15"/>
    <n v="91800"/>
    <n v="3"/>
    <s v="UPI"/>
    <s v="Rahul"/>
    <s v="anita.gupta@company.com"/>
    <s v="9671497416"/>
    <s v="Cancelled"/>
  </r>
  <r>
    <s v="ORD10356"/>
    <s v="C008"/>
    <s v="P303"/>
    <x v="45"/>
    <s v="21/10/2025"/>
    <s v="Kavya Nair"/>
    <s v="Female"/>
    <s v="22/05/1992"/>
    <s v="Jaipur"/>
    <x v="1"/>
    <x v="2"/>
    <s v="Marker"/>
    <n v="5"/>
    <n v="45"/>
    <n v="5"/>
    <n v="213.75"/>
    <n v="1"/>
    <s v="Card"/>
    <s v="Neha"/>
    <s v="KAvya.nair@company.com"/>
    <s v="9810433484"/>
    <s v="Completed"/>
  </r>
  <r>
    <s v="ORD10357"/>
    <s v="C006"/>
    <s v="P102"/>
    <x v="252"/>
    <s v="11/02/2025"/>
    <s v="Sneha Joshi"/>
    <s v="Female"/>
    <s v="10/11/1989"/>
    <s v="Mumbai"/>
    <x v="2"/>
    <x v="1"/>
    <s v="Mouse"/>
    <n v="3"/>
    <n v="700"/>
    <n v="15"/>
    <n v="1785"/>
    <n v="4"/>
    <s v="Cash"/>
    <s v="Karan"/>
    <s v="sneha.joshi@company.com"/>
    <s v="9990243436"/>
    <s v="Completed"/>
  </r>
  <r>
    <s v="ORD10358"/>
    <s v="C009"/>
    <s v="P203"/>
    <x v="64"/>
    <s v="26/12/2025"/>
    <s v="Mohit Verma"/>
    <s v="Male"/>
    <s v="03/09/1980"/>
    <s v="Jaipur"/>
    <x v="1"/>
    <x v="0"/>
    <s v="Microwave"/>
    <n v="12"/>
    <n v="8500"/>
    <n v="5"/>
    <n v="96900"/>
    <n v="3"/>
    <s v="Card"/>
    <s v="Aisha"/>
    <s v="mohit.verma@company.com"/>
    <s v="9396678031"/>
    <s v="Pending"/>
  </r>
  <r>
    <s v="ORD10359"/>
    <s v="C006"/>
    <s v="P203"/>
    <x v="253"/>
    <s v="19/04/2026"/>
    <s v="Sneha Joshi"/>
    <s v="Female"/>
    <s v="06/03/1979"/>
    <s v="Pune"/>
    <x v="2"/>
    <x v="0"/>
    <s v="Microwave"/>
    <n v="4"/>
    <n v="8500"/>
    <n v="15"/>
    <n v="28900"/>
    <n v="4"/>
    <s v="NetBanking"/>
    <s v="Aisha"/>
    <s v="sneha.joshi@company.com"/>
    <s v="9818591245"/>
    <s v="Pending"/>
  </r>
  <r>
    <s v="ORD10360"/>
    <s v="C003"/>
    <s v="P302"/>
    <x v="22"/>
    <s v="22/04/2025"/>
    <s v="Rohit Singh"/>
    <s v="Male"/>
    <s v="04/09/1996"/>
    <s v="Jaipur"/>
    <x v="1"/>
    <x v="2"/>
    <s v="Pen"/>
    <n v="16"/>
    <n v="20"/>
    <n v="10"/>
    <n v="288"/>
    <n v="4"/>
    <s v="Cash"/>
    <s v="Neha"/>
    <s v="rohit.singh@company.com"/>
    <s v="9505550047"/>
    <s v="Cancelled"/>
  </r>
  <r>
    <s v="ORD10361"/>
    <s v="C003"/>
    <s v="P301"/>
    <x v="254"/>
    <s v="18/05/2026"/>
    <s v="Rohit Singh"/>
    <s v="Male"/>
    <s v="14/03/1999"/>
    <s v="Mumbai"/>
    <x v="2"/>
    <x v="2"/>
    <s v="Notebook"/>
    <n v="3"/>
    <n v="60"/>
    <n v="20"/>
    <n v="144"/>
    <n v="4"/>
    <s v="UPI"/>
    <s v="Karan"/>
    <s v="rohit.singh@company.com"/>
    <s v="9469828772"/>
    <s v="Pending"/>
  </r>
  <r>
    <s v="ORD10362"/>
    <s v="C009"/>
    <s v="P202"/>
    <x v="179"/>
    <s v="26/07/2025"/>
    <s v="Mohit Verma"/>
    <s v="Male"/>
    <s v="03/10/1984"/>
    <s v="Mumbai"/>
    <x v="2"/>
    <x v="0"/>
    <s v="Iron"/>
    <n v="19"/>
    <n v="2200"/>
    <n v="10"/>
    <n v="37620"/>
    <n v="2"/>
    <s v="Cash"/>
    <s v="Karan"/>
    <s v="mohit.verma@company.com"/>
    <s v="9885092680"/>
    <s v="Pending"/>
  </r>
  <r>
    <s v="ORD10363"/>
    <s v="C009"/>
    <s v="P103"/>
    <x v="255"/>
    <s v="27/01/2026"/>
    <s v="Mohit Verma"/>
    <s v="Male"/>
    <s v="09/07/1984"/>
    <s v="Hyderabad"/>
    <x v="0"/>
    <x v="1"/>
    <s v="Keyboard"/>
    <n v="7"/>
    <n v="1200"/>
    <n v="20"/>
    <n v="6720"/>
    <n v="3"/>
    <s v="Card"/>
    <s v="Neha"/>
    <s v="mohit.verma@company.com"/>
    <s v="9362319457"/>
    <s v="Cancelled"/>
  </r>
  <r>
    <s v="ORD10364"/>
    <s v="C010"/>
    <s v="P302"/>
    <x v="82"/>
    <s v="21/03/2026"/>
    <s v="Pooja Shah"/>
    <s v="Female"/>
    <s v="10/03/1989"/>
    <s v="Bengaluru"/>
    <x v="0"/>
    <x v="2"/>
    <s v="Pen"/>
    <n v="20"/>
    <n v="20"/>
    <n v="20"/>
    <n v="320"/>
    <n v="5"/>
    <s v="Card"/>
    <s v="Neha"/>
    <s v="pooja.shah@company.com"/>
    <s v="9223945130"/>
    <s v="Pending"/>
  </r>
  <r>
    <s v="ORD10365"/>
    <s v="C002"/>
    <s v="P103"/>
    <x v="256"/>
    <s v="07/05/2025"/>
    <s v="Priya Patel"/>
    <s v="Female"/>
    <s v="19/04/1985"/>
    <s v="Hyderabad"/>
    <x v="0"/>
    <x v="1"/>
    <s v="Keyboard"/>
    <n v="19"/>
    <n v="1200"/>
    <n v="5"/>
    <n v="21660"/>
    <n v="3"/>
    <s v="Card"/>
    <s v="Ritika"/>
    <s v="priYa.patel@company.com"/>
    <s v="9910804926"/>
    <s v="Pending"/>
  </r>
  <r>
    <s v="ORD10366"/>
    <s v="C010"/>
    <s v="P302"/>
    <x v="257"/>
    <s v="13/02/2025"/>
    <s v="Pooja Shah"/>
    <s v="Female"/>
    <s v="13/08/2003"/>
    <s v="Hyderabad"/>
    <x v="0"/>
    <x v="2"/>
    <s v="Pen"/>
    <n v="5"/>
    <n v="20"/>
    <n v="0"/>
    <n v="100"/>
    <n v="2"/>
    <s v="UPI"/>
    <s v="Rahul"/>
    <s v="pooja.shah@company.com"/>
    <s v="9274269744"/>
    <s v="Pending"/>
  </r>
  <r>
    <s v="ORD10367"/>
    <s v="C002"/>
    <s v="P303"/>
    <x v="128"/>
    <s v="16/03/2026"/>
    <s v="Priya Patel"/>
    <s v="Female"/>
    <s v="11/09/1983"/>
    <s v="Jaipur"/>
    <x v="1"/>
    <x v="2"/>
    <s v="Marker"/>
    <n v="16"/>
    <n v="45"/>
    <n v="15"/>
    <n v="612"/>
    <n v="5"/>
    <s v="Cash"/>
    <s v="Aisha"/>
    <s v="priYa.patel@company.com"/>
    <s v="9223196101"/>
    <s v="Cancelled"/>
  </r>
  <r>
    <s v="ORD10368"/>
    <s v="C008"/>
    <s v="P202"/>
    <x v="201"/>
    <s v="15/05/2025"/>
    <s v="Kavya Nair"/>
    <s v="Female"/>
    <s v="11/06/1976"/>
    <s v="Jaipur"/>
    <x v="1"/>
    <x v="0"/>
    <s v="Iron"/>
    <n v="1"/>
    <n v="2200"/>
    <n v="10"/>
    <n v="1980"/>
    <n v="5"/>
    <s v="Card"/>
    <s v="Rahul"/>
    <s v="KAvya.nair@company.com"/>
    <s v="9888477457"/>
    <s v="Completed"/>
  </r>
  <r>
    <s v="ORD10369"/>
    <s v="C010"/>
    <s v="P301"/>
    <x v="142"/>
    <s v="05/04/2026"/>
    <s v="Pooja Shah"/>
    <s v="Female"/>
    <s v="04/01/1987"/>
    <s v="Hyderabad"/>
    <x v="0"/>
    <x v="2"/>
    <s v="Notebook"/>
    <n v="19"/>
    <n v="60"/>
    <n v="15"/>
    <n v="969"/>
    <n v="4"/>
    <s v="NetBanking"/>
    <s v="Neha"/>
    <s v="pooja.shah@company.com"/>
    <s v="9435947486"/>
    <s v="Cancelled"/>
  </r>
  <r>
    <s v="ORD10370"/>
    <s v="C001"/>
    <s v="P101"/>
    <x v="252"/>
    <s v="02/02/2025"/>
    <s v="Amit Sharma"/>
    <s v="Male"/>
    <s v="14/05/1992"/>
    <s v="Delhi"/>
    <x v="1"/>
    <x v="1"/>
    <s v="Laptop"/>
    <n v="15"/>
    <n v="55000"/>
    <n v="0"/>
    <n v="825000"/>
    <n v="5"/>
    <s v="Card"/>
    <s v="Neha"/>
    <s v="amit.sharma@company.com"/>
    <s v="9411668831"/>
    <s v="Cancelled"/>
  </r>
  <r>
    <s v="ORD10371"/>
    <s v="C009"/>
    <s v="P303"/>
    <x v="229"/>
    <s v="08/10/2025"/>
    <s v="Mohit Verma"/>
    <s v="Male"/>
    <s v="03/05/1989"/>
    <s v="Bengaluru"/>
    <x v="0"/>
    <x v="2"/>
    <s v="Marker"/>
    <n v="11"/>
    <n v="45"/>
    <n v="5"/>
    <n v="470.25"/>
    <n v="5"/>
    <s v="NetBanking"/>
    <s v="Karan"/>
    <s v="mohit.verma@company.com"/>
    <s v="9523682403"/>
    <s v="Completed"/>
  </r>
  <r>
    <s v="ORD10372"/>
    <s v="C006"/>
    <s v="P302"/>
    <x v="258"/>
    <s v="17/06/2025"/>
    <s v="Sneha Joshi"/>
    <s v="Female"/>
    <s v="19/12/1990"/>
    <s v="Jaipur"/>
    <x v="1"/>
    <x v="2"/>
    <s v="Pen"/>
    <n v="9"/>
    <n v="20"/>
    <n v="10"/>
    <n v="162"/>
    <n v="1"/>
    <s v="Card"/>
    <s v="Rahul"/>
    <s v="sneha.joshi@company.com"/>
    <s v="9652936744"/>
    <s v="Cancelled"/>
  </r>
  <r>
    <s v="ORD10373"/>
    <s v="C004"/>
    <s v="P303"/>
    <x v="102"/>
    <s v="20/11/2025"/>
    <s v="Anita Gupta"/>
    <s v="Female"/>
    <s v="09/07/1995"/>
    <s v="Bengaluru"/>
    <x v="0"/>
    <x v="2"/>
    <s v="Marker"/>
    <n v="5"/>
    <n v="45"/>
    <n v="5"/>
    <n v="213.75"/>
    <n v="3"/>
    <s v="Card"/>
    <s v="Neha"/>
    <s v="anita.gupta@company.com"/>
    <s v="9726464733"/>
    <s v="Pending"/>
  </r>
  <r>
    <s v="ORD10374"/>
    <s v="C007"/>
    <s v="P102"/>
    <x v="259"/>
    <s v="02/11/2025"/>
    <s v="Arjun Rao"/>
    <s v="Male"/>
    <s v="23/12/1998"/>
    <s v="Hyderabad"/>
    <x v="0"/>
    <x v="1"/>
    <s v="Mouse"/>
    <n v="5"/>
    <n v="700"/>
    <n v="10"/>
    <n v="3150"/>
    <n v="2"/>
    <s v="UPI"/>
    <s v="Rahul"/>
    <s v="arjun.rao@company.com"/>
    <s v="9273520544"/>
    <s v="Completed"/>
  </r>
  <r>
    <s v="ORD10375"/>
    <s v="C005"/>
    <s v="P102"/>
    <x v="260"/>
    <s v="31/01/2025"/>
    <s v="Vikas Mehta"/>
    <s v="Male"/>
    <s v="23/12/1979"/>
    <s v="Kolkata"/>
    <x v="3"/>
    <x v="1"/>
    <s v="Mouse"/>
    <n v="1"/>
    <n v="700"/>
    <n v="0"/>
    <n v="700"/>
    <n v="1"/>
    <s v="UPI"/>
    <s v="Karan"/>
    <s v="vikas.mehta@company.com"/>
    <s v="9374259988"/>
    <s v="Completed"/>
  </r>
  <r>
    <s v="ORD10376"/>
    <s v="C008"/>
    <s v="P102"/>
    <x v="219"/>
    <s v="21/02/2026"/>
    <s v="Kavya Nair"/>
    <s v="Female"/>
    <s v="15/12/1975"/>
    <s v="Mumbai"/>
    <x v="2"/>
    <x v="1"/>
    <s v="Mouse"/>
    <n v="13"/>
    <n v="700"/>
    <n v="20"/>
    <n v="7280"/>
    <n v="2"/>
    <s v="Card"/>
    <s v="Ritika"/>
    <s v="KAvya.nair@company.com"/>
    <s v="9538129419"/>
    <s v="Completed"/>
  </r>
  <r>
    <s v="ORD10377"/>
    <s v="C009"/>
    <s v="P104"/>
    <x v="189"/>
    <s v="19/02/2025"/>
    <s v="Mohit Verma"/>
    <s v="Male"/>
    <s v="17/05/1993"/>
    <s v="Pune"/>
    <x v="2"/>
    <x v="1"/>
    <s v="Monitor"/>
    <n v="20"/>
    <n v="12000"/>
    <n v="0"/>
    <n v="240000"/>
    <n v="2"/>
    <s v="Card"/>
    <s v="Neha"/>
    <s v="mohit.verma@company.com"/>
    <s v="9382815686"/>
    <s v="Completed"/>
  </r>
  <r>
    <s v="ORD10378"/>
    <s v="C007"/>
    <s v="P103"/>
    <x v="194"/>
    <s v="06/01/2026"/>
    <s v="Arjun Rao"/>
    <s v="Male"/>
    <s v="17/09/1976"/>
    <s v="Kolkata"/>
    <x v="3"/>
    <x v="1"/>
    <s v="Keyboard"/>
    <n v="9"/>
    <n v="1200"/>
    <n v="15"/>
    <n v="9180"/>
    <n v="1"/>
    <s v="UPI"/>
    <s v="Ritika"/>
    <s v="arjun.rao@company.com"/>
    <s v="9450746157"/>
    <s v="Pending"/>
  </r>
  <r>
    <s v="ORD10379"/>
    <s v="C007"/>
    <s v="P302"/>
    <x v="261"/>
    <s v="03/10/2025"/>
    <s v="Arjun Rao"/>
    <s v="Male"/>
    <s v="22/12/1996"/>
    <s v="Jaipur"/>
    <x v="1"/>
    <x v="2"/>
    <s v="Pen"/>
    <n v="3"/>
    <n v="20"/>
    <n v="15"/>
    <n v="51"/>
    <n v="3"/>
    <s v="Cash"/>
    <s v="Neha"/>
    <s v="arjun.rao@company.com"/>
    <s v="9349012570"/>
    <s v="Pending"/>
  </r>
  <r>
    <s v="ORD10380"/>
    <s v="C006"/>
    <s v="P101"/>
    <x v="168"/>
    <s v="19/12/2025"/>
    <s v="Sneha Joshi"/>
    <s v="Female"/>
    <s v="25/12/1995"/>
    <s v="Delhi"/>
    <x v="1"/>
    <x v="1"/>
    <s v="Laptop"/>
    <n v="8"/>
    <n v="55000"/>
    <n v="20"/>
    <n v="352000"/>
    <n v="5"/>
    <s v="Card"/>
    <s v="Karan"/>
    <s v="sneha.joshi@company.com"/>
    <s v="9442163790"/>
    <s v="Pending"/>
  </r>
  <r>
    <s v="ORD10381"/>
    <s v="C006"/>
    <s v="P301"/>
    <x v="262"/>
    <s v="07/10/2025"/>
    <s v="Sneha Joshi"/>
    <s v="Female"/>
    <s v="23/06/1985"/>
    <s v="Delhi"/>
    <x v="1"/>
    <x v="2"/>
    <s v="Notebook"/>
    <n v="17"/>
    <n v="60"/>
    <n v="20"/>
    <n v="816"/>
    <n v="1"/>
    <s v="UPI"/>
    <s v="Ritika"/>
    <s v="sneha.joshi@company.com"/>
    <s v="9953329223"/>
    <s v="Pending"/>
  </r>
  <r>
    <s v="ORD10382"/>
    <s v="C003"/>
    <s v="P302"/>
    <x v="263"/>
    <s v="22/05/2025"/>
    <s v="Rohit Singh"/>
    <s v="Male"/>
    <s v="10/02/1984"/>
    <s v="Bengaluru"/>
    <x v="0"/>
    <x v="2"/>
    <s v="Pen"/>
    <n v="4"/>
    <n v="20"/>
    <n v="15"/>
    <n v="68"/>
    <n v="3"/>
    <s v="NetBanking"/>
    <s v="Aisha"/>
    <s v="rohit.singh@company.com"/>
    <s v="9202321359"/>
    <s v="Pending"/>
  </r>
  <r>
    <s v="ORD10383"/>
    <s v="C003"/>
    <s v="P202"/>
    <x v="222"/>
    <s v="11/04/2025"/>
    <s v="Rohit Singh"/>
    <s v="Male"/>
    <s v="02/04/2002"/>
    <s v="Kolkata"/>
    <x v="3"/>
    <x v="0"/>
    <s v="Iron"/>
    <n v="2"/>
    <n v="2200"/>
    <n v="10"/>
    <n v="3960"/>
    <n v="2"/>
    <s v="UPI"/>
    <s v="Rahul"/>
    <s v="rohit.singh@company.com"/>
    <s v="9812564160"/>
    <s v="Pending"/>
  </r>
  <r>
    <s v="ORD10384"/>
    <s v="C005"/>
    <s v="P301"/>
    <x v="65"/>
    <s v="18/04/2025"/>
    <s v="Vikas Mehta"/>
    <s v="Male"/>
    <s v="17/07/2003"/>
    <s v="Bengaluru"/>
    <x v="0"/>
    <x v="2"/>
    <s v="Notebook"/>
    <n v="5"/>
    <n v="60"/>
    <n v="5"/>
    <n v="285"/>
    <n v="1"/>
    <s v="UPI"/>
    <s v="Ritika"/>
    <s v="vikas.mehta@company.com"/>
    <s v="9688458222"/>
    <s v="Cancelled"/>
  </r>
  <r>
    <s v="ORD10385"/>
    <s v="C003"/>
    <s v="P202"/>
    <x v="264"/>
    <s v="23/02/2026"/>
    <s v="Rohit Singh"/>
    <s v="Male"/>
    <s v="06/10/1991"/>
    <s v="Delhi"/>
    <x v="1"/>
    <x v="0"/>
    <s v="Iron"/>
    <n v="17"/>
    <n v="2200"/>
    <n v="0"/>
    <n v="37400"/>
    <n v="2"/>
    <s v="UPI"/>
    <s v="Karan"/>
    <s v="rohit.singh@company.com"/>
    <s v="9634473337"/>
    <s v="Cancelled"/>
  </r>
  <r>
    <s v="ORD10386"/>
    <s v="C004"/>
    <s v="P301"/>
    <x v="242"/>
    <s v="11/12/2025"/>
    <s v="Anita Gupta"/>
    <s v="Female"/>
    <s v="05/01/1984"/>
    <s v="Ahmedabad"/>
    <x v="2"/>
    <x v="2"/>
    <s v="Notebook"/>
    <n v="7"/>
    <n v="60"/>
    <n v="0"/>
    <n v="420"/>
    <n v="2"/>
    <s v="UPI"/>
    <s v="Aisha"/>
    <s v="anita.gupta@company.com"/>
    <s v="9608737026"/>
    <s v="Pending"/>
  </r>
  <r>
    <s v="ORD10387"/>
    <s v="C005"/>
    <s v="P101"/>
    <x v="111"/>
    <s v="24/10/2025"/>
    <s v="Vikas Mehta"/>
    <s v="Male"/>
    <s v="12/03/1975"/>
    <s v="Hyderabad"/>
    <x v="0"/>
    <x v="1"/>
    <s v="Laptop"/>
    <n v="6"/>
    <n v="55000"/>
    <n v="5"/>
    <n v="313500"/>
    <n v="4"/>
    <s v="Card"/>
    <s v="Aisha"/>
    <s v="vikas.mehta@company.com"/>
    <s v="9804498139"/>
    <s v="Completed"/>
  </r>
  <r>
    <s v="ORD10388"/>
    <s v="C009"/>
    <s v="P302"/>
    <x v="209"/>
    <s v="25/01/2026"/>
    <s v="Mohit Verma"/>
    <s v="Male"/>
    <s v="15/03/1983"/>
    <s v="Hyderabad"/>
    <x v="0"/>
    <x v="2"/>
    <s v="Pen"/>
    <n v="16"/>
    <n v="20"/>
    <n v="5"/>
    <n v="304"/>
    <n v="1"/>
    <s v="Card"/>
    <s v="Rahul"/>
    <s v="mohit.verma@company.com"/>
    <s v="9798643580"/>
    <s v="Completed"/>
  </r>
  <r>
    <s v="ORD10389"/>
    <s v="C008"/>
    <s v="P202"/>
    <x v="265"/>
    <s v="28/01/2025"/>
    <s v="Kavya Nair"/>
    <s v="Female"/>
    <s v="20/04/1976"/>
    <s v="Kolkata"/>
    <x v="3"/>
    <x v="0"/>
    <s v="Iron"/>
    <n v="11"/>
    <n v="2200"/>
    <n v="15"/>
    <n v="20570"/>
    <n v="1"/>
    <s v="NetBanking"/>
    <s v="Neha"/>
    <s v="KAvya.nair@company.com"/>
    <s v="9809823278"/>
    <s v="Cancelled"/>
  </r>
  <r>
    <s v="ORD10390"/>
    <s v="C002"/>
    <s v="P302"/>
    <x v="172"/>
    <s v="02/03/2025"/>
    <s v="Priya Patel"/>
    <s v="Female"/>
    <s v="11/02/1986"/>
    <s v="Pune"/>
    <x v="2"/>
    <x v="2"/>
    <s v="Pen"/>
    <n v="19"/>
    <n v="20"/>
    <n v="5"/>
    <n v="361"/>
    <n v="4"/>
    <s v="UPI"/>
    <s v="Ritika"/>
    <s v="priYa.patel@company.com"/>
    <s v="9177767854"/>
    <s v="Pending"/>
  </r>
  <r>
    <s v="ORD10391"/>
    <s v="C002"/>
    <s v="P103"/>
    <x v="266"/>
    <s v="21/06/2025"/>
    <s v="Priya Patel"/>
    <s v="Female"/>
    <s v="21/03/1978"/>
    <s v="Pune"/>
    <x v="2"/>
    <x v="1"/>
    <s v="Keyboard"/>
    <n v="20"/>
    <n v="1200"/>
    <n v="15"/>
    <n v="20400"/>
    <n v="4"/>
    <s v="Card"/>
    <s v="Ritika"/>
    <s v="priYa.patel@company.com"/>
    <s v="9643440006"/>
    <s v="Pending"/>
  </r>
  <r>
    <s v="ORD10392"/>
    <s v="C010"/>
    <s v="P302"/>
    <x v="267"/>
    <s v="06/06/2025"/>
    <s v="Pooja Shah"/>
    <s v="Female"/>
    <s v="12/07/1996"/>
    <s v="Hyderabad"/>
    <x v="0"/>
    <x v="2"/>
    <s v="Pen"/>
    <n v="13"/>
    <n v="20"/>
    <n v="15"/>
    <n v="221"/>
    <n v="4"/>
    <s v="Cash"/>
    <s v="Ritika"/>
    <s v="pooja.shah@company.com"/>
    <s v="9673698825"/>
    <s v="Pending"/>
  </r>
  <r>
    <s v="ORD10393"/>
    <s v="C006"/>
    <s v="P103"/>
    <x v="21"/>
    <s v="08/01/2025"/>
    <s v="Sneha Joshi"/>
    <s v="Female"/>
    <s v="02/12/1992"/>
    <s v="Delhi"/>
    <x v="1"/>
    <x v="1"/>
    <s v="Keyboard"/>
    <n v="12"/>
    <n v="1200"/>
    <n v="10"/>
    <n v="12960"/>
    <n v="3"/>
    <s v="NetBanking"/>
    <s v="Ritika"/>
    <s v="sneha.joshi@company.com"/>
    <s v="9706238784"/>
    <s v="Pending"/>
  </r>
  <r>
    <s v="ORD10394"/>
    <s v="C002"/>
    <s v="P203"/>
    <x v="268"/>
    <s v="29/01/2025"/>
    <s v="Priya Patel"/>
    <s v="Female"/>
    <s v="23/03/1996"/>
    <s v="Kolkata"/>
    <x v="3"/>
    <x v="0"/>
    <s v="Microwave"/>
    <n v="6"/>
    <n v="8500"/>
    <n v="5"/>
    <n v="48450"/>
    <n v="5"/>
    <s v="Cash"/>
    <s v="Neha"/>
    <s v="priYa.patel@company.com"/>
    <s v="9132959877"/>
    <s v="Cancelled"/>
  </r>
  <r>
    <s v="ORD10395"/>
    <s v="C008"/>
    <s v="P203"/>
    <x v="208"/>
    <s v="26/02/2026"/>
    <s v="Kavya Nair"/>
    <s v="Female"/>
    <s v="23/06/1994"/>
    <s v="Ahmedabad"/>
    <x v="2"/>
    <x v="0"/>
    <s v="Microwave"/>
    <n v="15"/>
    <n v="8500"/>
    <n v="10"/>
    <n v="114750"/>
    <n v="1"/>
    <s v="Cash"/>
    <s v="Neha"/>
    <s v="KAvya.nair@company.com"/>
    <s v="9295011645"/>
    <s v="Completed"/>
  </r>
  <r>
    <s v="ORD10396"/>
    <s v="C003"/>
    <s v="P104"/>
    <x v="269"/>
    <s v="15/08/2025"/>
    <s v="Rohit Singh"/>
    <s v="Male"/>
    <s v="02/02/1980"/>
    <s v="Hyderabad"/>
    <x v="0"/>
    <x v="1"/>
    <s v="Monitor"/>
    <n v="19"/>
    <n v="12000"/>
    <n v="20"/>
    <n v="182400"/>
    <n v="5"/>
    <s v="Cash"/>
    <s v="Neha"/>
    <s v="rohit.singh@company.com"/>
    <s v="9677606427"/>
    <s v="Completed"/>
  </r>
  <r>
    <s v="ORD10397"/>
    <s v="C007"/>
    <s v="P102"/>
    <x v="270"/>
    <s v="18/01/2025"/>
    <s v="Arjun Rao"/>
    <s v="Male"/>
    <s v="24/08/1990"/>
    <s v="Delhi"/>
    <x v="1"/>
    <x v="1"/>
    <s v="Mouse"/>
    <n v="5"/>
    <n v="700"/>
    <n v="0"/>
    <n v="3500"/>
    <n v="2"/>
    <s v="Card"/>
    <s v="Aisha"/>
    <s v="arjun.rao@company.com"/>
    <s v="9161631566"/>
    <s v="Cancelled"/>
  </r>
  <r>
    <s v="ORD10398"/>
    <s v="C007"/>
    <s v="P104"/>
    <x v="271"/>
    <s v="04/02/2025"/>
    <s v="Arjun Rao"/>
    <s v="Male"/>
    <s v="10/12/1978"/>
    <s v="Kolkata"/>
    <x v="3"/>
    <x v="1"/>
    <s v="Monitor"/>
    <n v="19"/>
    <n v="12000"/>
    <n v="0"/>
    <n v="228000"/>
    <n v="4"/>
    <s v="UPI"/>
    <s v="Aisha"/>
    <s v="arjun.rao@company.com"/>
    <s v="9136906750"/>
    <s v="Pending"/>
  </r>
  <r>
    <s v="ORD10399"/>
    <s v="C001"/>
    <s v="P102"/>
    <x v="252"/>
    <s v="03/11/2025"/>
    <s v="Amit Sharma"/>
    <s v="Male"/>
    <s v="01/09/1979"/>
    <s v="Bengaluru"/>
    <x v="0"/>
    <x v="1"/>
    <s v="Mouse"/>
    <n v="12"/>
    <n v="700"/>
    <n v="15"/>
    <n v="7140"/>
    <n v="3"/>
    <s v="Card"/>
    <s v="Ritika"/>
    <s v="amit.sharma@company.com"/>
    <s v="9485286324"/>
    <s v="Completed"/>
  </r>
  <r>
    <s v="ORD10400"/>
    <s v="C008"/>
    <s v="P103"/>
    <x v="272"/>
    <s v="21/05/2025"/>
    <s v="Kavya Nair"/>
    <s v="Female"/>
    <s v="08/04/2001"/>
    <s v="Delhi"/>
    <x v="1"/>
    <x v="1"/>
    <s v="Keyboard"/>
    <n v="16"/>
    <n v="1200"/>
    <n v="20"/>
    <n v="15360"/>
    <n v="1"/>
    <s v="Cash"/>
    <s v="Rahul"/>
    <s v="KAvya.nair@company.com"/>
    <s v="9414633966"/>
    <s v="Pending"/>
  </r>
  <r>
    <s v="ORD10401"/>
    <s v="C009"/>
    <s v="P203"/>
    <x v="273"/>
    <s v="04/01/2026"/>
    <s v="Mohit Verma"/>
    <s v="Male"/>
    <s v="01/01/1983"/>
    <s v="Hyderabad"/>
    <x v="0"/>
    <x v="0"/>
    <s v="Microwave"/>
    <n v="10"/>
    <n v="8500"/>
    <n v="5"/>
    <n v="80750"/>
    <n v="5"/>
    <s v="NetBanking"/>
    <s v="Ritika"/>
    <s v="mohit.verma@company.com"/>
    <s v="9833735234"/>
    <s v="Completed"/>
  </r>
  <r>
    <s v="ORD10402"/>
    <s v="C008"/>
    <s v="P302"/>
    <x v="220"/>
    <s v="21/02/2025"/>
    <s v="Kavya Nair"/>
    <s v="Female"/>
    <s v="09/08/1989"/>
    <s v="Ahmedabad"/>
    <x v="2"/>
    <x v="2"/>
    <s v="Pen"/>
    <n v="18"/>
    <n v="20"/>
    <n v="20"/>
    <n v="288"/>
    <n v="1"/>
    <s v="UPI"/>
    <s v="Ritika"/>
    <s v="KAvya.nair@company.com"/>
    <s v="9523689108"/>
    <s v="Pending"/>
  </r>
  <r>
    <s v="ORD10403"/>
    <s v="C009"/>
    <s v="P203"/>
    <x v="27"/>
    <s v="19/03/2026"/>
    <s v="Mohit Verma"/>
    <s v="Male"/>
    <s v="22/10/1993"/>
    <s v="Mumbai"/>
    <x v="2"/>
    <x v="0"/>
    <s v="Microwave"/>
    <n v="9"/>
    <n v="8500"/>
    <n v="0"/>
    <n v="76500"/>
    <n v="2"/>
    <s v="Card"/>
    <s v="Ritika"/>
    <s v="mohit.verma@company.com"/>
    <s v="9812909831"/>
    <s v="Pending"/>
  </r>
  <r>
    <s v="ORD10404"/>
    <s v="C008"/>
    <s v="P203"/>
    <x v="261"/>
    <s v="12/10/2025"/>
    <s v="Kavya Nair"/>
    <s v="Female"/>
    <s v="05/05/2000"/>
    <s v="Mumbai"/>
    <x v="2"/>
    <x v="0"/>
    <s v="Microwave"/>
    <n v="8"/>
    <n v="8500"/>
    <n v="10"/>
    <n v="61200"/>
    <n v="4"/>
    <s v="Cash"/>
    <s v="Neha"/>
    <s v="KAvya.nair@company.com"/>
    <s v="9106290987"/>
    <s v="Cancelled"/>
  </r>
  <r>
    <s v="ORD10405"/>
    <s v="C010"/>
    <s v="P302"/>
    <x v="70"/>
    <s v="01/02/2026"/>
    <s v="Pooja Shah"/>
    <s v="Female"/>
    <s v="18/02/1984"/>
    <s v="Pune"/>
    <x v="2"/>
    <x v="2"/>
    <s v="Pen"/>
    <n v="3"/>
    <n v="20"/>
    <n v="10"/>
    <n v="54"/>
    <n v="3"/>
    <s v="Card"/>
    <s v="Karan"/>
    <s v="pooja.shah@company.com"/>
    <s v="9767727724"/>
    <s v="Pending"/>
  </r>
  <r>
    <s v="ORD10406"/>
    <s v="C004"/>
    <s v="P203"/>
    <x v="274"/>
    <s v="12/07/2025"/>
    <s v="Anita Gupta"/>
    <s v="Female"/>
    <s v="13/06/1991"/>
    <s v="Kolkata"/>
    <x v="3"/>
    <x v="0"/>
    <s v="Microwave"/>
    <n v="18"/>
    <n v="8500"/>
    <n v="10"/>
    <n v="137700"/>
    <n v="4"/>
    <s v="Cash"/>
    <s v="Rahul"/>
    <s v="anita.gupta@company.com"/>
    <s v="9865401727"/>
    <s v="Cancelled"/>
  </r>
  <r>
    <s v="ORD10407"/>
    <s v="C010"/>
    <s v="P303"/>
    <x v="38"/>
    <s v="09/10/2025"/>
    <s v="Pooja Shah"/>
    <s v="Female"/>
    <s v="19/05/1996"/>
    <s v="Pune"/>
    <x v="2"/>
    <x v="2"/>
    <s v="Marker"/>
    <n v="5"/>
    <n v="45"/>
    <n v="10"/>
    <n v="202.5"/>
    <n v="3"/>
    <s v="Cash"/>
    <s v="Neha"/>
    <s v="pooja.shah@company.com"/>
    <s v="9603848571"/>
    <s v="Pending"/>
  </r>
  <r>
    <s v="ORD10408"/>
    <s v="C009"/>
    <s v="P303"/>
    <x v="109"/>
    <s v="02/06/2025"/>
    <s v="Mohit Verma"/>
    <s v="Male"/>
    <s v="23/05/1992"/>
    <s v="Mumbai"/>
    <x v="2"/>
    <x v="2"/>
    <s v="Marker"/>
    <n v="2"/>
    <n v="45"/>
    <n v="20"/>
    <n v="72"/>
    <n v="5"/>
    <s v="UPI"/>
    <s v="Aisha"/>
    <s v="mohit.verma@company.com"/>
    <s v="9101231789"/>
    <s v="Cancelled"/>
  </r>
  <r>
    <s v="ORD10409"/>
    <s v="C002"/>
    <s v="P303"/>
    <x v="275"/>
    <s v="06/02/2025"/>
    <s v="Priya Patel"/>
    <s v="Female"/>
    <s v="15/06/1988"/>
    <s v="Hyderabad"/>
    <x v="0"/>
    <x v="2"/>
    <s v="Marker"/>
    <n v="18"/>
    <n v="45"/>
    <n v="10"/>
    <n v="729"/>
    <n v="2"/>
    <s v="NetBanking"/>
    <s v="Neha"/>
    <s v="priYa.patel@company.com"/>
    <s v="9485017802"/>
    <s v="Pending"/>
  </r>
  <r>
    <s v="ORD10410"/>
    <s v="C003"/>
    <s v="P103"/>
    <x v="66"/>
    <s v="01/01/2026"/>
    <s v="Rohit Singh"/>
    <s v="Male"/>
    <s v="22/07/1993"/>
    <s v="Kolkata"/>
    <x v="3"/>
    <x v="1"/>
    <s v="Keyboard"/>
    <n v="13"/>
    <n v="1200"/>
    <n v="5"/>
    <n v="14820"/>
    <n v="4"/>
    <s v="Card"/>
    <s v="Neha"/>
    <s v="rohit.singh@company.com"/>
    <s v="9815464650"/>
    <s v="Completed"/>
  </r>
  <r>
    <s v="ORD10411"/>
    <s v="C008"/>
    <s v="P302"/>
    <x v="276"/>
    <s v="17/05/2026"/>
    <s v="Kavya Nair"/>
    <s v="Female"/>
    <s v="03/02/2004"/>
    <s v="Hyderabad"/>
    <x v="0"/>
    <x v="2"/>
    <s v="Pen"/>
    <n v="14"/>
    <n v="20"/>
    <n v="20"/>
    <n v="224"/>
    <n v="5"/>
    <s v="UPI"/>
    <s v="Rahul"/>
    <s v="KAvya.nair@company.com"/>
    <s v="9860715839"/>
    <s v="Pending"/>
  </r>
  <r>
    <s v="ORD10412"/>
    <s v="C002"/>
    <s v="P201"/>
    <x v="277"/>
    <s v="23/02/2026"/>
    <s v="Priya Patel"/>
    <s v="Female"/>
    <s v="23/12/1978"/>
    <s v="Hyderabad"/>
    <x v="0"/>
    <x v="0"/>
    <s v="Mixer"/>
    <n v="16"/>
    <n v="3500"/>
    <n v="15"/>
    <n v="47600"/>
    <n v="3"/>
    <s v="UPI"/>
    <s v="Aisha"/>
    <s v="priYa.patel@company.com"/>
    <s v="9207561051"/>
    <s v="Cancelled"/>
  </r>
  <r>
    <s v="ORD10413"/>
    <s v="C006"/>
    <s v="P302"/>
    <x v="158"/>
    <s v="24/02/2025"/>
    <s v="Sneha Joshi"/>
    <s v="Female"/>
    <s v="15/10/1993"/>
    <s v="Bengaluru"/>
    <x v="0"/>
    <x v="2"/>
    <s v="Pen"/>
    <n v="20"/>
    <n v="20"/>
    <n v="15"/>
    <n v="340"/>
    <n v="1"/>
    <s v="NetBanking"/>
    <s v="Aisha"/>
    <s v="sneha.joshi@company.com"/>
    <s v="9159894508"/>
    <s v="Cancelled"/>
  </r>
  <r>
    <s v="ORD10414"/>
    <s v="C004"/>
    <s v="P101"/>
    <x v="103"/>
    <s v="14/04/2025"/>
    <s v="Anita Gupta"/>
    <s v="Female"/>
    <s v="12/12/1979"/>
    <s v="Ahmedabad"/>
    <x v="2"/>
    <x v="1"/>
    <s v="Laptop"/>
    <n v="1"/>
    <n v="55000"/>
    <n v="15"/>
    <n v="46750"/>
    <n v="2"/>
    <s v="UPI"/>
    <s v="Neha"/>
    <s v="anita.gupta@company.com"/>
    <s v="9531465024"/>
    <s v="Cancelled"/>
  </r>
  <r>
    <s v="ORD10415"/>
    <s v="C002"/>
    <s v="P301"/>
    <x v="270"/>
    <s v="20/01/2025"/>
    <s v="Priya Patel"/>
    <s v="Female"/>
    <s v="24/05/2002"/>
    <s v="Ahmedabad"/>
    <x v="2"/>
    <x v="2"/>
    <s v="Notebook"/>
    <n v="15"/>
    <n v="60"/>
    <n v="5"/>
    <n v="855"/>
    <n v="4"/>
    <s v="NetBanking"/>
    <s v="Aisha"/>
    <s v="priYa.patel@company.com"/>
    <s v="9158813608"/>
    <s v="Completed"/>
  </r>
  <r>
    <s v="ORD10416"/>
    <s v="C007"/>
    <s v="P102"/>
    <x v="278"/>
    <s v="02/04/2026"/>
    <s v="Arjun Rao"/>
    <s v="Male"/>
    <s v="09/03/1976"/>
    <s v="Mumbai"/>
    <x v="2"/>
    <x v="1"/>
    <s v="Mouse"/>
    <n v="15"/>
    <n v="700"/>
    <n v="0"/>
    <n v="10500"/>
    <n v="5"/>
    <s v="NetBanking"/>
    <s v="Neha"/>
    <s v="arjun.rao@company.com"/>
    <s v="9308461700"/>
    <s v="Completed"/>
  </r>
  <r>
    <s v="ORD10417"/>
    <s v="C005"/>
    <s v="P104"/>
    <x v="243"/>
    <s v="09/01/2026"/>
    <s v="Vikas Mehta"/>
    <s v="Male"/>
    <s v="20/09/1980"/>
    <s v="Kolkata"/>
    <x v="3"/>
    <x v="1"/>
    <s v="Monitor"/>
    <n v="13"/>
    <n v="12000"/>
    <n v="10"/>
    <n v="140400"/>
    <n v="1"/>
    <s v="Cash"/>
    <s v="Karan"/>
    <s v="vikas.mehta@company.com"/>
    <s v="9882279049"/>
    <s v="Cancelled"/>
  </r>
  <r>
    <s v="ORD10418"/>
    <s v="C007"/>
    <s v="P104"/>
    <x v="279"/>
    <s v="29/04/2026"/>
    <s v="Arjun Rao"/>
    <s v="Male"/>
    <s v="24/06/1988"/>
    <s v="Hyderabad"/>
    <x v="0"/>
    <x v="1"/>
    <s v="Monitor"/>
    <n v="12"/>
    <n v="12000"/>
    <n v="20"/>
    <n v="115200"/>
    <n v="2"/>
    <s v="Cash"/>
    <s v="Ritika"/>
    <s v="arjun.rao@company.com"/>
    <s v="9961801338"/>
    <s v="Completed"/>
  </r>
  <r>
    <s v="ORD10419"/>
    <s v="C007"/>
    <s v="P303"/>
    <x v="9"/>
    <s v="29/03/2025"/>
    <s v="Arjun Rao"/>
    <s v="Male"/>
    <s v="11/06/2003"/>
    <s v="Mumbai"/>
    <x v="2"/>
    <x v="2"/>
    <s v="Marker"/>
    <n v="10"/>
    <n v="45"/>
    <n v="0"/>
    <n v="450"/>
    <n v="5"/>
    <s v="Card"/>
    <s v="Neha"/>
    <s v="arjun.rao@company.com"/>
    <s v="9853525026"/>
    <s v="Cancelled"/>
  </r>
  <r>
    <s v="ORD10420"/>
    <s v="C003"/>
    <s v="P103"/>
    <x v="1"/>
    <s v="09/05/2025"/>
    <s v="Rohit Singh"/>
    <s v="Male"/>
    <s v="10/12/1981"/>
    <s v="Mumbai"/>
    <x v="2"/>
    <x v="1"/>
    <s v="Keyboard"/>
    <n v="20"/>
    <n v="1200"/>
    <n v="20"/>
    <n v="19200"/>
    <n v="5"/>
    <s v="NetBanking"/>
    <s v="Aisha"/>
    <s v="rohit.singh@company.com"/>
    <s v="9209649485"/>
    <s v="Cancelled"/>
  </r>
  <r>
    <s v="ORD10421"/>
    <s v="C009"/>
    <s v="P103"/>
    <x v="10"/>
    <s v="26/09/2025"/>
    <s v="Mohit Verma"/>
    <s v="Male"/>
    <s v="24/02/1975"/>
    <s v="Pune"/>
    <x v="2"/>
    <x v="1"/>
    <s v="Keyboard"/>
    <n v="8"/>
    <n v="1200"/>
    <n v="10"/>
    <n v="8640"/>
    <n v="4"/>
    <s v="NetBanking"/>
    <s v="Aisha"/>
    <s v="mohit.verma@company.com"/>
    <s v="9712905525"/>
    <s v="Completed"/>
  </r>
  <r>
    <s v="ORD10422"/>
    <s v="C003"/>
    <s v="P103"/>
    <x v="175"/>
    <s v="20/05/2025"/>
    <s v="Rohit Singh"/>
    <s v="Male"/>
    <s v="27/09/1977"/>
    <s v="Jaipur"/>
    <x v="1"/>
    <x v="1"/>
    <s v="Keyboard"/>
    <n v="8"/>
    <n v="1200"/>
    <n v="10"/>
    <n v="8640"/>
    <n v="5"/>
    <s v="Card"/>
    <s v="Rahul"/>
    <s v="rohit.singh@company.com"/>
    <s v="9812472447"/>
    <s v="Cancelled"/>
  </r>
  <r>
    <s v="ORD10423"/>
    <s v="C001"/>
    <s v="P202"/>
    <x v="280"/>
    <s v="30/12/2025"/>
    <s v="Amit Sharma"/>
    <s v="Male"/>
    <s v="25/12/1987"/>
    <s v="Jaipur"/>
    <x v="1"/>
    <x v="0"/>
    <s v="Iron"/>
    <n v="9"/>
    <n v="2200"/>
    <n v="20"/>
    <n v="15840"/>
    <n v="1"/>
    <s v="NetBanking"/>
    <s v="Neha"/>
    <s v="amit.sharma@company.com"/>
    <s v="9281127052"/>
    <s v="Completed"/>
  </r>
  <r>
    <s v="ORD10424"/>
    <s v="C003"/>
    <s v="P302"/>
    <x v="281"/>
    <s v="16/01/2025"/>
    <s v="Rohit Singh"/>
    <s v="Male"/>
    <s v="23/03/2001"/>
    <s v="Kolkata"/>
    <x v="3"/>
    <x v="2"/>
    <s v="Pen"/>
    <n v="8"/>
    <n v="20"/>
    <n v="20"/>
    <n v="128"/>
    <n v="4"/>
    <s v="Cash"/>
    <s v="Ritika"/>
    <s v="rohit.singh@company.com"/>
    <s v="9346312555"/>
    <s v="Cancelled"/>
  </r>
  <r>
    <s v="ORD10425"/>
    <s v="C005"/>
    <s v="P101"/>
    <x v="282"/>
    <s v="22/01/2026"/>
    <s v="Vikas Mehta"/>
    <s v="Male"/>
    <s v="22/09/1982"/>
    <s v="Pune"/>
    <x v="2"/>
    <x v="1"/>
    <s v="Laptop"/>
    <n v="5"/>
    <n v="55000"/>
    <n v="0"/>
    <n v="275000"/>
    <n v="1"/>
    <s v="Card"/>
    <s v="Neha"/>
    <s v="vikas.mehta@company.com"/>
    <s v="9443786067"/>
    <s v="Completed"/>
  </r>
  <r>
    <s v="ORD10426"/>
    <s v="C002"/>
    <s v="P103"/>
    <x v="283"/>
    <s v="18/03/2026"/>
    <s v="Priya Patel"/>
    <s v="Female"/>
    <s v="15/09/1986"/>
    <s v="Mumbai"/>
    <x v="2"/>
    <x v="1"/>
    <s v="Keyboard"/>
    <n v="13"/>
    <n v="1200"/>
    <n v="5"/>
    <n v="14820"/>
    <n v="2"/>
    <s v="Card"/>
    <s v="Ritika"/>
    <s v="priYa.patel@company.com"/>
    <s v="9452540528"/>
    <s v="Cancelled"/>
  </r>
  <r>
    <s v="ORD10427"/>
    <s v="C007"/>
    <s v="P203"/>
    <x v="237"/>
    <s v="30/11/2025"/>
    <s v="Arjun Rao"/>
    <s v="Male"/>
    <s v="12/12/2002"/>
    <s v="Jaipur"/>
    <x v="1"/>
    <x v="0"/>
    <s v="Microwave"/>
    <n v="13"/>
    <n v="8500"/>
    <n v="20"/>
    <n v="88400"/>
    <n v="5"/>
    <s v="Cash"/>
    <s v="Rahul"/>
    <s v="arjun.rao@company.com"/>
    <s v="9750918728"/>
    <s v="Pending"/>
  </r>
  <r>
    <s v="ORD10428"/>
    <s v="C009"/>
    <s v="P301"/>
    <x v="122"/>
    <s v="15/02/2025"/>
    <s v="Mohit Verma"/>
    <s v="Male"/>
    <s v="15/09/1998"/>
    <s v="Pune"/>
    <x v="2"/>
    <x v="2"/>
    <s v="Notebook"/>
    <n v="14"/>
    <n v="60"/>
    <n v="10"/>
    <n v="756"/>
    <n v="1"/>
    <s v="Cash"/>
    <s v="Aisha"/>
    <s v="mohit.verma@company.com"/>
    <s v="9375975834"/>
    <s v="Cancelled"/>
  </r>
  <r>
    <s v="ORD10429"/>
    <s v="C006"/>
    <s v="P202"/>
    <x v="159"/>
    <s v="29/04/2025"/>
    <s v="Sneha Joshi"/>
    <s v="Female"/>
    <s v="17/10/1985"/>
    <s v="Bengaluru"/>
    <x v="0"/>
    <x v="0"/>
    <s v="Iron"/>
    <n v="15"/>
    <n v="2200"/>
    <n v="0"/>
    <n v="33000"/>
    <n v="1"/>
    <s v="Cash"/>
    <s v="Aisha"/>
    <s v="sneha.joshi@company.com"/>
    <s v="9497321112"/>
    <s v="Completed"/>
  </r>
  <r>
    <s v="ORD10430"/>
    <s v="C007"/>
    <s v="P301"/>
    <x v="284"/>
    <s v="29/08/2025"/>
    <s v="Arjun Rao"/>
    <s v="Male"/>
    <s v="15/08/1995"/>
    <s v="Jaipur"/>
    <x v="1"/>
    <x v="2"/>
    <s v="Notebook"/>
    <n v="19"/>
    <n v="60"/>
    <n v="20"/>
    <n v="912"/>
    <n v="3"/>
    <s v="Cash"/>
    <s v="Karan"/>
    <s v="arjun.rao@company.com"/>
    <s v="9828749888"/>
    <s v="Pending"/>
  </r>
  <r>
    <s v="ORD10431"/>
    <s v="C010"/>
    <s v="P303"/>
    <x v="285"/>
    <s v="23/10/2025"/>
    <s v="Pooja Shah"/>
    <s v="Female"/>
    <s v="27/08/1985"/>
    <s v="Jaipur"/>
    <x v="1"/>
    <x v="2"/>
    <s v="Marker"/>
    <n v="13"/>
    <n v="45"/>
    <n v="15"/>
    <n v="497.25"/>
    <n v="2"/>
    <s v="Cash"/>
    <s v="Rahul"/>
    <s v="pooja.shah@company.com"/>
    <s v="9814267382"/>
    <s v="Completed"/>
  </r>
  <r>
    <s v="ORD10432"/>
    <s v="C006"/>
    <s v="P104"/>
    <x v="286"/>
    <s v="24/01/2026"/>
    <s v="Sneha Joshi"/>
    <s v="Female"/>
    <s v="05/06/1975"/>
    <s v="Mumbai"/>
    <x v="2"/>
    <x v="1"/>
    <s v="Monitor"/>
    <n v="7"/>
    <n v="12000"/>
    <n v="5"/>
    <n v="79800"/>
    <n v="4"/>
    <s v="Card"/>
    <s v="Karan"/>
    <s v="sneha.joshi@company.com"/>
    <s v="9937007439"/>
    <s v="Cancelled"/>
  </r>
  <r>
    <s v="ORD10433"/>
    <s v="C001"/>
    <s v="P302"/>
    <x v="254"/>
    <m/>
    <s v="Amit Sharma"/>
    <s v="Male"/>
    <s v="25/03/1997"/>
    <s v="Kolkata"/>
    <x v="3"/>
    <x v="2"/>
    <s v="Pen"/>
    <n v="8"/>
    <n v="20"/>
    <n v="0"/>
    <n v="160"/>
    <n v="4"/>
    <s v="Card"/>
    <s v="Aisha"/>
    <s v="amit.sharma@company.com"/>
    <s v="9657513435"/>
    <s v="Pending"/>
  </r>
  <r>
    <s v="ORD10434"/>
    <s v="C008"/>
    <s v="P201"/>
    <x v="287"/>
    <s v="06/02/2025"/>
    <s v="Kavya Nair"/>
    <s v="Female"/>
    <s v="18/04/1997"/>
    <s v="Kolkata"/>
    <x v="3"/>
    <x v="0"/>
    <s v="Mixer"/>
    <n v="16"/>
    <n v="3500"/>
    <n v="5"/>
    <n v="53200"/>
    <n v="1"/>
    <s v="Card"/>
    <s v="Aisha"/>
    <s v="KAvya.nair@company.com"/>
    <s v="9999406260"/>
    <s v="Cancelled"/>
  </r>
  <r>
    <s v="ORD10435"/>
    <s v="C001"/>
    <s v="P203"/>
    <x v="288"/>
    <s v="04/03/2025"/>
    <s v="Amit Sharma"/>
    <s v="Male"/>
    <s v="28/05/1999"/>
    <s v="Mumbai"/>
    <x v="2"/>
    <x v="0"/>
    <s v="Microwave"/>
    <n v="12"/>
    <n v="8500"/>
    <n v="10"/>
    <n v="91800"/>
    <n v="3"/>
    <s v="Card"/>
    <s v="Ritika"/>
    <s v="amit.sharma@company.com"/>
    <s v="9233727886"/>
    <s v="Completed"/>
  </r>
  <r>
    <s v="ORD10436"/>
    <s v="C008"/>
    <s v="P301"/>
    <x v="289"/>
    <s v="20/04/2025"/>
    <s v="Kavya Nair"/>
    <s v="Female"/>
    <s v="25/06/1983"/>
    <s v="Ahmedabad"/>
    <x v="2"/>
    <x v="2"/>
    <s v="Notebook"/>
    <n v="1"/>
    <n v="60"/>
    <n v="20"/>
    <n v="48"/>
    <n v="2"/>
    <s v="Card"/>
    <s v="Karan"/>
    <s v="KAvya.nair@company.com"/>
    <s v="9831688801"/>
    <s v="Completed"/>
  </r>
  <r>
    <s v="ORD10437"/>
    <s v="C003"/>
    <s v="P301"/>
    <x v="75"/>
    <s v="11/11/2025"/>
    <s v="Rohit Singh"/>
    <s v="Male"/>
    <s v="26/01/1993"/>
    <s v="Hyderabad"/>
    <x v="0"/>
    <x v="2"/>
    <s v="Notebook"/>
    <n v="3"/>
    <n v="60"/>
    <n v="15"/>
    <n v="153"/>
    <n v="4"/>
    <s v="Card"/>
    <s v="Ritika"/>
    <s v="rohit.singh@company.com"/>
    <s v="9982849508"/>
    <s v="Completed"/>
  </r>
  <r>
    <s v="ORD10438"/>
    <s v="C002"/>
    <s v="P102"/>
    <x v="290"/>
    <s v="25/03/2025"/>
    <s v="Priya Patel"/>
    <s v="Female"/>
    <s v="03/03/1979"/>
    <s v="Kolkata"/>
    <x v="3"/>
    <x v="1"/>
    <s v="Mouse"/>
    <n v="10"/>
    <n v="700"/>
    <n v="15"/>
    <n v="5950"/>
    <n v="3"/>
    <s v="NetBanking"/>
    <s v="Ritika"/>
    <s v="priYa.patel@company.com"/>
    <s v="9288309246"/>
    <s v="Pending"/>
  </r>
  <r>
    <s v="ORD10439"/>
    <s v="C007"/>
    <s v="P302"/>
    <x v="291"/>
    <s v="25/10/2025"/>
    <s v="Arjun Rao"/>
    <s v="Male"/>
    <s v="13/09/1976"/>
    <s v="Ahmedabad"/>
    <x v="2"/>
    <x v="2"/>
    <s v="Pen"/>
    <n v="2"/>
    <n v="20"/>
    <n v="10"/>
    <n v="36"/>
    <n v="2"/>
    <s v="UPI"/>
    <s v="Aisha"/>
    <s v="arjun.rao@company.com"/>
    <s v="9808476235"/>
    <s v="Completed"/>
  </r>
  <r>
    <s v="ORD10440"/>
    <s v="C007"/>
    <s v="P302"/>
    <x v="292"/>
    <s v="05/01/2026"/>
    <s v="Arjun Rao"/>
    <s v="Male"/>
    <s v="27/07/1991"/>
    <s v="Delhi"/>
    <x v="1"/>
    <x v="2"/>
    <s v="Pen"/>
    <n v="14"/>
    <n v="20"/>
    <n v="20"/>
    <n v="224"/>
    <n v="5"/>
    <s v="Cash"/>
    <s v="Karan"/>
    <s v="arjun.rao@company.com"/>
    <s v="9869056117"/>
    <s v="Pending"/>
  </r>
  <r>
    <s v="ORD10441"/>
    <s v="C001"/>
    <s v="P201"/>
    <x v="293"/>
    <s v="25/06/2025"/>
    <s v="Amit Sharma"/>
    <s v="Male"/>
    <s v="25/10/1987"/>
    <s v="Ahmedabad"/>
    <x v="2"/>
    <x v="0"/>
    <s v="Mixer"/>
    <n v="4"/>
    <n v="3500"/>
    <n v="0"/>
    <n v="14000"/>
    <n v="2"/>
    <s v="UPI"/>
    <s v="Ritika"/>
    <s v="amit.sharma@company.com"/>
    <s v="9734229772"/>
    <s v="Cancelled"/>
  </r>
  <r>
    <s v="ORD10442"/>
    <s v="C007"/>
    <s v="P201"/>
    <x v="40"/>
    <s v="05/06/2025"/>
    <s v="Arjun Rao"/>
    <s v="Male"/>
    <s v="09/11/1983"/>
    <s v="Jaipur"/>
    <x v="1"/>
    <x v="0"/>
    <s v="Mixer"/>
    <n v="9"/>
    <n v="3500"/>
    <n v="5"/>
    <n v="29925"/>
    <n v="3"/>
    <s v="Card"/>
    <s v="Aisha"/>
    <s v="arjun.rao@company.com"/>
    <s v="9791617906"/>
    <s v="Completed"/>
  </r>
  <r>
    <s v="ORD10443"/>
    <s v="C003"/>
    <s v="P301"/>
    <x v="109"/>
    <s v="03/06/2025"/>
    <s v="Rohit Singh"/>
    <s v="Male"/>
    <s v="28/12/1983"/>
    <s v="Mumbai"/>
    <x v="2"/>
    <x v="2"/>
    <s v="Notebook"/>
    <n v="9"/>
    <n v="60"/>
    <n v="0"/>
    <n v="540"/>
    <n v="3"/>
    <s v="UPI"/>
    <s v="Ritika"/>
    <s v="rohit.singh@company.com"/>
    <s v="9286316823"/>
    <s v="Pending"/>
  </r>
  <r>
    <s v="ORD10444"/>
    <s v="C004"/>
    <s v="P103"/>
    <x v="294"/>
    <s v="03/05/2025"/>
    <s v="Anita Gupta"/>
    <s v="Female"/>
    <s v="15/09/1992"/>
    <s v="Ahmedabad"/>
    <x v="2"/>
    <x v="1"/>
    <s v="Keyboard"/>
    <n v="4"/>
    <n v="1200"/>
    <n v="0"/>
    <n v="4800"/>
    <n v="1"/>
    <s v="NetBanking"/>
    <s v="Aisha"/>
    <s v="anita.gupta@company.com"/>
    <s v="9810569252"/>
    <s v="Completed"/>
  </r>
  <r>
    <s v="ORD10445"/>
    <s v="C010"/>
    <s v="P101"/>
    <x v="257"/>
    <s v="13/02/2025"/>
    <s v="Pooja Shah"/>
    <s v="Female"/>
    <s v="09/08/1999"/>
    <s v="Hyderabad"/>
    <x v="0"/>
    <x v="1"/>
    <s v="Laptop"/>
    <n v="10"/>
    <n v="55000"/>
    <n v="5"/>
    <n v="522500"/>
    <n v="5"/>
    <s v="UPI"/>
    <s v="Neha"/>
    <s v="pooja.shah@company.com"/>
    <s v="9771745925"/>
    <s v="Completed"/>
  </r>
  <r>
    <s v="ORD10446"/>
    <s v="C005"/>
    <s v="P303"/>
    <x v="295"/>
    <s v="06/07/2025"/>
    <s v="Vikas Mehta"/>
    <s v="Male"/>
    <s v="27/02/1990"/>
    <s v="Hyderabad"/>
    <x v="0"/>
    <x v="2"/>
    <s v="Marker"/>
    <n v="20"/>
    <n v="45"/>
    <n v="15"/>
    <n v="765"/>
    <n v="2"/>
    <s v="Card"/>
    <s v="Ritika"/>
    <s v="vikas.mehta@company.com"/>
    <s v="9820683063"/>
    <s v="Cancelled"/>
  </r>
  <r>
    <s v="ORD10447"/>
    <s v="C008"/>
    <s v="P302"/>
    <x v="296"/>
    <s v="22/02/2026"/>
    <s v="Kavya Nair"/>
    <s v="Female"/>
    <s v="27/03/1994"/>
    <s v="Mumbai"/>
    <x v="2"/>
    <x v="2"/>
    <s v="Pen"/>
    <n v="9"/>
    <n v="20"/>
    <n v="20"/>
    <n v="144"/>
    <n v="3"/>
    <s v="Card"/>
    <s v="Aisha"/>
    <s v="KAvya.nair@company.com"/>
    <s v="9292891941"/>
    <s v="Completed"/>
  </r>
  <r>
    <s v="ORD10448"/>
    <s v="C008"/>
    <s v="P101"/>
    <x v="6"/>
    <s v="14/03/2025"/>
    <s v="Kavya Nair"/>
    <s v="Female"/>
    <s v="11/06/1980"/>
    <s v="Pune"/>
    <x v="2"/>
    <x v="1"/>
    <s v="Laptop"/>
    <n v="8"/>
    <n v="55000"/>
    <n v="0"/>
    <n v="440000"/>
    <n v="4"/>
    <s v="Cash"/>
    <s v="Neha"/>
    <s v="KAvya.nair@company.com"/>
    <s v="9413789556"/>
    <s v="Completed"/>
  </r>
  <r>
    <s v="ORD10449"/>
    <s v="C001"/>
    <s v="P103"/>
    <x v="297"/>
    <s v="28/04/2026"/>
    <s v="Amit Sharma"/>
    <s v="Male"/>
    <s v="10/06/2000"/>
    <s v="Ahmedabad"/>
    <x v="2"/>
    <x v="1"/>
    <s v="Keyboard"/>
    <n v="4"/>
    <n v="1200"/>
    <n v="10"/>
    <n v="4320"/>
    <n v="4"/>
    <s v="UPI"/>
    <s v="Ritika"/>
    <s v="amit.sharma@company.com"/>
    <s v="98765"/>
    <s v="Cancelled"/>
  </r>
  <r>
    <s v="ORD10450"/>
    <s v="C001"/>
    <s v="P203"/>
    <x v="131"/>
    <s v="13/05/2026"/>
    <s v="Amit Sharma"/>
    <s v="Male"/>
    <s v="21/04/1998"/>
    <s v="Kolkata"/>
    <x v="3"/>
    <x v="0"/>
    <s v="Microwave"/>
    <n v="14"/>
    <n v="8500"/>
    <n v="10"/>
    <n v="107100"/>
    <n v="4"/>
    <s v="Cash"/>
    <s v="Ritika"/>
    <s v="amit.sharma@company.com"/>
    <s v="9211936331"/>
    <s v="Completed"/>
  </r>
  <r>
    <s v="ORD10451"/>
    <s v="C009"/>
    <s v="P303"/>
    <x v="109"/>
    <s v="07/06/2025"/>
    <s v="Mohit Verma"/>
    <s v="Male"/>
    <s v="10/05/1984"/>
    <s v="Hyderabad"/>
    <x v="0"/>
    <x v="2"/>
    <s v="Marker"/>
    <n v="1"/>
    <n v="45"/>
    <n v="0"/>
    <n v="45"/>
    <n v="3"/>
    <s v="UPI"/>
    <s v="Karan"/>
    <s v="mohit.verma@company.com"/>
    <s v="9167291747"/>
    <s v="Cancelled"/>
  </r>
  <r>
    <s v="ORD10452"/>
    <s v="C009"/>
    <s v="P101"/>
    <x v="298"/>
    <s v="28/02/2025"/>
    <s v="Mohit Verma"/>
    <s v="Male"/>
    <s v="07/10/1986"/>
    <s v="Delhi"/>
    <x v="1"/>
    <x v="1"/>
    <s v="Laptop"/>
    <n v="16"/>
    <n v="55000"/>
    <n v="15"/>
    <n v="748000"/>
    <n v="1"/>
    <s v="Card"/>
    <s v="Karan"/>
    <s v="mohit.verma@company.com"/>
    <s v="9637283597"/>
    <s v="Cancelled"/>
  </r>
  <r>
    <s v="ORD10453"/>
    <s v="C010"/>
    <s v="P102"/>
    <x v="299"/>
    <s v="29/03/2026"/>
    <s v="Pooja Shah"/>
    <s v="Female"/>
    <s v="01/11/2003"/>
    <s v="Ahmedabad"/>
    <x v="2"/>
    <x v="1"/>
    <s v="Mouse"/>
    <n v="8"/>
    <n v="700"/>
    <n v="0"/>
    <n v="5600"/>
    <n v="3"/>
    <s v="Cash"/>
    <s v="Rahul"/>
    <s v="pooja.shah@company.com"/>
    <s v="9514269002"/>
    <s v="Completed"/>
  </r>
  <r>
    <s v="ORD10454"/>
    <s v="C006"/>
    <s v="P103"/>
    <x v="300"/>
    <s v="13/04/2026"/>
    <s v="Sneha Joshi"/>
    <s v="Female"/>
    <s v="10/06/2003"/>
    <s v="Ahmedabad"/>
    <x v="2"/>
    <x v="1"/>
    <s v="Keyboard"/>
    <n v="3"/>
    <n v="1200"/>
    <n v="0"/>
    <n v="3600"/>
    <n v="1"/>
    <s v="Card"/>
    <s v="Rahul"/>
    <s v="sneha.joshi@company.com"/>
    <s v="9778908233"/>
    <s v="Cancelled"/>
  </r>
  <r>
    <s v="ORD10455"/>
    <s v="C009"/>
    <s v="P201"/>
    <x v="301"/>
    <s v="26/02/2025"/>
    <s v="Mohit Verma"/>
    <s v="Male"/>
    <s v="27/03/1990"/>
    <s v="Kolkata"/>
    <x v="3"/>
    <x v="0"/>
    <s v="Mixer"/>
    <n v="7"/>
    <n v="3500"/>
    <n v="15"/>
    <n v="20825"/>
    <n v="4"/>
    <s v="Card"/>
    <s v="Aisha"/>
    <s v="mohit.verma@company.com"/>
    <s v="9981118755"/>
    <s v="Pending"/>
  </r>
  <r>
    <s v="ORD10456"/>
    <s v="C010"/>
    <s v="P101"/>
    <x v="302"/>
    <s v="04/04/2026"/>
    <s v="Pooja Shah"/>
    <s v="Female"/>
    <s v="28/05/2003"/>
    <s v="Pune"/>
    <x v="2"/>
    <x v="1"/>
    <s v="Laptop"/>
    <n v="9"/>
    <n v="55000"/>
    <n v="15"/>
    <n v="420750"/>
    <n v="3"/>
    <s v="UPI"/>
    <s v="Ritika"/>
    <s v="pooja.shah@company.com"/>
    <s v="9887896743"/>
    <s v="Cancelled"/>
  </r>
  <r>
    <s v="ORD10457"/>
    <s v="C001"/>
    <s v="P104"/>
    <x v="18"/>
    <s v="02/12/2025"/>
    <s v="Amit Sharma"/>
    <s v="Male"/>
    <s v="06/02/1993"/>
    <s v="Bengaluru"/>
    <x v="0"/>
    <x v="1"/>
    <s v="Monitor"/>
    <n v="12"/>
    <n v="12000"/>
    <n v="0"/>
    <n v="144000"/>
    <n v="3"/>
    <s v="Card"/>
    <s v="Karan"/>
    <s v="amit.sharma@company.com"/>
    <s v="9585330043"/>
    <s v="Cancelled"/>
  </r>
  <r>
    <s v="ORD10458"/>
    <s v="C002"/>
    <s v="P301"/>
    <x v="303"/>
    <s v="11/05/2025"/>
    <s v="Priya Patel"/>
    <s v="Female"/>
    <s v="02/09/1975"/>
    <s v="Ahmedabad"/>
    <x v="2"/>
    <x v="2"/>
    <s v="Notebook"/>
    <n v="7"/>
    <n v="60"/>
    <n v="10"/>
    <n v="378"/>
    <n v="4"/>
    <s v="Cash"/>
    <s v="Rahul"/>
    <s v="priYa.patel@company.com"/>
    <s v="9423719975"/>
    <s v="Cancelled"/>
  </r>
  <r>
    <s v="ORD10459"/>
    <s v="C005"/>
    <s v="P202"/>
    <x v="304"/>
    <s v="31/08/2025"/>
    <s v="Vikas Mehta"/>
    <s v="Male"/>
    <s v="09/09/1994"/>
    <s v="Mumbai"/>
    <x v="2"/>
    <x v="0"/>
    <s v="Iron"/>
    <n v="17"/>
    <n v="2200"/>
    <n v="15"/>
    <n v="31790"/>
    <n v="3"/>
    <s v="UPI"/>
    <s v="Karan"/>
    <s v="vikas.mehta@company.com"/>
    <s v="9270746961"/>
    <s v="Pending"/>
  </r>
  <r>
    <s v="ORD10460"/>
    <s v="C001"/>
    <s v="P102"/>
    <x v="46"/>
    <s v="06/12/2025"/>
    <s v="Amit Sharma"/>
    <s v="Male"/>
    <s v="07/10/1992"/>
    <s v="Bengaluru"/>
    <x v="0"/>
    <x v="1"/>
    <s v="Mouse"/>
    <n v="17"/>
    <n v="700"/>
    <n v="10"/>
    <n v="10710"/>
    <n v="2"/>
    <s v="Cash"/>
    <s v="Aisha"/>
    <s v="amit.sharma@company.com"/>
    <s v="9333162025"/>
    <s v="Pending"/>
  </r>
  <r>
    <s v="ORD10461"/>
    <s v="C001"/>
    <s v="P101"/>
    <x v="305"/>
    <s v="01/06/2025"/>
    <s v="Amit Sharma"/>
    <s v="Male"/>
    <s v="17/07/2002"/>
    <s v="Delhi"/>
    <x v="1"/>
    <x v="1"/>
    <s v="Laptop"/>
    <n v="19"/>
    <n v="55000"/>
    <n v="20"/>
    <n v="836000"/>
    <n v="5"/>
    <s v="NetBanking"/>
    <s v="Aisha"/>
    <s v="amit.sharma@company.com"/>
    <s v="9247023285"/>
    <s v="Completed"/>
  </r>
  <r>
    <s v="ORD10462"/>
    <s v="C003"/>
    <s v="P301"/>
    <x v="306"/>
    <s v="19/09/2025"/>
    <s v="Rohit Singh"/>
    <s v="Male"/>
    <s v="03/02/2001"/>
    <s v="Delhi"/>
    <x v="1"/>
    <x v="2"/>
    <s v="Notebook"/>
    <n v="1"/>
    <n v="60"/>
    <n v="10"/>
    <n v="54"/>
    <n v="4"/>
    <s v="NetBanking"/>
    <s v="Not Assigned"/>
    <s v="rohit.singh@company.com"/>
    <s v="9448658297"/>
    <s v="Cancelled"/>
  </r>
  <r>
    <s v="ORD10463"/>
    <s v="C009"/>
    <s v="P201"/>
    <x v="307"/>
    <s v="11/03/2026"/>
    <s v="Mohit Verma"/>
    <s v="Male"/>
    <s v="23/06/1990"/>
    <s v="Hyderabad"/>
    <x v="0"/>
    <x v="0"/>
    <s v="Mixer"/>
    <n v="16"/>
    <n v="3500"/>
    <n v="0"/>
    <n v="56000"/>
    <n v="4"/>
    <s v="NetBanking"/>
    <s v="Ritika"/>
    <s v="mohit.verma@company.com"/>
    <s v="9906748486"/>
    <s v="Pending"/>
  </r>
  <r>
    <s v="ORD10464"/>
    <s v="C003"/>
    <s v="P302"/>
    <x v="260"/>
    <s v="05/02/2025"/>
    <s v="Rohit Singh"/>
    <s v="Male"/>
    <s v="13/05/1978"/>
    <s v="Pune"/>
    <x v="2"/>
    <x v="2"/>
    <s v="Pen"/>
    <n v="14"/>
    <n v="20"/>
    <n v="10"/>
    <n v="252"/>
    <n v="1"/>
    <s v="NetBanking"/>
    <s v="Aisha"/>
    <s v="rohit.singh@company.com"/>
    <s v="9365182725"/>
    <s v="Pending"/>
  </r>
  <r>
    <s v="ORD10465"/>
    <s v="C009"/>
    <s v="P202"/>
    <x v="68"/>
    <s v="14/12/2025"/>
    <s v="Mohit Verma"/>
    <s v="Male"/>
    <s v="22/07/2000"/>
    <s v="Bengaluru"/>
    <x v="0"/>
    <x v="0"/>
    <s v="Iron"/>
    <n v="11"/>
    <n v="2200"/>
    <n v="15"/>
    <n v="20570"/>
    <n v="4"/>
    <s v="NetBanking"/>
    <s v="Rahul"/>
    <s v="mohit.verma@company.com"/>
    <s v="9937119494"/>
    <s v="Cancelled"/>
  </r>
  <r>
    <s v="ORD10466"/>
    <s v="C007"/>
    <s v="P101"/>
    <x v="308"/>
    <s v="09/08/2025"/>
    <s v="Arjun Rao"/>
    <s v="Male"/>
    <s v="20/03/1985"/>
    <s v="Jaipur"/>
    <x v="1"/>
    <x v="1"/>
    <s v="Laptop"/>
    <n v="2"/>
    <n v="55000"/>
    <n v="0"/>
    <n v="110000"/>
    <n v="4"/>
    <s v="NetBanking"/>
    <s v="Rahul"/>
    <s v="arjun.rao@company.com"/>
    <s v="9828015293"/>
    <s v="Cancelled"/>
  </r>
  <r>
    <s v="ORD10467"/>
    <s v="C010"/>
    <s v="P202"/>
    <x v="76"/>
    <s v="07/01/2025"/>
    <s v="Pooja Shah"/>
    <s v="Female"/>
    <s v="08/02/1988"/>
    <s v="Pune"/>
    <x v="2"/>
    <x v="0"/>
    <s v="Iron"/>
    <n v="7"/>
    <n v="2200"/>
    <n v="5"/>
    <n v="14630"/>
    <n v="4"/>
    <s v="Card"/>
    <s v="Neha"/>
    <s v="pooja.shah@company.com"/>
    <s v="9864206250"/>
    <s v="Cancelled"/>
  </r>
  <r>
    <s v="ORD10468"/>
    <s v="C008"/>
    <s v="P303"/>
    <x v="309"/>
    <s v="12/04/2025"/>
    <s v="Kavya Nair"/>
    <s v="Female"/>
    <s v="26/04/1997"/>
    <s v="Ahmedabad"/>
    <x v="2"/>
    <x v="2"/>
    <s v="Marker"/>
    <n v="11"/>
    <n v="45"/>
    <n v="15"/>
    <n v="420.75"/>
    <n v="4"/>
    <s v="Card"/>
    <s v="Aisha"/>
    <s v="KAvya.nair@company.com"/>
    <s v="9519293104"/>
    <s v="Pending"/>
  </r>
  <r>
    <s v="ORD10469"/>
    <s v="C002"/>
    <s v="P301"/>
    <x v="181"/>
    <s v="30/04/2025"/>
    <s v="Priya Patel"/>
    <s v="Female"/>
    <s v="22/05/2001"/>
    <s v="Mumbai"/>
    <x v="2"/>
    <x v="2"/>
    <s v="Notebook"/>
    <n v="16"/>
    <n v="60"/>
    <n v="5"/>
    <n v="912"/>
    <n v="2"/>
    <s v="Cash"/>
    <s v="Neha"/>
    <s v="priYa.patel@company.com"/>
    <s v="9296075245"/>
    <s v="Cancelled"/>
  </r>
  <r>
    <s v="ORD10470"/>
    <s v="C001"/>
    <s v="P101"/>
    <x v="310"/>
    <s v="04/11/2025"/>
    <s v="Amit Sharma"/>
    <s v="Male"/>
    <s v="19/06/1982"/>
    <s v="Pune"/>
    <x v="2"/>
    <x v="1"/>
    <s v="Laptop"/>
    <n v="18"/>
    <n v="55000"/>
    <n v="0"/>
    <n v="990000"/>
    <n v="5"/>
    <s v="NetBanking"/>
    <s v="Rahul"/>
    <s v="amit.sharma@company.com"/>
    <s v="9316770206"/>
    <s v="Pending"/>
  </r>
  <r>
    <s v="ORD10471"/>
    <s v="C008"/>
    <s v="P103"/>
    <x v="311"/>
    <s v="22/10/2025"/>
    <s v="Kavya Nair"/>
    <s v="Female"/>
    <s v="23/06/1999"/>
    <s v="Bengaluru"/>
    <x v="0"/>
    <x v="1"/>
    <s v="Keyboard"/>
    <n v="17"/>
    <n v="1200"/>
    <n v="5"/>
    <n v="19380"/>
    <n v="1"/>
    <s v="NetBanking"/>
    <s v="Ritika"/>
    <s v="KAvya.nair@company.com"/>
    <s v="9706553861"/>
    <s v="Pending"/>
  </r>
  <r>
    <s v="ORD10472"/>
    <s v="C010"/>
    <s v="P101"/>
    <x v="1"/>
    <s v="05/05/2025"/>
    <s v="Pooja Shah"/>
    <s v="Female"/>
    <s v="02/02/2001"/>
    <s v="Pune"/>
    <x v="2"/>
    <x v="1"/>
    <s v="Laptop"/>
    <n v="11"/>
    <n v="55000"/>
    <n v="0"/>
    <n v="605000"/>
    <n v="2"/>
    <s v="Cash"/>
    <s v="Aisha"/>
    <s v="pooja.shah@company.com"/>
    <s v="9524904662"/>
    <s v="Pending"/>
  </r>
  <r>
    <s v="ORD10473"/>
    <s v="C006"/>
    <s v="P102"/>
    <x v="26"/>
    <s v="31/05/2025"/>
    <s v="Sneha Joshi"/>
    <s v="Female"/>
    <s v="09/02/1999"/>
    <s v="Delhi"/>
    <x v="1"/>
    <x v="1"/>
    <s v="Mouse"/>
    <n v="20"/>
    <n v="700"/>
    <n v="20"/>
    <n v="11200"/>
    <n v="5"/>
    <s v="NetBanking"/>
    <s v="Aisha"/>
    <s v="sneha.joshi@company.com"/>
    <s v="9577624596"/>
    <s v="Completed"/>
  </r>
  <r>
    <s v="ORD10474"/>
    <s v="C009"/>
    <s v="P302"/>
    <x v="312"/>
    <s v="08/02/2026"/>
    <s v="Mohit Verma"/>
    <s v="Male"/>
    <s v="06/05/1988"/>
    <s v="Delhi"/>
    <x v="1"/>
    <x v="2"/>
    <s v="Pen"/>
    <n v="5"/>
    <n v="20"/>
    <n v="5"/>
    <n v="95"/>
    <n v="4"/>
    <s v="Cash"/>
    <s v="Rahul"/>
    <s v="mohit.verma@company.com"/>
    <s v="9898452436"/>
    <s v="Cancelled"/>
  </r>
  <r>
    <s v="ORD10475"/>
    <s v="C001"/>
    <s v="P101"/>
    <x v="122"/>
    <s v="11/02/2025"/>
    <s v="Amit Sharma"/>
    <s v="Male"/>
    <s v="12/02/1975"/>
    <s v="Mumbai"/>
    <x v="2"/>
    <x v="1"/>
    <s v="Laptop"/>
    <n v="13"/>
    <n v="55000"/>
    <n v="5"/>
    <n v="679250"/>
    <n v="1"/>
    <s v="NetBanking"/>
    <s v="Rahul"/>
    <s v="amit.sharma@company.com"/>
    <s v="9960757012"/>
    <s v="Pending"/>
  </r>
  <r>
    <s v="ORD10476"/>
    <s v="C003"/>
    <s v="P101"/>
    <x v="22"/>
    <s v="20/04/2025"/>
    <s v="Rohit Singh"/>
    <s v="Male"/>
    <s v="01/01/2004"/>
    <s v="Kolkata"/>
    <x v="3"/>
    <x v="1"/>
    <s v="Laptop"/>
    <n v="12"/>
    <n v="55000"/>
    <n v="5"/>
    <n v="627000"/>
    <n v="1"/>
    <s v="NetBanking"/>
    <s v="Neha"/>
    <s v="rohit.singh@company.com"/>
    <s v="9331268182"/>
    <s v="Cancelled"/>
  </r>
  <r>
    <s v="ORD10477"/>
    <s v="C010"/>
    <s v="P303"/>
    <x v="313"/>
    <s v="28/01/2025"/>
    <s v="Pooja Shah"/>
    <s v="Female"/>
    <s v="23/08/2001"/>
    <s v="Mumbai"/>
    <x v="2"/>
    <x v="2"/>
    <s v="Marker"/>
    <n v="16"/>
    <n v="45"/>
    <n v="20"/>
    <n v="576"/>
    <n v="2"/>
    <s v="Cash"/>
    <s v="Rahul"/>
    <s v="pooja.shah@company.com"/>
    <s v="9135996862"/>
    <s v="Pending"/>
  </r>
  <r>
    <s v="ORD10478"/>
    <s v="C008"/>
    <s v="P103"/>
    <x v="0"/>
    <s v="27/09/2025"/>
    <s v="Kavya Nair"/>
    <s v="Female"/>
    <s v="23/01/1998"/>
    <s v="Bengaluru"/>
    <x v="0"/>
    <x v="1"/>
    <s v="Keyboard"/>
    <n v="5"/>
    <n v="1200"/>
    <n v="10"/>
    <n v="5400"/>
    <n v="1"/>
    <s v="Cash"/>
    <s v="Not Assigned"/>
    <s v="KAvya.nair@company.com"/>
    <s v="9540813143"/>
    <s v="Completed"/>
  </r>
  <r>
    <s v="ORD10479"/>
    <s v="C004"/>
    <s v="P303"/>
    <x v="314"/>
    <s v="20/10/2025"/>
    <s v="Anita Gupta"/>
    <s v="Female"/>
    <s v="28/05/2004"/>
    <s v="Kolkata"/>
    <x v="3"/>
    <x v="2"/>
    <s v="Marker"/>
    <n v="2"/>
    <n v="45"/>
    <n v="10"/>
    <n v="81"/>
    <n v="4"/>
    <s v="UPI"/>
    <s v="Rahul"/>
    <s v="anita.gupta@company.com"/>
    <s v="9910913552"/>
    <s v="Pending"/>
  </r>
  <r>
    <s v="ORD10480"/>
    <s v="C003"/>
    <s v="P104"/>
    <x v="315"/>
    <s v="18/01/2026"/>
    <s v="Rohit Singh"/>
    <s v="Male"/>
    <s v="06/03/1985"/>
    <s v="Ahmedabad"/>
    <x v="2"/>
    <x v="1"/>
    <s v="Monitor"/>
    <n v="3"/>
    <n v="12000"/>
    <n v="0"/>
    <n v="36000"/>
    <n v="2"/>
    <s v="UPI"/>
    <s v="Karan"/>
    <s v="rohit.singh@company.com"/>
    <s v="9282751683"/>
    <s v="Pending"/>
  </r>
  <r>
    <s v="ORD10481"/>
    <s v="C008"/>
    <s v="P104"/>
    <x v="316"/>
    <s v="01/02/2025"/>
    <s v="Kavya Nair"/>
    <s v="Female"/>
    <s v="06/09/1986"/>
    <s v="Bengaluru"/>
    <x v="0"/>
    <x v="1"/>
    <s v="Monitor"/>
    <n v="3"/>
    <n v="12000"/>
    <n v="20"/>
    <n v="28800"/>
    <n v="3"/>
    <s v="UPI"/>
    <s v="Neha"/>
    <s v="KAvya.nair@company.com"/>
    <s v="9939332058"/>
    <s v="Completed"/>
  </r>
  <r>
    <s v="ORD10482"/>
    <s v="C003"/>
    <s v="P203"/>
    <x v="317"/>
    <s v="08/04/2026"/>
    <s v="Rohit Singh"/>
    <s v="Male"/>
    <s v="21/08/1981"/>
    <s v="Kolkata"/>
    <x v="3"/>
    <x v="0"/>
    <s v="Microwave"/>
    <n v="9"/>
    <n v="8500"/>
    <n v="15"/>
    <n v="65025"/>
    <n v="5"/>
    <s v="Cash"/>
    <s v="Rahul"/>
    <s v="rohit.singh@company.com"/>
    <s v="9780626473"/>
    <s v="Pending"/>
  </r>
  <r>
    <s v="ORD10483"/>
    <s v="C009"/>
    <s v="P102"/>
    <x v="318"/>
    <s v="06/07/2025"/>
    <s v="Mohit Verma"/>
    <s v="Male"/>
    <s v="23/04/1992"/>
    <s v="Kolkata"/>
    <x v="3"/>
    <x v="1"/>
    <s v="Mouse"/>
    <n v="17"/>
    <n v="700"/>
    <n v="0"/>
    <n v="11900"/>
    <n v="2"/>
    <s v="Cash"/>
    <s v="Aisha"/>
    <s v="mohit.verma@company.com"/>
    <s v="9347298020"/>
    <s v="Cancelled"/>
  </r>
  <r>
    <s v="ORD10484"/>
    <s v="C008"/>
    <s v="P102"/>
    <x v="199"/>
    <s v="18/07/2025"/>
    <s v="Kavya Nair"/>
    <s v="Female"/>
    <s v="03/07/1991"/>
    <s v="Hyderabad"/>
    <x v="0"/>
    <x v="1"/>
    <s v="Mouse"/>
    <n v="20"/>
    <n v="700"/>
    <n v="5"/>
    <n v="13300"/>
    <n v="2"/>
    <s v="UPI"/>
    <s v="Ritika"/>
    <s v="KAvya.nair@company.com"/>
    <s v="9345328522"/>
    <s v="Completed"/>
  </r>
  <r>
    <s v="ORD10485"/>
    <s v="C001"/>
    <s v="P103"/>
    <x v="84"/>
    <s v="21/03/2026"/>
    <s v="Amit Sharma"/>
    <s v="Male"/>
    <s v="05/02/1978"/>
    <s v="Ahmedabad"/>
    <x v="2"/>
    <x v="1"/>
    <s v="Keyboard"/>
    <n v="13"/>
    <n v="1200"/>
    <n v="20"/>
    <n v="12480"/>
    <n v="5"/>
    <s v="Card"/>
    <s v="Neha"/>
    <s v="amit.sharma@company.com"/>
    <s v="9160310438"/>
    <s v="Completed"/>
  </r>
  <r>
    <s v="ORD10486"/>
    <s v="C002"/>
    <s v="P101"/>
    <x v="319"/>
    <s v="29/03/2026"/>
    <s v="Priya Patel"/>
    <s v="Female"/>
    <s v="18/07/1999"/>
    <s v="Jaipur"/>
    <x v="1"/>
    <x v="1"/>
    <s v="Laptop"/>
    <n v="20"/>
    <n v="55000"/>
    <n v="10"/>
    <n v="990000"/>
    <n v="1"/>
    <s v="UPI"/>
    <s v="Ritika"/>
    <s v="priYa.patel@company.com"/>
    <s v="9343776153"/>
    <s v="Pending"/>
  </r>
  <r>
    <s v="ORD10487"/>
    <s v="C006"/>
    <s v="P103"/>
    <x v="80"/>
    <s v="05/11/2025"/>
    <s v="Sneha Joshi"/>
    <s v="Female"/>
    <s v="03/04/1988"/>
    <s v="Kolkata"/>
    <x v="3"/>
    <x v="1"/>
    <s v="Keyboard"/>
    <n v="8"/>
    <n v="1200"/>
    <n v="0"/>
    <n v="9600"/>
    <n v="2"/>
    <s v="NetBanking"/>
    <s v="Karan"/>
    <s v="sneha.joshi@company.com"/>
    <s v="9458599727"/>
    <s v="Completed"/>
  </r>
  <r>
    <s v="ORD10488"/>
    <s v="C010"/>
    <s v="P302"/>
    <x v="320"/>
    <s v="09/05/2026"/>
    <s v="Pooja Shah"/>
    <s v="Female"/>
    <s v="11/11/1978"/>
    <s v="Kolkata"/>
    <x v="3"/>
    <x v="2"/>
    <s v="Pen"/>
    <n v="18"/>
    <n v="20"/>
    <n v="10"/>
    <n v="324"/>
    <n v="5"/>
    <s v="Card"/>
    <s v="Not Assigned"/>
    <s v="pooja.shah@company.com"/>
    <s v="9218660140"/>
    <s v="Pending"/>
  </r>
  <r>
    <s v="ORD10489"/>
    <s v="C004"/>
    <s v="P104"/>
    <x v="321"/>
    <s v="07/03/2025"/>
    <s v="Anita Gupta"/>
    <s v="Female"/>
    <s v="02/04/1994"/>
    <s v="Pune"/>
    <x v="2"/>
    <x v="1"/>
    <s v="Monitor"/>
    <n v="11"/>
    <n v="12000"/>
    <n v="10"/>
    <n v="118800"/>
    <n v="1"/>
    <s v="Card"/>
    <s v="Rahul"/>
    <s v="anita.gupta@company.com"/>
    <s v="9341979199"/>
    <s v="Cancelled"/>
  </r>
  <r>
    <s v="ORD10490"/>
    <s v="C001"/>
    <s v="P203"/>
    <x v="270"/>
    <s v="17/01/2025"/>
    <s v="Amit Sharma"/>
    <s v="Male"/>
    <s v="09/05/1993"/>
    <s v="Hyderabad"/>
    <x v="0"/>
    <x v="0"/>
    <s v="Microwave"/>
    <n v="2"/>
    <n v="8500"/>
    <n v="5"/>
    <n v="16150"/>
    <n v="1"/>
    <s v="Card"/>
    <s v="Aisha"/>
    <s v="amit.sharma@company.com"/>
    <s v="9823080381"/>
    <s v="Completed"/>
  </r>
  <r>
    <s v="ORD10491"/>
    <s v="C002"/>
    <s v="P202"/>
    <x v="42"/>
    <s v="08/04/2025"/>
    <s v="Priya Patel"/>
    <s v="Female"/>
    <s v="11/07/1994"/>
    <s v="Pune"/>
    <x v="2"/>
    <x v="0"/>
    <s v="Iron"/>
    <n v="7"/>
    <n v="2200"/>
    <n v="0"/>
    <n v="15400"/>
    <n v="5"/>
    <s v="NetBanking"/>
    <s v="Ritika"/>
    <s v="priYa.patel@company.com"/>
    <s v="9981183477"/>
    <s v="Pending"/>
  </r>
  <r>
    <s v="ORD10492"/>
    <s v="C007"/>
    <s v="P203"/>
    <x v="297"/>
    <s v="02/05/2026"/>
    <s v="Arjun Rao"/>
    <s v="Male"/>
    <s v="19/12/1982"/>
    <s v="Delhi"/>
    <x v="1"/>
    <x v="0"/>
    <s v="Microwave"/>
    <n v="20"/>
    <n v="8500"/>
    <n v="0"/>
    <n v="170000"/>
    <n v="3"/>
    <s v="NetBanking"/>
    <s v="Rahul"/>
    <s v="arjun.rao@company.com"/>
    <s v="9281596011"/>
    <s v="Completed"/>
  </r>
  <r>
    <s v="ORD10493"/>
    <s v="C003"/>
    <s v="P103"/>
    <x v="179"/>
    <s v="29/07/2025"/>
    <s v="Rohit Singh"/>
    <s v="Male"/>
    <s v="02/11/2001"/>
    <s v="Hyderabad"/>
    <x v="0"/>
    <x v="1"/>
    <s v="Keyboard"/>
    <n v="11"/>
    <n v="1200"/>
    <n v="5"/>
    <n v="12540"/>
    <n v="2"/>
    <s v="Cash"/>
    <s v="Ritika"/>
    <s v="rohit.singh@company.com"/>
    <s v="9211734022"/>
    <s v="Pending"/>
  </r>
  <r>
    <s v="ORD10494"/>
    <s v="C007"/>
    <s v="P102"/>
    <x v="322"/>
    <s v="01/08/2025"/>
    <s v="Arjun Rao"/>
    <s v="Male"/>
    <s v="18/10/2001"/>
    <s v="Ahmedabad"/>
    <x v="2"/>
    <x v="1"/>
    <s v="Mouse"/>
    <n v="14"/>
    <n v="700"/>
    <n v="0"/>
    <n v="9800"/>
    <n v="2"/>
    <s v="Card"/>
    <s v="Karan"/>
    <s v="arjun.rao@company.com"/>
    <s v="9447151666"/>
    <s v="Cancelled"/>
  </r>
  <r>
    <s v="ORD10495"/>
    <s v="C009"/>
    <s v="P103"/>
    <x v="323"/>
    <s v="01/11/2025"/>
    <s v="Mohit Verma"/>
    <s v="Male"/>
    <s v="21/12/2000"/>
    <s v="Pune"/>
    <x v="2"/>
    <x v="1"/>
    <s v="Keyboard"/>
    <n v="16"/>
    <n v="1200"/>
    <n v="15"/>
    <n v="16320"/>
    <n v="4"/>
    <s v="Cash"/>
    <s v="Karan"/>
    <s v="mohit.verma@company.com"/>
    <s v="9345342793"/>
    <s v="Pending"/>
  </r>
  <r>
    <s v="ORD10496"/>
    <s v="C004"/>
    <s v="P202"/>
    <x v="72"/>
    <s v="29/03/2026"/>
    <s v="Anita Gupta"/>
    <s v="Female"/>
    <s v="20/02/1983"/>
    <s v="Jaipur"/>
    <x v="1"/>
    <x v="0"/>
    <s v="Iron"/>
    <n v="20"/>
    <n v="2200"/>
    <n v="0"/>
    <n v="44000"/>
    <n v="5"/>
    <s v="Cash"/>
    <s v="Ritika"/>
    <s v="anita.gupta@company.com"/>
    <s v="9329668173"/>
    <s v="Cancelled"/>
  </r>
  <r>
    <s v="ORD10497"/>
    <s v="C007"/>
    <s v="P104"/>
    <x v="321"/>
    <s v="07/03/2025"/>
    <s v="Arjun Rao"/>
    <s v="Male"/>
    <s v="13/06/1988"/>
    <s v="Jaipur"/>
    <x v="1"/>
    <x v="1"/>
    <s v="Monitor"/>
    <n v="12"/>
    <n v="12000"/>
    <n v="15"/>
    <n v="122400"/>
    <n v="5"/>
    <s v="Cash"/>
    <s v="Karan"/>
    <s v="arjun.rao@company.com"/>
    <s v="9294740227"/>
    <s v="Completed"/>
  </r>
  <r>
    <s v="ORD10498"/>
    <s v="C005"/>
    <s v="P103"/>
    <x v="96"/>
    <s v="20/12/2025"/>
    <s v="Vikas Mehta"/>
    <s v="Male"/>
    <s v="22/07/1992"/>
    <s v="Delhi"/>
    <x v="1"/>
    <x v="1"/>
    <s v="Keyboard"/>
    <n v="3"/>
    <n v="1200"/>
    <n v="20"/>
    <n v="2880"/>
    <n v="2"/>
    <s v="NetBanking"/>
    <s v="Neha"/>
    <s v="vikas.mehtacompany.com"/>
    <s v="9549426303"/>
    <s v="Pending"/>
  </r>
  <r>
    <s v="ORD10499"/>
    <s v="C002"/>
    <s v="P101"/>
    <x v="125"/>
    <s v="05/07/2025"/>
    <s v="Priya Patel"/>
    <s v="Female"/>
    <s v="12/08/1979"/>
    <s v="Mumbai"/>
    <x v="2"/>
    <x v="1"/>
    <s v="Laptop,Mouse"/>
    <n v="6"/>
    <n v="55000"/>
    <n v="20"/>
    <n v="264000"/>
    <n v="3"/>
    <s v="Cash"/>
    <s v="Karan"/>
    <s v="priYa.patel@company.com"/>
    <s v="9374249303"/>
    <s v="Completed"/>
  </r>
  <r>
    <s v="ORD10500"/>
    <s v="C002"/>
    <s v="P201"/>
    <x v="324"/>
    <s v="23/09/2025"/>
    <s v="Priya Patel"/>
    <s v="Female"/>
    <s v="24/11/1976"/>
    <s v="Bengaluru"/>
    <x v="0"/>
    <x v="0"/>
    <s v="Mixer"/>
    <n v="20"/>
    <n v="3500"/>
    <n v="0"/>
    <n v="70000"/>
    <n v="1"/>
    <s v="NetBanking"/>
    <s v="Karan"/>
    <s v="priYa.patel@company.com"/>
    <s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ACDB5-0BEC-490C-860B-370D0448ECA8}"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7:K8" firstHeaderRow="1" firstDataRow="1" firstDataCol="0"/>
  <pivotFields count="22">
    <pivotField showAll="0"/>
    <pivotField showAll="0"/>
    <pivotField showAll="0"/>
    <pivotField showAll="0">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h="1"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sales" fld="15" subtotal="average" baseField="0" baseItem="0"/>
  </dataFields>
  <formats count="17">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outline="0" axis="axisValues" fieldPosition="0"/>
    </format>
    <format dxfId="11">
      <pivotArea outline="0"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filters count="1">
    <filter fld="3" type="dateBetween" evalOrder="-1" id="13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960C7-28E0-45D7-A541-6C180E23E9D0}"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7:I8" firstHeaderRow="1" firstDataRow="1" firstDataCol="0"/>
  <pivotFields count="22">
    <pivotField dataField="1" showAll="0"/>
    <pivotField showAll="0"/>
    <pivotField showAll="0"/>
    <pivotField showAll="0">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h="1" m="1" x="3"/>
        <item x="2"/>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s" fld="0" subtotal="count" baseField="0" baseItem="0"/>
  </dataFields>
  <formats count="17">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dataOnly="0" labelOnly="1" outline="0" axis="axisValues"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filters count="1">
    <filter fld="3" type="dateBetween" evalOrder="-1" id="13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04D988-B9FB-4324-9A14-EAA733C3525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7:G8" firstHeaderRow="1" firstDataRow="1" firstDataCol="0"/>
  <pivotFields count="22">
    <pivotField showAll="0"/>
    <pivotField showAll="0"/>
    <pivotField showAll="0"/>
    <pivotField showAll="0">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h="1"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Sales" fld="15" baseField="0" baseItem="0"/>
  </dataFields>
  <formats count="16">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dataOnly="0" labelOnly="1" outline="0" axis="axisValues"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dataOnly="0" outline="0" axis="axisValues" fieldPosition="0"/>
    </format>
    <format dxfId="36">
      <pivotArea outline="0" collapsedLevelsAreSubtotals="1" fieldPosition="0"/>
    </format>
  </formats>
  <pivotTableStyleInfo name="PivotStyleLight16" showRowHeaders="1" showColHeaders="1" showRowStripes="0" showColStripes="0" showLastColumn="1"/>
  <filters count="1">
    <filter fld="3" type="dateBetween" evalOrder="-1" id="13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03CE5A-22E2-4A09-9204-A92DE802F870}"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D4:AE329" firstHeaderRow="1" firstDataRow="1" firstDataCol="1"/>
  <pivotFields count="22">
    <pivotField showAll="0"/>
    <pivotField showAll="0"/>
    <pivotField showAll="0"/>
    <pivotField axis="axisRow" showAll="0" sortType="ascending">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h="1"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3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t="grand">
      <x/>
    </i>
  </rowItems>
  <colItems count="1">
    <i/>
  </colItems>
  <dataFields count="1">
    <dataField name="Sum of Sales" fld="15"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41"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83154-B36F-4A41-A9F2-FA168D2B684B}"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A4:AB8" firstHeaderRow="1" firstDataRow="1" firstDataCol="1"/>
  <pivotFields count="22">
    <pivotField showAll="0"/>
    <pivotField showAll="0"/>
    <pivotField showAll="0"/>
    <pivotField showAll="0">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showAll="0">
      <items count="5">
        <item x="3"/>
        <item x="1"/>
        <item x="0"/>
        <item x="2"/>
        <item t="default"/>
      </items>
    </pivotField>
    <pivotField axis="axisRow" showAll="0">
      <items count="5">
        <item x="1"/>
        <item x="0"/>
        <item h="1"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4">
    <i>
      <x/>
    </i>
    <i>
      <x v="1"/>
    </i>
    <i>
      <x v="3"/>
    </i>
    <i t="grand">
      <x/>
    </i>
  </rowItems>
  <colItems count="1">
    <i/>
  </colItems>
  <dataFields count="1">
    <dataField name="Sum of Sales" fld="15" baseField="0" baseItem="0"/>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0" count="1" selected="0">
            <x v="0"/>
          </reference>
        </references>
      </pivotArea>
    </chartFormat>
    <chartFormat chart="9" format="8">
      <pivotArea type="data" outline="0" fieldPosition="0">
        <references count="2">
          <reference field="4294967294" count="1" selected="0">
            <x v="0"/>
          </reference>
          <reference field="10" count="1" selected="0">
            <x v="1"/>
          </reference>
        </references>
      </pivotArea>
    </chartFormat>
    <chartFormat chart="9" format="9">
      <pivotArea type="data" outline="0" fieldPosition="0">
        <references count="2">
          <reference field="4294967294" count="1" selected="0">
            <x v="0"/>
          </reference>
          <reference field="10" count="1" selected="0">
            <x v="2"/>
          </reference>
        </references>
      </pivotArea>
    </chartFormat>
    <chartFormat chart="9" format="10">
      <pivotArea type="data" outline="0" fieldPosition="0">
        <references count="2">
          <reference field="4294967294" count="1" selected="0">
            <x v="0"/>
          </reference>
          <reference field="10" count="1" selected="0">
            <x v="3"/>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3" type="dateBetween" evalOrder="-1" id="13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D28A8-F6C4-4700-B276-3E627A37FFCF}"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X4:Y9" firstHeaderRow="1" firstDataRow="1" firstDataCol="1"/>
  <pivotFields count="22">
    <pivotField showAll="0"/>
    <pivotField showAll="0"/>
    <pivotField showAll="0"/>
    <pivotField showAll="0">
      <items count="326">
        <item x="76"/>
        <item x="21"/>
        <item x="202"/>
        <item x="12"/>
        <item x="281"/>
        <item x="97"/>
        <item x="270"/>
        <item x="121"/>
        <item x="221"/>
        <item x="313"/>
        <item x="123"/>
        <item x="260"/>
        <item x="265"/>
        <item x="316"/>
        <item x="275"/>
        <item x="268"/>
        <item x="271"/>
        <item x="287"/>
        <item x="257"/>
        <item x="122"/>
        <item x="144"/>
        <item x="149"/>
        <item x="189"/>
        <item x="60"/>
        <item x="220"/>
        <item x="37"/>
        <item x="158"/>
        <item x="298"/>
        <item x="301"/>
        <item x="180"/>
        <item x="161"/>
        <item x="52"/>
        <item x="288"/>
        <item x="321"/>
        <item x="99"/>
        <item x="100"/>
        <item x="234"/>
        <item x="172"/>
        <item x="59"/>
        <item x="227"/>
        <item x="6"/>
        <item x="56"/>
        <item x="164"/>
        <item x="32"/>
        <item x="11"/>
        <item x="13"/>
        <item x="218"/>
        <item x="134"/>
        <item x="145"/>
        <item x="87"/>
        <item x="98"/>
        <item x="78"/>
        <item x="290"/>
        <item x="195"/>
        <item x="9"/>
        <item x="140"/>
        <item x="217"/>
        <item x="48"/>
        <item x="207"/>
        <item x="42"/>
        <item x="222"/>
        <item x="106"/>
        <item x="241"/>
        <item x="65"/>
        <item x="309"/>
        <item x="103"/>
        <item x="81"/>
        <item x="124"/>
        <item x="89"/>
        <item x="7"/>
        <item x="203"/>
        <item x="289"/>
        <item x="22"/>
        <item x="181"/>
        <item x="95"/>
        <item x="154"/>
        <item x="213"/>
        <item x="43"/>
        <item x="20"/>
        <item x="1"/>
        <item x="159"/>
        <item x="256"/>
        <item x="294"/>
        <item x="201"/>
        <item x="303"/>
        <item x="231"/>
        <item x="93"/>
        <item x="112"/>
        <item x="211"/>
        <item x="272"/>
        <item x="263"/>
        <item x="152"/>
        <item x="224"/>
        <item x="175"/>
        <item x="206"/>
        <item x="183"/>
        <item x="26"/>
        <item x="162"/>
        <item x="193"/>
        <item x="150"/>
        <item x="267"/>
        <item x="305"/>
        <item x="109"/>
        <item x="108"/>
        <item x="169"/>
        <item x="235"/>
        <item x="40"/>
        <item x="182"/>
        <item x="119"/>
        <item x="73"/>
        <item x="185"/>
        <item x="258"/>
        <item x="153"/>
        <item x="55"/>
        <item x="30"/>
        <item x="139"/>
        <item x="266"/>
        <item x="293"/>
        <item x="205"/>
        <item x="25"/>
        <item x="19"/>
        <item x="318"/>
        <item x="71"/>
        <item x="295"/>
        <item x="31"/>
        <item x="274"/>
        <item x="125"/>
        <item x="141"/>
        <item x="130"/>
        <item x="199"/>
        <item x="188"/>
        <item x="101"/>
        <item x="133"/>
        <item x="251"/>
        <item x="137"/>
        <item x="179"/>
        <item x="136"/>
        <item x="135"/>
        <item x="225"/>
        <item x="120"/>
        <item x="14"/>
        <item x="51"/>
        <item x="244"/>
        <item x="322"/>
        <item x="250"/>
        <item x="308"/>
        <item x="269"/>
        <item x="115"/>
        <item x="247"/>
        <item x="204"/>
        <item x="53"/>
        <item x="86"/>
        <item x="57"/>
        <item x="50"/>
        <item x="85"/>
        <item x="304"/>
        <item x="107"/>
        <item x="49"/>
        <item x="240"/>
        <item x="284"/>
        <item x="228"/>
        <item x="67"/>
        <item x="62"/>
        <item x="2"/>
        <item x="88"/>
        <item x="212"/>
        <item x="28"/>
        <item x="306"/>
        <item x="83"/>
        <item x="324"/>
        <item x="210"/>
        <item x="0"/>
        <item x="10"/>
        <item x="167"/>
        <item x="215"/>
        <item x="4"/>
        <item x="262"/>
        <item x="261"/>
        <item x="151"/>
        <item x="38"/>
        <item x="229"/>
        <item x="33"/>
        <item x="127"/>
        <item x="45"/>
        <item x="285"/>
        <item x="44"/>
        <item x="245"/>
        <item x="311"/>
        <item x="314"/>
        <item x="111"/>
        <item x="323"/>
        <item x="291"/>
        <item x="105"/>
        <item x="143"/>
        <item x="238"/>
        <item x="79"/>
        <item x="80"/>
        <item x="259"/>
        <item x="310"/>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5"/>
        <item x="282"/>
        <item x="286"/>
        <item x="186"/>
        <item x="166"/>
        <item x="91"/>
        <item x="177"/>
        <item x="209"/>
        <item x="255"/>
        <item x="184"/>
        <item x="70"/>
        <item x="190"/>
        <item x="312"/>
        <item x="173"/>
        <item x="8"/>
        <item x="69"/>
        <item x="41"/>
        <item x="63"/>
        <item x="39"/>
        <item x="277"/>
        <item x="296"/>
        <item x="219"/>
        <item x="147"/>
        <item x="117"/>
        <item x="208"/>
        <item x="264"/>
        <item x="187"/>
        <item x="214"/>
        <item x="16"/>
        <item x="233"/>
        <item x="223"/>
        <item x="17"/>
        <item x="307"/>
        <item x="239"/>
        <item x="171"/>
        <item x="128"/>
        <item x="36"/>
        <item x="84"/>
        <item x="27"/>
        <item x="92"/>
        <item x="283"/>
        <item x="82"/>
        <item x="72"/>
        <item x="3"/>
        <item x="299"/>
        <item x="319"/>
        <item x="54"/>
        <item x="176"/>
        <item x="278"/>
        <item x="302"/>
        <item x="142"/>
        <item x="300"/>
        <item x="104"/>
        <item x="118"/>
        <item x="165"/>
        <item x="317"/>
        <item x="15"/>
        <item x="24"/>
        <item x="253"/>
        <item x="160"/>
        <item x="248"/>
        <item x="279"/>
        <item x="47"/>
        <item x="114"/>
        <item x="170"/>
        <item x="226"/>
        <item x="297"/>
        <item x="77"/>
        <item x="230"/>
        <item x="116"/>
        <item x="174"/>
        <item x="178"/>
        <item x="131"/>
        <item x="90"/>
        <item x="320"/>
        <item x="94"/>
        <item x="216"/>
        <item x="198"/>
        <item x="254"/>
        <item x="276"/>
        <item x="156"/>
        <item x="58"/>
        <item x="192"/>
        <item x="252"/>
        <item t="default"/>
      </items>
    </pivotField>
    <pivotField showAll="0"/>
    <pivotField showAll="0"/>
    <pivotField showAll="0"/>
    <pivotField showAll="0"/>
    <pivotField showAll="0"/>
    <pivotField axis="axisRow" showAll="0">
      <items count="5">
        <item x="3"/>
        <item x="1"/>
        <item x="0"/>
        <item x="2"/>
        <item t="default"/>
      </items>
    </pivotField>
    <pivotField showAll="0">
      <items count="5">
        <item x="1"/>
        <item x="0"/>
        <item h="1"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34" name="Order_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E4F73D-E110-4605-A59C-F9B6B5C14B5B}" sourceName="Category">
  <pivotTables>
    <pivotTable tabId="19" name="PivotTable17"/>
    <pivotTable tabId="19" name="PivotTable18"/>
    <pivotTable tabId="19" name="PivotTable19"/>
    <pivotTable tabId="15" name="PivotTable14"/>
    <pivotTable tabId="15" name="PivotTable15"/>
    <pivotTable tabId="15" name="PivotTable16"/>
  </pivotTables>
  <data>
    <tabular pivotCacheId="440745491">
      <items count="4">
        <i x="1" s="1"/>
        <i x="0" s="1"/>
        <i x="2"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D08EEF-E7EB-4A0D-80CB-579EC784DCFE}" sourceName="Region">
  <pivotTables>
    <pivotTable tabId="19" name="PivotTable17"/>
    <pivotTable tabId="19" name="PivotTable18"/>
    <pivotTable tabId="19" name="PivotTable19"/>
    <pivotTable tabId="15" name="PivotTable14"/>
    <pivotTable tabId="15" name="PivotTable15"/>
    <pivotTable tabId="15" name="PivotTable16"/>
  </pivotTables>
  <data>
    <tabular pivotCacheId="44074549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E44B04-F0AF-4983-A9AC-D19971C0014A}" cache="Slicer_Category" caption="Category" style="SlicerStyleDark4" rowHeight="234950"/>
  <slicer name="Region" xr10:uid="{B449C2AE-EFC9-4246-A749-902DB970B865}" cache="Slicer_Region" caption="Region"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9064DA-5852-4F93-84FE-6D35DB1DF6D3}" sourceName="Order_Date">
  <pivotTables>
    <pivotTable tabId="19" name="PivotTable19"/>
    <pivotTable tabId="19" name="PivotTable17"/>
    <pivotTable tabId="19" name="PivotTable18"/>
    <pivotTable tabId="15" name="PivotTable14"/>
    <pivotTable tabId="15" name="PivotTable15"/>
    <pivotTable tabId="15" name="PivotTable16"/>
  </pivotTables>
  <state minimalRefreshVersion="6" lastRefreshVersion="6" pivotCacheId="440745491" filterType="dateBetween">
    <selection startDate="2025-01-01T00:00:00" endDate="2026-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BBAF2BD-0906-46F5-A27C-58469D128750}" cache="NativeTimeline_Order_Date" caption="Order_Date" level="1" selectionLevel="0" scrollPosition="2025-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E1B1865-67E5-4588-BA0A-840CF8145B9D}" cache="NativeTimeline_Order_Date" caption="Order_Date" level="2" selectionLevel="0" scrollPosition="2025-11-01T00:00:00"/>
</timelines>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mailto:kavya.nair@company.com" TargetMode="External"/><Relationship Id="rId13" Type="http://schemas.openxmlformats.org/officeDocument/2006/relationships/hyperlink" Target="mailto:Pooja.shah@company.com" TargetMode="External"/><Relationship Id="rId18"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hyperlink" Target="mailto:PRiya.patel@company.com" TargetMode="External"/><Relationship Id="rId12" Type="http://schemas.openxmlformats.org/officeDocument/2006/relationships/hyperlink" Target="mailto:Anita.gupta@company.com" TargetMode="External"/><Relationship Id="rId17" Type="http://schemas.openxmlformats.org/officeDocument/2006/relationships/hyperlink" Target="mailto:amit.SHarma@company.com" TargetMode="External"/><Relationship Id="rId2" Type="http://schemas.openxmlformats.org/officeDocument/2006/relationships/pivotTable" Target="../pivotTables/pivotTable5.xml"/><Relationship Id="rId16" Type="http://schemas.openxmlformats.org/officeDocument/2006/relationships/hyperlink" Target="mailto:rohit.sinGh@company.com" TargetMode="External"/><Relationship Id="rId1" Type="http://schemas.openxmlformats.org/officeDocument/2006/relationships/pivotTable" Target="../pivotTables/pivotTable4.xml"/><Relationship Id="rId6" Type="http://schemas.openxmlformats.org/officeDocument/2006/relationships/hyperlink" Target="mailto:priYa.patel@company.com" TargetMode="External"/><Relationship Id="rId11" Type="http://schemas.openxmlformats.org/officeDocument/2006/relationships/hyperlink" Target="mailto:Vikas.mehta@company.com" TargetMode="External"/><Relationship Id="rId5" Type="http://schemas.openxmlformats.org/officeDocument/2006/relationships/hyperlink" Target="mailto:kavya.nair@company.com" TargetMode="External"/><Relationship Id="rId15" Type="http://schemas.openxmlformats.org/officeDocument/2006/relationships/hyperlink" Target="mailto:kavya.Nair@company.com" TargetMode="External"/><Relationship Id="rId10" Type="http://schemas.openxmlformats.org/officeDocument/2006/relationships/hyperlink" Target="mailto:arjun.Rao@company.com" TargetMode="External"/><Relationship Id="rId19" Type="http://schemas.microsoft.com/office/2011/relationships/timeline" Target="../timelines/timeline2.xml"/><Relationship Id="rId4" Type="http://schemas.openxmlformats.org/officeDocument/2006/relationships/hyperlink" Target="mailto:KAvya.nair@company.com" TargetMode="External"/><Relationship Id="rId9" Type="http://schemas.openxmlformats.org/officeDocument/2006/relationships/hyperlink" Target="mailto:rOhit.singh@company.com" TargetMode="External"/><Relationship Id="rId14" Type="http://schemas.openxmlformats.org/officeDocument/2006/relationships/hyperlink" Target="mailto:pOOja.shah@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
  <sheetViews>
    <sheetView zoomScale="67" workbookViewId="0"/>
  </sheetViews>
  <sheetFormatPr defaultRowHeight="14.4" x14ac:dyDescent="0.3"/>
  <cols>
    <col min="1" max="1" width="9.6640625" bestFit="1" customWidth="1"/>
    <col min="2" max="2" width="11.88671875" bestFit="1" customWidth="1"/>
    <col min="3" max="3" width="10.44140625" bestFit="1" customWidth="1"/>
    <col min="4" max="4" width="10.6640625" bestFit="1" customWidth="1"/>
    <col min="5" max="5" width="12.6640625" bestFit="1" customWidth="1"/>
    <col min="6" max="6" width="16.77734375" bestFit="1" customWidth="1"/>
    <col min="7" max="7" width="7.109375" bestFit="1" customWidth="1"/>
    <col min="8" max="8" width="10.5546875" bestFit="1" customWidth="1"/>
    <col min="9" max="9" width="10.6640625" bestFit="1" customWidth="1"/>
    <col min="10" max="10" width="6.77734375" bestFit="1" customWidth="1"/>
    <col min="11" max="11" width="15.109375" bestFit="1" customWidth="1"/>
    <col min="12" max="12" width="13.77734375" bestFit="1" customWidth="1"/>
    <col min="13" max="13" width="8.33203125" bestFit="1" customWidth="1"/>
    <col min="14" max="14" width="9.6640625" bestFit="1" customWidth="1"/>
    <col min="15" max="15" width="10.77734375" bestFit="1" customWidth="1"/>
    <col min="16" max="16" width="8" bestFit="1" customWidth="1"/>
    <col min="17" max="17" width="6.33203125" bestFit="1" customWidth="1"/>
    <col min="18" max="18" width="14.6640625" bestFit="1" customWidth="1"/>
    <col min="19" max="19" width="11" bestFit="1" customWidth="1"/>
    <col min="20" max="20" width="25.21875" bestFit="1" customWidth="1"/>
    <col min="21" max="21" width="11" bestFit="1" customWidth="1"/>
    <col min="22" max="22" width="12" bestFit="1" customWidth="1"/>
  </cols>
  <sheetData>
    <row r="1" spans="1:22"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122</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B0FA4FC2-111C-487D-A204-0B120A9AA009}"/>
    <hyperlink ref="T5" r:id="rId2" xr:uid="{AE4BFB72-1E54-4759-A3DE-A2680B70E649}"/>
    <hyperlink ref="T9" r:id="rId3" xr:uid="{09ED35F7-81B2-4DA6-9C13-A53C88FC0E0C}"/>
    <hyperlink ref="T11" r:id="rId4" xr:uid="{0D4416DB-B341-41FC-BBB3-428813984DE0}"/>
    <hyperlink ref="T16" r:id="rId5" xr:uid="{1C61536D-B17A-4BBD-8B21-3E7C42AC26D2}"/>
    <hyperlink ref="T15" r:id="rId6" xr:uid="{33FE120E-B15E-46DA-90A0-02074267393F}"/>
    <hyperlink ref="T20" r:id="rId7" xr:uid="{B64133D9-A0B4-49DD-AE60-0B1D644395D8}"/>
    <hyperlink ref="T61" r:id="rId8" xr:uid="{3A261B8C-E912-491C-A44C-7C891463BAA2}"/>
    <hyperlink ref="T72" r:id="rId9" xr:uid="{1D50D164-ACFC-4FE4-8AC2-2E98538EDAC9}"/>
    <hyperlink ref="T294" r:id="rId10" xr:uid="{DD3F765F-AC34-4426-BE0B-BA0888102360}"/>
    <hyperlink ref="T489" r:id="rId11" xr:uid="{39C449CA-9CD4-414F-951F-608F15777D7C}"/>
    <hyperlink ref="T479" r:id="rId12" xr:uid="{CAF9AB53-2CAB-4305-87EA-0933549F9184}"/>
    <hyperlink ref="T463" r:id="rId13" xr:uid="{BF074B31-731F-4633-BE56-2199CD28C7B5}"/>
    <hyperlink ref="T450" r:id="rId14" xr:uid="{314E53B3-B6BE-4F11-8935-93B19405E2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6119-4722-4A72-A8D9-802CA8218522}">
  <dimension ref="A1:F11"/>
  <sheetViews>
    <sheetView workbookViewId="0">
      <selection sqref="A1:F11"/>
    </sheetView>
  </sheetViews>
  <sheetFormatPr defaultRowHeight="14.4" x14ac:dyDescent="0.3"/>
  <cols>
    <col min="1" max="1" width="10.109375" bestFit="1" customWidth="1"/>
    <col min="2" max="2" width="13.33203125" bestFit="1" customWidth="1"/>
    <col min="3" max="3" width="15.109375" bestFit="1" customWidth="1"/>
    <col min="4" max="4" width="12.6640625" bestFit="1" customWidth="1"/>
    <col min="5" max="5" width="9.6640625" bestFit="1" customWidth="1"/>
    <col min="6" max="6" width="16" bestFit="1" customWidth="1"/>
  </cols>
  <sheetData>
    <row r="1" spans="1:6" x14ac:dyDescent="0.3">
      <c r="A1" t="s">
        <v>2</v>
      </c>
      <c r="B1" t="s">
        <v>11</v>
      </c>
      <c r="C1" t="s">
        <v>10</v>
      </c>
      <c r="D1" t="s">
        <v>2098</v>
      </c>
      <c r="E1" t="s">
        <v>2099</v>
      </c>
      <c r="F1" t="s">
        <v>2100</v>
      </c>
    </row>
    <row r="2" spans="1:6" x14ac:dyDescent="0.3">
      <c r="A2" t="s">
        <v>54</v>
      </c>
      <c r="B2" t="s">
        <v>60</v>
      </c>
      <c r="C2" t="s">
        <v>46</v>
      </c>
      <c r="D2" t="s">
        <v>2101</v>
      </c>
      <c r="E2">
        <v>41250</v>
      </c>
      <c r="F2">
        <v>12</v>
      </c>
    </row>
    <row r="3" spans="1:6" x14ac:dyDescent="0.3">
      <c r="A3" t="s">
        <v>184</v>
      </c>
      <c r="B3" t="s">
        <v>189</v>
      </c>
      <c r="C3" t="s">
        <v>46</v>
      </c>
      <c r="D3" t="s">
        <v>2101</v>
      </c>
      <c r="E3">
        <v>525</v>
      </c>
      <c r="F3">
        <v>24</v>
      </c>
    </row>
    <row r="4" spans="1:6" x14ac:dyDescent="0.3">
      <c r="A4" t="s">
        <v>72</v>
      </c>
      <c r="B4" t="s">
        <v>78</v>
      </c>
      <c r="C4" t="s">
        <v>46</v>
      </c>
      <c r="D4" t="s">
        <v>2101</v>
      </c>
      <c r="E4">
        <v>900</v>
      </c>
      <c r="F4">
        <v>6</v>
      </c>
    </row>
    <row r="5" spans="1:6" x14ac:dyDescent="0.3">
      <c r="A5" t="s">
        <v>40</v>
      </c>
      <c r="B5" t="s">
        <v>47</v>
      </c>
      <c r="C5" t="s">
        <v>46</v>
      </c>
      <c r="D5" t="s">
        <v>2102</v>
      </c>
      <c r="E5">
        <v>9000</v>
      </c>
      <c r="F5">
        <v>24</v>
      </c>
    </row>
    <row r="6" spans="1:6" x14ac:dyDescent="0.3">
      <c r="A6" t="s">
        <v>92</v>
      </c>
      <c r="B6" t="s">
        <v>97</v>
      </c>
      <c r="C6" t="s">
        <v>32</v>
      </c>
      <c r="D6" t="s">
        <v>2102</v>
      </c>
      <c r="E6">
        <v>2625</v>
      </c>
      <c r="F6">
        <v>6</v>
      </c>
    </row>
    <row r="7" spans="1:6" x14ac:dyDescent="0.3">
      <c r="A7" t="s">
        <v>24</v>
      </c>
      <c r="B7" t="s">
        <v>33</v>
      </c>
      <c r="C7" t="s">
        <v>32</v>
      </c>
      <c r="D7" t="s">
        <v>2102</v>
      </c>
      <c r="E7">
        <v>1650</v>
      </c>
      <c r="F7">
        <v>24</v>
      </c>
    </row>
    <row r="8" spans="1:6" x14ac:dyDescent="0.3">
      <c r="A8" t="s">
        <v>169</v>
      </c>
      <c r="B8" t="s">
        <v>174</v>
      </c>
      <c r="C8" t="s">
        <v>32</v>
      </c>
      <c r="D8" t="s">
        <v>2101</v>
      </c>
      <c r="E8">
        <v>6375</v>
      </c>
      <c r="F8">
        <v>24</v>
      </c>
    </row>
    <row r="9" spans="1:6" x14ac:dyDescent="0.3">
      <c r="A9" t="s">
        <v>118</v>
      </c>
      <c r="B9" t="s">
        <v>123</v>
      </c>
      <c r="C9" t="s">
        <v>122</v>
      </c>
      <c r="D9" t="s">
        <v>2103</v>
      </c>
      <c r="E9">
        <v>45</v>
      </c>
      <c r="F9">
        <v>12</v>
      </c>
    </row>
    <row r="10" spans="1:6" x14ac:dyDescent="0.3">
      <c r="A10" t="s">
        <v>222</v>
      </c>
      <c r="B10" t="s">
        <v>227</v>
      </c>
      <c r="C10" t="s">
        <v>122</v>
      </c>
      <c r="D10" t="s">
        <v>2104</v>
      </c>
      <c r="E10">
        <v>15</v>
      </c>
      <c r="F10">
        <v>12</v>
      </c>
    </row>
    <row r="11" spans="1:6" x14ac:dyDescent="0.3">
      <c r="A11" t="s">
        <v>259</v>
      </c>
      <c r="B11" t="s">
        <v>263</v>
      </c>
      <c r="C11" t="s">
        <v>122</v>
      </c>
      <c r="D11" t="s">
        <v>2101</v>
      </c>
      <c r="E11">
        <v>33.75</v>
      </c>
      <c r="F1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4061-16A1-4204-B938-5FF3C053C87D}">
  <dimension ref="A1:D11"/>
  <sheetViews>
    <sheetView workbookViewId="0">
      <selection sqref="A1:D11"/>
    </sheetView>
  </sheetViews>
  <sheetFormatPr defaultRowHeight="14.4" x14ac:dyDescent="0.3"/>
  <cols>
    <col min="1" max="1" width="11.6640625" bestFit="1" customWidth="1"/>
    <col min="2" max="2" width="14.88671875" bestFit="1" customWidth="1"/>
    <col min="3" max="3" width="11.109375" bestFit="1" customWidth="1"/>
    <col min="4" max="4" width="5.21875" bestFit="1" customWidth="1"/>
  </cols>
  <sheetData>
    <row r="1" spans="1:4" x14ac:dyDescent="0.3">
      <c r="A1" t="s">
        <v>1</v>
      </c>
      <c r="B1" t="s">
        <v>5</v>
      </c>
      <c r="C1" t="s">
        <v>2105</v>
      </c>
      <c r="D1" t="s">
        <v>2106</v>
      </c>
    </row>
    <row r="2" spans="1:4" x14ac:dyDescent="0.3">
      <c r="A2" t="s">
        <v>327</v>
      </c>
      <c r="B2" t="s">
        <v>394</v>
      </c>
      <c r="C2" t="s">
        <v>2107</v>
      </c>
      <c r="D2" t="s">
        <v>2108</v>
      </c>
    </row>
    <row r="3" spans="1:4" x14ac:dyDescent="0.3">
      <c r="A3" t="s">
        <v>100</v>
      </c>
      <c r="B3" t="s">
        <v>103</v>
      </c>
      <c r="C3" t="s">
        <v>2109</v>
      </c>
      <c r="D3" t="s">
        <v>2110</v>
      </c>
    </row>
    <row r="4" spans="1:4" x14ac:dyDescent="0.3">
      <c r="A4" t="s">
        <v>127</v>
      </c>
      <c r="B4" t="s">
        <v>200</v>
      </c>
      <c r="C4" t="s">
        <v>2111</v>
      </c>
      <c r="D4" t="s">
        <v>2112</v>
      </c>
    </row>
    <row r="5" spans="1:4" x14ac:dyDescent="0.3">
      <c r="A5" t="s">
        <v>168</v>
      </c>
      <c r="B5" t="s">
        <v>361</v>
      </c>
      <c r="C5" t="s">
        <v>2111</v>
      </c>
      <c r="D5" t="s">
        <v>2110</v>
      </c>
    </row>
    <row r="6" spans="1:4" x14ac:dyDescent="0.3">
      <c r="A6" t="s">
        <v>221</v>
      </c>
      <c r="B6" t="s">
        <v>225</v>
      </c>
      <c r="C6" t="s">
        <v>2111</v>
      </c>
      <c r="D6" t="s">
        <v>2112</v>
      </c>
    </row>
    <row r="7" spans="1:4" x14ac:dyDescent="0.3">
      <c r="A7" t="s">
        <v>251</v>
      </c>
      <c r="B7" t="s">
        <v>254</v>
      </c>
      <c r="C7" t="s">
        <v>2111</v>
      </c>
      <c r="D7" t="s">
        <v>2110</v>
      </c>
    </row>
    <row r="8" spans="1:4" x14ac:dyDescent="0.3">
      <c r="A8" t="s">
        <v>83</v>
      </c>
      <c r="B8" t="s">
        <v>180</v>
      </c>
      <c r="C8" t="s">
        <v>2107</v>
      </c>
      <c r="D8" t="s">
        <v>2108</v>
      </c>
    </row>
    <row r="9" spans="1:4" x14ac:dyDescent="0.3">
      <c r="A9" t="s">
        <v>23</v>
      </c>
      <c r="B9" t="s">
        <v>27</v>
      </c>
      <c r="C9" t="s">
        <v>2107</v>
      </c>
      <c r="D9" t="s">
        <v>2110</v>
      </c>
    </row>
    <row r="10" spans="1:4" x14ac:dyDescent="0.3">
      <c r="A10" t="s">
        <v>71</v>
      </c>
      <c r="B10" t="s">
        <v>217</v>
      </c>
      <c r="C10" t="s">
        <v>2109</v>
      </c>
      <c r="D10" t="s">
        <v>2113</v>
      </c>
    </row>
    <row r="11" spans="1:4" x14ac:dyDescent="0.3">
      <c r="A11" t="s">
        <v>53</v>
      </c>
      <c r="B11" t="s">
        <v>163</v>
      </c>
      <c r="C11" t="s">
        <v>2107</v>
      </c>
      <c r="D11" t="s">
        <v>2110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7743-A314-4EC6-8AF1-149AD51E59F5}">
  <dimension ref="A1:W501"/>
  <sheetViews>
    <sheetView showGridLines="0" topLeftCell="M1" zoomScale="115" zoomScaleNormal="100" workbookViewId="0">
      <selection activeCell="V1" sqref="V1"/>
    </sheetView>
  </sheetViews>
  <sheetFormatPr defaultRowHeight="14.4" x14ac:dyDescent="0.3"/>
  <cols>
    <col min="1" max="1" width="9.88671875" bestFit="1" customWidth="1"/>
    <col min="2" max="2" width="11.88671875" bestFit="1" customWidth="1"/>
    <col min="3" max="3" width="10.44140625" bestFit="1" customWidth="1"/>
    <col min="4" max="4" width="10.77734375" bestFit="1" customWidth="1"/>
    <col min="5" max="5" width="13.21875" bestFit="1" customWidth="1"/>
    <col min="6" max="6" width="19.21875" bestFit="1" customWidth="1"/>
    <col min="7" max="7" width="7.88671875" bestFit="1" customWidth="1"/>
    <col min="8" max="8" width="10.77734375" bestFit="1" customWidth="1"/>
    <col min="9" max="9" width="12" bestFit="1" customWidth="1"/>
    <col min="10" max="10" width="6.77734375" bestFit="1" customWidth="1"/>
    <col min="11" max="11" width="17.33203125" bestFit="1" customWidth="1"/>
    <col min="12" max="12" width="14" bestFit="1" customWidth="1"/>
    <col min="13" max="13" width="8.33203125" bestFit="1" customWidth="1"/>
    <col min="14" max="14" width="9.6640625" bestFit="1" customWidth="1"/>
    <col min="15" max="15" width="10.77734375" bestFit="1" customWidth="1"/>
    <col min="16" max="16" width="8.109375" bestFit="1" customWidth="1"/>
    <col min="17" max="17" width="6.44140625" bestFit="1" customWidth="1"/>
    <col min="18" max="18" width="14.6640625" bestFit="1" customWidth="1"/>
    <col min="19" max="19" width="11" bestFit="1" customWidth="1"/>
    <col min="20" max="20" width="27.33203125" bestFit="1" customWidth="1"/>
    <col min="21" max="21" width="11.109375" bestFit="1" customWidth="1"/>
    <col min="22" max="22" width="12" bestFit="1" customWidth="1"/>
    <col min="23" max="23" width="20.6640625" bestFit="1" customWidth="1"/>
  </cols>
  <sheetData>
    <row r="1" spans="1:23"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2093</v>
      </c>
    </row>
    <row r="2" spans="1:23" x14ac:dyDescent="0.3">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7" t="s">
        <v>36</v>
      </c>
      <c r="U2" s="18" t="s">
        <v>37</v>
      </c>
      <c r="V2" s="15" t="s">
        <v>38</v>
      </c>
      <c r="W2" s="15" t="str">
        <f>IF(OR(Q2&lt;=2, V2="Cancelled"), "Blacklisted", IF(AND(P2&gt;=100000, Q2&gt;=4, O2&lt;=10, V2="Completed"), "Platinum", IF(AND(P2&gt;=50000, P2&lt;=99999, Q2&gt;=3, V2="Completed"), "Gold", IF(AND(P2&lt;50000, V2="Completed"), "Silver", "Pending"))))</f>
        <v>Silver</v>
      </c>
    </row>
    <row r="3" spans="1:23" x14ac:dyDescent="0.3">
      <c r="A3" s="19" t="s">
        <v>39</v>
      </c>
      <c r="B3" s="19" t="s">
        <v>23</v>
      </c>
      <c r="C3" s="19" t="s">
        <v>40</v>
      </c>
      <c r="D3" s="19" t="s">
        <v>41</v>
      </c>
      <c r="E3" s="19" t="s">
        <v>42</v>
      </c>
      <c r="F3" s="19" t="s">
        <v>27</v>
      </c>
      <c r="G3" s="19" t="s">
        <v>28</v>
      </c>
      <c r="H3" s="19" t="s">
        <v>43</v>
      </c>
      <c r="I3" s="19" t="s">
        <v>44</v>
      </c>
      <c r="J3" s="19" t="s">
        <v>45</v>
      </c>
      <c r="K3" s="19" t="s">
        <v>46</v>
      </c>
      <c r="L3" s="19" t="s">
        <v>47</v>
      </c>
      <c r="M3" s="19">
        <v>17</v>
      </c>
      <c r="N3" s="19">
        <v>12000</v>
      </c>
      <c r="O3" s="19">
        <v>10</v>
      </c>
      <c r="P3" s="19">
        <v>183600</v>
      </c>
      <c r="Q3" s="19">
        <v>1</v>
      </c>
      <c r="R3" s="19" t="s">
        <v>48</v>
      </c>
      <c r="S3" s="19" t="s">
        <v>49</v>
      </c>
      <c r="T3" s="19" t="s">
        <v>50</v>
      </c>
      <c r="U3" s="21" t="s">
        <v>51</v>
      </c>
      <c r="V3" s="19" t="s">
        <v>38</v>
      </c>
      <c r="W3" s="15" t="str">
        <f t="shared" ref="W3:W66" si="0">IF(OR(Q3&lt;=2, V3="Cancelled"), "Blacklisted", IF(AND(P3&gt;=100000, Q3&gt;=4, O3&lt;=10, V3="Completed"), "Platinum", IF(AND(P3&gt;=50000, P3&lt;=99999, Q3&gt;=3, V3="Completed"), "Gold", IF(AND(P3&lt;50000, V3="Completed"), "Silver", "Pending"))))</f>
        <v>Blacklisted</v>
      </c>
    </row>
    <row r="4" spans="1:23" x14ac:dyDescent="0.3">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8" t="s">
        <v>63</v>
      </c>
      <c r="V4" s="15" t="s">
        <v>64</v>
      </c>
      <c r="W4" s="15" t="str">
        <f t="shared" si="0"/>
        <v>Pending</v>
      </c>
    </row>
    <row r="5" spans="1:23" x14ac:dyDescent="0.3">
      <c r="A5" s="19" t="s">
        <v>39</v>
      </c>
      <c r="B5" s="19" t="s">
        <v>23</v>
      </c>
      <c r="C5" s="19" t="s">
        <v>24</v>
      </c>
      <c r="D5" s="19" t="s">
        <v>65</v>
      </c>
      <c r="E5" s="19" t="s">
        <v>66</v>
      </c>
      <c r="F5" s="19" t="s">
        <v>27</v>
      </c>
      <c r="G5" s="19" t="s">
        <v>28</v>
      </c>
      <c r="H5" s="19" t="s">
        <v>67</v>
      </c>
      <c r="I5" s="19" t="s">
        <v>59</v>
      </c>
      <c r="J5" s="19" t="s">
        <v>31</v>
      </c>
      <c r="K5" s="19" t="s">
        <v>32</v>
      </c>
      <c r="L5" s="19" t="s">
        <v>33</v>
      </c>
      <c r="M5" s="19">
        <v>5</v>
      </c>
      <c r="N5" s="19">
        <v>2200</v>
      </c>
      <c r="O5" s="19">
        <v>5</v>
      </c>
      <c r="P5" s="19">
        <v>10450</v>
      </c>
      <c r="Q5" s="19">
        <v>5</v>
      </c>
      <c r="R5" s="19" t="s">
        <v>48</v>
      </c>
      <c r="S5" s="19" t="s">
        <v>61</v>
      </c>
      <c r="T5" s="22" t="s">
        <v>50</v>
      </c>
      <c r="U5" s="21" t="s">
        <v>68</v>
      </c>
      <c r="V5" s="19" t="s">
        <v>69</v>
      </c>
      <c r="W5" s="15" t="str">
        <f t="shared" si="0"/>
        <v>Blacklisted</v>
      </c>
    </row>
    <row r="6" spans="1:23" x14ac:dyDescent="0.3">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8" t="s">
        <v>81</v>
      </c>
      <c r="V6" s="15" t="s">
        <v>64</v>
      </c>
      <c r="W6" s="15" t="str">
        <f t="shared" si="0"/>
        <v>Blacklisted</v>
      </c>
    </row>
    <row r="7" spans="1:23" x14ac:dyDescent="0.3">
      <c r="A7" s="19" t="s">
        <v>82</v>
      </c>
      <c r="B7" s="19" t="s">
        <v>83</v>
      </c>
      <c r="C7" s="19" t="s">
        <v>24</v>
      </c>
      <c r="D7" s="19" t="s">
        <v>84</v>
      </c>
      <c r="E7" s="19" t="s">
        <v>85</v>
      </c>
      <c r="F7" s="19" t="s">
        <v>86</v>
      </c>
      <c r="G7" s="19" t="s">
        <v>76</v>
      </c>
      <c r="H7" s="19" t="s">
        <v>87</v>
      </c>
      <c r="I7" s="19" t="s">
        <v>30</v>
      </c>
      <c r="J7" s="19" t="s">
        <v>31</v>
      </c>
      <c r="K7" s="19" t="s">
        <v>32</v>
      </c>
      <c r="L7" s="19" t="s">
        <v>33</v>
      </c>
      <c r="M7" s="19">
        <v>4</v>
      </c>
      <c r="N7" s="19">
        <v>2200</v>
      </c>
      <c r="O7" s="19">
        <v>0</v>
      </c>
      <c r="P7" s="19">
        <v>8800</v>
      </c>
      <c r="Q7" s="19">
        <v>1</v>
      </c>
      <c r="R7" s="19" t="s">
        <v>88</v>
      </c>
      <c r="S7" s="19" t="s">
        <v>35</v>
      </c>
      <c r="T7" s="19" t="s">
        <v>89</v>
      </c>
      <c r="U7" s="21" t="s">
        <v>90</v>
      </c>
      <c r="V7" s="19" t="s">
        <v>38</v>
      </c>
      <c r="W7" s="15" t="str">
        <f t="shared" si="0"/>
        <v>Blacklisted</v>
      </c>
    </row>
    <row r="8" spans="1:23" x14ac:dyDescent="0.3">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8" t="s">
        <v>98</v>
      </c>
      <c r="V8" s="15" t="s">
        <v>38</v>
      </c>
      <c r="W8" s="15" t="str">
        <f t="shared" si="0"/>
        <v>Blacklisted</v>
      </c>
    </row>
    <row r="9" spans="1:23" x14ac:dyDescent="0.3">
      <c r="A9" s="19" t="s">
        <v>99</v>
      </c>
      <c r="B9" s="19" t="s">
        <v>100</v>
      </c>
      <c r="C9" s="19" t="s">
        <v>40</v>
      </c>
      <c r="D9" s="19" t="s">
        <v>101</v>
      </c>
      <c r="E9" s="19" t="s">
        <v>102</v>
      </c>
      <c r="F9" s="19" t="s">
        <v>103</v>
      </c>
      <c r="G9" s="19" t="s">
        <v>28</v>
      </c>
      <c r="H9" s="19" t="s">
        <v>104</v>
      </c>
      <c r="I9" s="19" t="s">
        <v>105</v>
      </c>
      <c r="J9" s="19" t="s">
        <v>106</v>
      </c>
      <c r="K9" s="19" t="s">
        <v>46</v>
      </c>
      <c r="L9" s="19" t="s">
        <v>47</v>
      </c>
      <c r="M9" s="19">
        <v>14</v>
      </c>
      <c r="N9" s="19">
        <v>12000</v>
      </c>
      <c r="O9" s="19">
        <v>15</v>
      </c>
      <c r="P9" s="19">
        <v>142800</v>
      </c>
      <c r="Q9" s="19">
        <v>4</v>
      </c>
      <c r="R9" s="19" t="s">
        <v>48</v>
      </c>
      <c r="S9" s="19" t="s">
        <v>35</v>
      </c>
      <c r="T9" s="22" t="s">
        <v>107</v>
      </c>
      <c r="U9" s="21" t="s">
        <v>108</v>
      </c>
      <c r="V9" s="19" t="s">
        <v>38</v>
      </c>
      <c r="W9" s="15" t="str">
        <f t="shared" si="0"/>
        <v>Pending</v>
      </c>
    </row>
    <row r="10" spans="1:23" x14ac:dyDescent="0.3">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8" t="s">
        <v>116</v>
      </c>
      <c r="V10" s="15" t="s">
        <v>38</v>
      </c>
      <c r="W10" s="15" t="str">
        <f t="shared" si="0"/>
        <v>Silver</v>
      </c>
    </row>
    <row r="11" spans="1:23" x14ac:dyDescent="0.3">
      <c r="A11" s="19" t="s">
        <v>117</v>
      </c>
      <c r="B11" s="19" t="s">
        <v>100</v>
      </c>
      <c r="C11" s="19" t="s">
        <v>118</v>
      </c>
      <c r="D11" s="19" t="s">
        <v>119</v>
      </c>
      <c r="E11" s="19" t="s">
        <v>120</v>
      </c>
      <c r="F11" s="19" t="s">
        <v>103</v>
      </c>
      <c r="G11" s="19" t="s">
        <v>28</v>
      </c>
      <c r="H11" s="19" t="s">
        <v>121</v>
      </c>
      <c r="I11" s="19" t="s">
        <v>105</v>
      </c>
      <c r="J11" s="19" t="s">
        <v>106</v>
      </c>
      <c r="K11" s="19" t="s">
        <v>122</v>
      </c>
      <c r="L11" s="19" t="s">
        <v>123</v>
      </c>
      <c r="M11" s="19">
        <v>6</v>
      </c>
      <c r="N11" s="19">
        <v>60</v>
      </c>
      <c r="O11" s="19">
        <v>0</v>
      </c>
      <c r="P11" s="19">
        <v>360</v>
      </c>
      <c r="Q11" s="19">
        <v>4</v>
      </c>
      <c r="R11" s="19" t="s">
        <v>79</v>
      </c>
      <c r="S11" s="19" t="s">
        <v>115</v>
      </c>
      <c r="T11" s="22" t="s">
        <v>124</v>
      </c>
      <c r="U11" s="21" t="s">
        <v>125</v>
      </c>
      <c r="V11" s="19" t="s">
        <v>38</v>
      </c>
      <c r="W11" s="15" t="str">
        <f t="shared" si="0"/>
        <v>Silver</v>
      </c>
    </row>
    <row r="12" spans="1:23" x14ac:dyDescent="0.3">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8" t="s">
        <v>133</v>
      </c>
      <c r="V12" s="15" t="s">
        <v>64</v>
      </c>
      <c r="W12" s="15" t="str">
        <f t="shared" si="0"/>
        <v>Blacklisted</v>
      </c>
    </row>
    <row r="13" spans="1:23" x14ac:dyDescent="0.3">
      <c r="A13" s="19" t="s">
        <v>134</v>
      </c>
      <c r="B13" s="19" t="s">
        <v>23</v>
      </c>
      <c r="C13" s="19" t="s">
        <v>92</v>
      </c>
      <c r="D13" s="19" t="s">
        <v>135</v>
      </c>
      <c r="E13" s="19" t="s">
        <v>136</v>
      </c>
      <c r="F13" s="19" t="s">
        <v>27</v>
      </c>
      <c r="G13" s="19" t="s">
        <v>28</v>
      </c>
      <c r="H13" s="19" t="s">
        <v>137</v>
      </c>
      <c r="I13" s="19" t="s">
        <v>138</v>
      </c>
      <c r="J13" s="19" t="s">
        <v>106</v>
      </c>
      <c r="K13" s="19" t="s">
        <v>32</v>
      </c>
      <c r="L13" s="19" t="s">
        <v>97</v>
      </c>
      <c r="M13" s="19">
        <v>10</v>
      </c>
      <c r="N13" s="19">
        <v>3500</v>
      </c>
      <c r="O13" s="19">
        <v>5</v>
      </c>
      <c r="P13" s="19">
        <v>33250</v>
      </c>
      <c r="Q13" s="19">
        <v>5</v>
      </c>
      <c r="R13" s="19" t="s">
        <v>79</v>
      </c>
      <c r="S13" s="19" t="s">
        <v>61</v>
      </c>
      <c r="T13" s="19" t="s">
        <v>50</v>
      </c>
      <c r="U13" s="21" t="s">
        <v>139</v>
      </c>
      <c r="V13" s="19" t="s">
        <v>69</v>
      </c>
      <c r="W13" s="15" t="str">
        <f t="shared" si="0"/>
        <v>Blacklisted</v>
      </c>
    </row>
    <row r="14" spans="1:23" x14ac:dyDescent="0.3">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8" t="s">
        <v>145</v>
      </c>
      <c r="V14" s="15" t="s">
        <v>64</v>
      </c>
      <c r="W14" s="15" t="str">
        <f t="shared" si="0"/>
        <v>Blacklisted</v>
      </c>
    </row>
    <row r="15" spans="1:23" x14ac:dyDescent="0.3">
      <c r="A15" s="19" t="s">
        <v>146</v>
      </c>
      <c r="B15" s="19" t="s">
        <v>127</v>
      </c>
      <c r="C15" s="19" t="s">
        <v>24</v>
      </c>
      <c r="D15" s="19" t="s">
        <v>147</v>
      </c>
      <c r="E15" s="19" t="s">
        <v>148</v>
      </c>
      <c r="F15" s="19" t="s">
        <v>149</v>
      </c>
      <c r="G15" s="19" t="s">
        <v>76</v>
      </c>
      <c r="H15" s="19" t="s">
        <v>150</v>
      </c>
      <c r="I15" s="19" t="s">
        <v>105</v>
      </c>
      <c r="J15" s="19" t="s">
        <v>106</v>
      </c>
      <c r="K15" s="19" t="s">
        <v>32</v>
      </c>
      <c r="L15" s="19" t="s">
        <v>33</v>
      </c>
      <c r="M15" s="19">
        <v>17</v>
      </c>
      <c r="N15" s="19">
        <v>2200</v>
      </c>
      <c r="O15" s="19">
        <v>5</v>
      </c>
      <c r="P15" s="19">
        <v>35530</v>
      </c>
      <c r="Q15" s="19">
        <v>1</v>
      </c>
      <c r="R15" s="19" t="s">
        <v>34</v>
      </c>
      <c r="S15" s="19" t="s">
        <v>151</v>
      </c>
      <c r="T15" s="22" t="s">
        <v>152</v>
      </c>
      <c r="U15" s="21" t="s">
        <v>153</v>
      </c>
      <c r="V15" s="19" t="s">
        <v>38</v>
      </c>
      <c r="W15" s="15" t="str">
        <f t="shared" si="0"/>
        <v>Blacklisted</v>
      </c>
    </row>
    <row r="16" spans="1:23" x14ac:dyDescent="0.3">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7" t="s">
        <v>50</v>
      </c>
      <c r="U16" s="18" t="s">
        <v>159</v>
      </c>
      <c r="V16" s="15" t="s">
        <v>69</v>
      </c>
      <c r="W16" s="15" t="str">
        <f t="shared" si="0"/>
        <v>Blacklisted</v>
      </c>
    </row>
    <row r="17" spans="1:23" x14ac:dyDescent="0.3">
      <c r="A17" s="19" t="s">
        <v>160</v>
      </c>
      <c r="B17" s="19" t="s">
        <v>53</v>
      </c>
      <c r="C17" s="19" t="s">
        <v>72</v>
      </c>
      <c r="D17" s="19" t="s">
        <v>161</v>
      </c>
      <c r="E17" s="19" t="s">
        <v>162</v>
      </c>
      <c r="F17" s="19" t="s">
        <v>163</v>
      </c>
      <c r="G17" s="19" t="s">
        <v>28</v>
      </c>
      <c r="H17" s="19" t="s">
        <v>164</v>
      </c>
      <c r="I17" s="19" t="s">
        <v>30</v>
      </c>
      <c r="J17" s="19" t="s">
        <v>31</v>
      </c>
      <c r="K17" s="19" t="s">
        <v>46</v>
      </c>
      <c r="L17" s="19" t="s">
        <v>78</v>
      </c>
      <c r="M17" s="19">
        <v>3</v>
      </c>
      <c r="N17" s="19">
        <v>1200</v>
      </c>
      <c r="O17" s="19">
        <v>5</v>
      </c>
      <c r="P17" s="19">
        <v>3420</v>
      </c>
      <c r="Q17" s="19">
        <v>5</v>
      </c>
      <c r="R17" s="19" t="s">
        <v>88</v>
      </c>
      <c r="S17" s="19" t="s">
        <v>35</v>
      </c>
      <c r="T17" s="19" t="s">
        <v>165</v>
      </c>
      <c r="U17" s="21" t="s">
        <v>166</v>
      </c>
      <c r="V17" s="19" t="s">
        <v>38</v>
      </c>
      <c r="W17" s="15" t="str">
        <f t="shared" si="0"/>
        <v>Silver</v>
      </c>
    </row>
    <row r="18" spans="1:23" x14ac:dyDescent="0.3">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8" t="s">
        <v>176</v>
      </c>
      <c r="V18" s="15" t="s">
        <v>64</v>
      </c>
      <c r="W18" s="15" t="str">
        <f t="shared" si="0"/>
        <v>Pending</v>
      </c>
    </row>
    <row r="19" spans="1:23" x14ac:dyDescent="0.3">
      <c r="A19" s="19" t="s">
        <v>177</v>
      </c>
      <c r="B19" s="19" t="s">
        <v>83</v>
      </c>
      <c r="C19" s="19" t="s">
        <v>169</v>
      </c>
      <c r="D19" s="19" t="s">
        <v>178</v>
      </c>
      <c r="E19" s="19" t="s">
        <v>179</v>
      </c>
      <c r="F19" s="19" t="s">
        <v>180</v>
      </c>
      <c r="G19" s="19" t="s">
        <v>76</v>
      </c>
      <c r="H19" s="19" t="s">
        <v>181</v>
      </c>
      <c r="I19" s="19" t="s">
        <v>138</v>
      </c>
      <c r="J19" s="19" t="s">
        <v>106</v>
      </c>
      <c r="K19" s="19" t="s">
        <v>32</v>
      </c>
      <c r="L19" s="19" t="s">
        <v>174</v>
      </c>
      <c r="M19" s="19">
        <v>4</v>
      </c>
      <c r="N19" s="19">
        <v>8500</v>
      </c>
      <c r="O19" s="19">
        <v>20</v>
      </c>
      <c r="P19" s="19">
        <v>27200</v>
      </c>
      <c r="Q19" s="19">
        <v>5</v>
      </c>
      <c r="R19" s="19" t="s">
        <v>79</v>
      </c>
      <c r="S19" s="19" t="s">
        <v>61</v>
      </c>
      <c r="T19" s="19" t="s">
        <v>89</v>
      </c>
      <c r="U19" s="21" t="s">
        <v>182</v>
      </c>
      <c r="V19" s="19" t="s">
        <v>64</v>
      </c>
      <c r="W19" s="15" t="str">
        <f t="shared" si="0"/>
        <v>Pending</v>
      </c>
    </row>
    <row r="20" spans="1:23" x14ac:dyDescent="0.3">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7" t="s">
        <v>190</v>
      </c>
      <c r="U20" s="18" t="s">
        <v>191</v>
      </c>
      <c r="V20" s="15" t="s">
        <v>64</v>
      </c>
      <c r="W20" s="15" t="str">
        <f t="shared" si="0"/>
        <v>Pending</v>
      </c>
    </row>
    <row r="21" spans="1:23" x14ac:dyDescent="0.3">
      <c r="A21" s="19" t="s">
        <v>192</v>
      </c>
      <c r="B21" s="19" t="s">
        <v>23</v>
      </c>
      <c r="C21" s="19" t="s">
        <v>54</v>
      </c>
      <c r="D21" s="19" t="s">
        <v>193</v>
      </c>
      <c r="E21" s="19" t="s">
        <v>194</v>
      </c>
      <c r="F21" s="19" t="s">
        <v>27</v>
      </c>
      <c r="G21" s="19" t="s">
        <v>28</v>
      </c>
      <c r="H21" s="19" t="s">
        <v>195</v>
      </c>
      <c r="I21" s="19" t="s">
        <v>138</v>
      </c>
      <c r="J21" s="19" t="s">
        <v>106</v>
      </c>
      <c r="K21" s="19" t="s">
        <v>46</v>
      </c>
      <c r="L21" s="19" t="s">
        <v>60</v>
      </c>
      <c r="M21" s="19">
        <v>8</v>
      </c>
      <c r="N21" s="19">
        <v>55000</v>
      </c>
      <c r="O21" s="19">
        <v>20</v>
      </c>
      <c r="P21" s="19">
        <v>352000</v>
      </c>
      <c r="Q21" s="19">
        <v>1</v>
      </c>
      <c r="R21" s="19" t="s">
        <v>34</v>
      </c>
      <c r="S21" s="19" t="s">
        <v>151</v>
      </c>
      <c r="T21" s="19" t="s">
        <v>50</v>
      </c>
      <c r="U21" s="21" t="s">
        <v>196</v>
      </c>
      <c r="V21" s="19" t="s">
        <v>38</v>
      </c>
      <c r="W21" s="15" t="str">
        <f t="shared" si="0"/>
        <v>Blacklisted</v>
      </c>
    </row>
    <row r="22" spans="1:23" x14ac:dyDescent="0.3">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8" t="s">
        <v>203</v>
      </c>
      <c r="V22" s="15" t="s">
        <v>69</v>
      </c>
      <c r="W22" s="15" t="str">
        <f t="shared" si="0"/>
        <v>Blacklisted</v>
      </c>
    </row>
    <row r="23" spans="1:23" x14ac:dyDescent="0.3">
      <c r="A23" s="19" t="s">
        <v>204</v>
      </c>
      <c r="B23" s="19" t="s">
        <v>23</v>
      </c>
      <c r="C23" s="19" t="s">
        <v>92</v>
      </c>
      <c r="D23" s="19" t="s">
        <v>205</v>
      </c>
      <c r="E23" s="19" t="s">
        <v>206</v>
      </c>
      <c r="F23" s="19" t="s">
        <v>112</v>
      </c>
      <c r="G23" s="19" t="s">
        <v>28</v>
      </c>
      <c r="H23" s="19" t="s">
        <v>207</v>
      </c>
      <c r="I23" s="19" t="s">
        <v>59</v>
      </c>
      <c r="J23" s="19" t="s">
        <v>31</v>
      </c>
      <c r="K23" s="19" t="s">
        <v>32</v>
      </c>
      <c r="L23" s="19" t="s">
        <v>97</v>
      </c>
      <c r="M23" s="19">
        <v>1</v>
      </c>
      <c r="N23" s="19">
        <v>3500</v>
      </c>
      <c r="O23" s="19">
        <v>5</v>
      </c>
      <c r="P23" s="19">
        <v>3325</v>
      </c>
      <c r="Q23" s="19">
        <v>3</v>
      </c>
      <c r="R23" s="19" t="s">
        <v>88</v>
      </c>
      <c r="S23" s="19" t="s">
        <v>115</v>
      </c>
      <c r="T23" s="19" t="s">
        <v>50</v>
      </c>
      <c r="U23" s="21" t="s">
        <v>208</v>
      </c>
      <c r="V23" s="19" t="s">
        <v>69</v>
      </c>
      <c r="W23" s="15" t="str">
        <f t="shared" si="0"/>
        <v>Blacklisted</v>
      </c>
    </row>
    <row r="24" spans="1:23" x14ac:dyDescent="0.3">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8" t="s">
        <v>213</v>
      </c>
      <c r="V24" s="15" t="s">
        <v>64</v>
      </c>
      <c r="W24" s="15" t="str">
        <f t="shared" si="0"/>
        <v>Pending</v>
      </c>
    </row>
    <row r="25" spans="1:23" x14ac:dyDescent="0.3">
      <c r="A25" s="19" t="s">
        <v>214</v>
      </c>
      <c r="B25" s="19" t="s">
        <v>71</v>
      </c>
      <c r="C25" s="19" t="s">
        <v>54</v>
      </c>
      <c r="D25" s="19" t="s">
        <v>215</v>
      </c>
      <c r="E25" s="19" t="s">
        <v>216</v>
      </c>
      <c r="F25" s="19" t="s">
        <v>217</v>
      </c>
      <c r="G25" s="19" t="s">
        <v>76</v>
      </c>
      <c r="H25" s="19" t="s">
        <v>218</v>
      </c>
      <c r="I25" s="19" t="s">
        <v>59</v>
      </c>
      <c r="J25" s="19" t="s">
        <v>31</v>
      </c>
      <c r="K25" s="19" t="s">
        <v>46</v>
      </c>
      <c r="L25" s="19" t="s">
        <v>60</v>
      </c>
      <c r="M25" s="19">
        <v>12</v>
      </c>
      <c r="N25" s="19">
        <v>55000</v>
      </c>
      <c r="O25" s="19">
        <v>0</v>
      </c>
      <c r="P25" s="19">
        <v>660000</v>
      </c>
      <c r="Q25" s="19">
        <v>1</v>
      </c>
      <c r="R25" s="19" t="s">
        <v>79</v>
      </c>
      <c r="S25" s="19" t="s">
        <v>49</v>
      </c>
      <c r="T25" s="19" t="s">
        <v>80</v>
      </c>
      <c r="U25" s="21" t="s">
        <v>219</v>
      </c>
      <c r="V25" s="19" t="s">
        <v>64</v>
      </c>
      <c r="W25" s="15" t="str">
        <f t="shared" si="0"/>
        <v>Blacklisted</v>
      </c>
    </row>
    <row r="26" spans="1:23" x14ac:dyDescent="0.3">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8" t="s">
        <v>229</v>
      </c>
      <c r="V26" s="15" t="s">
        <v>69</v>
      </c>
      <c r="W26" s="15" t="str">
        <f t="shared" si="0"/>
        <v>Blacklisted</v>
      </c>
    </row>
    <row r="27" spans="1:23" x14ac:dyDescent="0.3">
      <c r="A27" s="19" t="s">
        <v>230</v>
      </c>
      <c r="B27" s="19" t="s">
        <v>83</v>
      </c>
      <c r="C27" s="19" t="s">
        <v>222</v>
      </c>
      <c r="D27" s="19" t="s">
        <v>231</v>
      </c>
      <c r="E27" s="19" t="s">
        <v>232</v>
      </c>
      <c r="F27" s="19" t="s">
        <v>180</v>
      </c>
      <c r="G27" s="19" t="s">
        <v>76</v>
      </c>
      <c r="H27" s="19" t="s">
        <v>233</v>
      </c>
      <c r="I27" s="19" t="s">
        <v>105</v>
      </c>
      <c r="J27" s="19" t="s">
        <v>106</v>
      </c>
      <c r="K27" s="19" t="s">
        <v>122</v>
      </c>
      <c r="L27" s="19" t="s">
        <v>227</v>
      </c>
      <c r="M27" s="19">
        <v>2</v>
      </c>
      <c r="N27" s="19">
        <v>20</v>
      </c>
      <c r="O27" s="19">
        <v>15</v>
      </c>
      <c r="P27" s="19">
        <v>34</v>
      </c>
      <c r="Q27" s="19">
        <v>1</v>
      </c>
      <c r="R27" s="19" t="s">
        <v>88</v>
      </c>
      <c r="S27" s="19" t="s">
        <v>35</v>
      </c>
      <c r="T27" s="19" t="s">
        <v>89</v>
      </c>
      <c r="U27" s="21" t="s">
        <v>234</v>
      </c>
      <c r="V27" s="19" t="s">
        <v>64</v>
      </c>
      <c r="W27" s="15" t="str">
        <f t="shared" si="0"/>
        <v>Blacklisted</v>
      </c>
    </row>
    <row r="28" spans="1:23" x14ac:dyDescent="0.3">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8" t="s">
        <v>239</v>
      </c>
      <c r="V28" s="15" t="s">
        <v>69</v>
      </c>
      <c r="W28" s="15" t="str">
        <f t="shared" si="0"/>
        <v>Blacklisted</v>
      </c>
    </row>
    <row r="29" spans="1:23" x14ac:dyDescent="0.3">
      <c r="A29" s="19" t="s">
        <v>240</v>
      </c>
      <c r="B29" s="19" t="s">
        <v>23</v>
      </c>
      <c r="C29" s="19" t="s">
        <v>72</v>
      </c>
      <c r="D29" s="19" t="s">
        <v>241</v>
      </c>
      <c r="E29" s="19" t="s">
        <v>242</v>
      </c>
      <c r="F29" s="19" t="s">
        <v>27</v>
      </c>
      <c r="G29" s="19" t="s">
        <v>28</v>
      </c>
      <c r="H29" s="19" t="s">
        <v>243</v>
      </c>
      <c r="I29" s="19" t="s">
        <v>138</v>
      </c>
      <c r="J29" s="19" t="s">
        <v>106</v>
      </c>
      <c r="K29" s="19" t="s">
        <v>46</v>
      </c>
      <c r="L29" s="19" t="s">
        <v>78</v>
      </c>
      <c r="M29" s="19">
        <v>11</v>
      </c>
      <c r="N29" s="19">
        <v>1200</v>
      </c>
      <c r="O29" s="19">
        <v>0</v>
      </c>
      <c r="P29" s="19">
        <v>13200</v>
      </c>
      <c r="Q29" s="19">
        <v>2</v>
      </c>
      <c r="R29" s="19" t="s">
        <v>88</v>
      </c>
      <c r="S29" s="19" t="s">
        <v>151</v>
      </c>
      <c r="T29" s="19" t="s">
        <v>50</v>
      </c>
      <c r="U29" s="21" t="s">
        <v>244</v>
      </c>
      <c r="V29" s="19" t="s">
        <v>38</v>
      </c>
      <c r="W29" s="15" t="str">
        <f t="shared" si="0"/>
        <v>Blacklisted</v>
      </c>
    </row>
    <row r="30" spans="1:23" x14ac:dyDescent="0.3">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8" t="s">
        <v>249</v>
      </c>
      <c r="V30" s="15" t="s">
        <v>38</v>
      </c>
      <c r="W30" s="15" t="str">
        <f t="shared" si="0"/>
        <v>Blacklisted</v>
      </c>
    </row>
    <row r="31" spans="1:23" x14ac:dyDescent="0.3">
      <c r="A31" s="19" t="s">
        <v>250</v>
      </c>
      <c r="B31" s="19" t="s">
        <v>251</v>
      </c>
      <c r="C31" s="19" t="s">
        <v>118</v>
      </c>
      <c r="D31" s="19" t="s">
        <v>252</v>
      </c>
      <c r="E31" s="19" t="s">
        <v>253</v>
      </c>
      <c r="F31" s="19" t="s">
        <v>254</v>
      </c>
      <c r="G31" s="19" t="s">
        <v>28</v>
      </c>
      <c r="H31" s="19" t="s">
        <v>255</v>
      </c>
      <c r="I31" s="19" t="s">
        <v>114</v>
      </c>
      <c r="J31" s="19" t="s">
        <v>106</v>
      </c>
      <c r="K31" s="19" t="s">
        <v>122</v>
      </c>
      <c r="L31" s="19" t="s">
        <v>123</v>
      </c>
      <c r="M31" s="19">
        <v>2</v>
      </c>
      <c r="N31" s="19">
        <v>60</v>
      </c>
      <c r="O31" s="19">
        <v>5</v>
      </c>
      <c r="P31" s="19">
        <v>114</v>
      </c>
      <c r="Q31" s="19">
        <v>3</v>
      </c>
      <c r="R31" s="19" t="s">
        <v>34</v>
      </c>
      <c r="S31" s="19" t="s">
        <v>151</v>
      </c>
      <c r="T31" s="19" t="s">
        <v>256</v>
      </c>
      <c r="U31" s="21" t="s">
        <v>257</v>
      </c>
      <c r="V31" s="19" t="s">
        <v>69</v>
      </c>
      <c r="W31" s="15" t="str">
        <f t="shared" si="0"/>
        <v>Blacklisted</v>
      </c>
    </row>
    <row r="32" spans="1:23" x14ac:dyDescent="0.3">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8" t="s">
        <v>264</v>
      </c>
      <c r="V32" s="15" t="s">
        <v>69</v>
      </c>
      <c r="W32" s="15" t="str">
        <f t="shared" si="0"/>
        <v>Blacklisted</v>
      </c>
    </row>
    <row r="33" spans="1:23" x14ac:dyDescent="0.3">
      <c r="A33" s="19" t="s">
        <v>265</v>
      </c>
      <c r="B33" s="19" t="s">
        <v>100</v>
      </c>
      <c r="C33" s="19" t="s">
        <v>40</v>
      </c>
      <c r="D33" s="19" t="s">
        <v>266</v>
      </c>
      <c r="E33" s="19" t="s">
        <v>267</v>
      </c>
      <c r="F33" s="19" t="s">
        <v>268</v>
      </c>
      <c r="G33" s="19" t="s">
        <v>28</v>
      </c>
      <c r="H33" s="19" t="s">
        <v>269</v>
      </c>
      <c r="I33" s="19" t="s">
        <v>138</v>
      </c>
      <c r="J33" s="19" t="s">
        <v>106</v>
      </c>
      <c r="K33" s="19" t="s">
        <v>46</v>
      </c>
      <c r="L33" s="19" t="s">
        <v>47</v>
      </c>
      <c r="M33" s="19">
        <v>11</v>
      </c>
      <c r="N33" s="19">
        <v>12000</v>
      </c>
      <c r="O33" s="19">
        <v>0</v>
      </c>
      <c r="P33" s="19">
        <v>132000</v>
      </c>
      <c r="Q33" s="19">
        <v>3</v>
      </c>
      <c r="R33" s="19" t="s">
        <v>88</v>
      </c>
      <c r="S33" s="19" t="s">
        <v>35</v>
      </c>
      <c r="T33" s="19" t="s">
        <v>144</v>
      </c>
      <c r="U33" s="21" t="s">
        <v>270</v>
      </c>
      <c r="V33" s="19" t="s">
        <v>64</v>
      </c>
      <c r="W33" s="15" t="str">
        <f t="shared" si="0"/>
        <v>Pending</v>
      </c>
    </row>
    <row r="34" spans="1:23" x14ac:dyDescent="0.3">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8" t="s">
        <v>274</v>
      </c>
      <c r="V34" s="15" t="s">
        <v>64</v>
      </c>
      <c r="W34" s="15" t="str">
        <f t="shared" si="0"/>
        <v>Blacklisted</v>
      </c>
    </row>
    <row r="35" spans="1:23" x14ac:dyDescent="0.3">
      <c r="A35" s="19" t="s">
        <v>275</v>
      </c>
      <c r="B35" s="19" t="s">
        <v>83</v>
      </c>
      <c r="C35" s="19" t="s">
        <v>222</v>
      </c>
      <c r="D35" s="19" t="s">
        <v>231</v>
      </c>
      <c r="E35" s="19" t="s">
        <v>276</v>
      </c>
      <c r="F35" s="19" t="s">
        <v>180</v>
      </c>
      <c r="G35" s="19" t="s">
        <v>76</v>
      </c>
      <c r="H35" s="19" t="s">
        <v>277</v>
      </c>
      <c r="I35" s="19" t="s">
        <v>138</v>
      </c>
      <c r="J35" s="19" t="s">
        <v>106</v>
      </c>
      <c r="K35" s="19" t="s">
        <v>122</v>
      </c>
      <c r="L35" s="19" t="s">
        <v>227</v>
      </c>
      <c r="M35" s="19">
        <v>3</v>
      </c>
      <c r="N35" s="19">
        <v>20</v>
      </c>
      <c r="O35" s="19">
        <v>0</v>
      </c>
      <c r="P35" s="19">
        <v>60</v>
      </c>
      <c r="Q35" s="19">
        <v>2</v>
      </c>
      <c r="R35" s="19" t="s">
        <v>79</v>
      </c>
      <c r="S35" s="19" t="s">
        <v>35</v>
      </c>
      <c r="T35" s="19" t="s">
        <v>278</v>
      </c>
      <c r="U35" s="21" t="s">
        <v>279</v>
      </c>
      <c r="V35" s="19" t="s">
        <v>69</v>
      </c>
      <c r="W35" s="15" t="str">
        <f t="shared" si="0"/>
        <v>Blacklisted</v>
      </c>
    </row>
    <row r="36" spans="1:23" x14ac:dyDescent="0.3">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8" t="s">
        <v>284</v>
      </c>
      <c r="V36" s="15" t="s">
        <v>69</v>
      </c>
      <c r="W36" s="15" t="str">
        <f t="shared" si="0"/>
        <v>Blacklisted</v>
      </c>
    </row>
    <row r="37" spans="1:23" x14ac:dyDescent="0.3">
      <c r="A37" s="19" t="s">
        <v>285</v>
      </c>
      <c r="B37" s="19" t="s">
        <v>127</v>
      </c>
      <c r="C37" s="19" t="s">
        <v>72</v>
      </c>
      <c r="D37" s="19" t="s">
        <v>286</v>
      </c>
      <c r="E37" s="19" t="s">
        <v>287</v>
      </c>
      <c r="F37" s="19" t="s">
        <v>200</v>
      </c>
      <c r="G37" s="19" t="s">
        <v>76</v>
      </c>
      <c r="H37" s="19" t="s">
        <v>288</v>
      </c>
      <c r="I37" s="19" t="s">
        <v>59</v>
      </c>
      <c r="J37" s="19" t="s">
        <v>31</v>
      </c>
      <c r="K37" s="19" t="s">
        <v>46</v>
      </c>
      <c r="L37" s="19" t="s">
        <v>78</v>
      </c>
      <c r="M37" s="19">
        <v>4</v>
      </c>
      <c r="N37" s="19">
        <v>1200</v>
      </c>
      <c r="O37" s="19">
        <v>20</v>
      </c>
      <c r="P37" s="19">
        <v>3840</v>
      </c>
      <c r="Q37" s="19">
        <v>3</v>
      </c>
      <c r="R37" s="19" t="s">
        <v>48</v>
      </c>
      <c r="S37" s="19" t="s">
        <v>61</v>
      </c>
      <c r="T37" s="19" t="s">
        <v>132</v>
      </c>
      <c r="U37" s="21" t="s">
        <v>289</v>
      </c>
      <c r="V37" s="19" t="s">
        <v>38</v>
      </c>
      <c r="W37" s="15" t="str">
        <f t="shared" si="0"/>
        <v>Silver</v>
      </c>
    </row>
    <row r="38" spans="1:23" x14ac:dyDescent="0.3">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8" t="s">
        <v>296</v>
      </c>
      <c r="V38" s="15" t="s">
        <v>69</v>
      </c>
      <c r="W38" s="15" t="str">
        <f t="shared" si="0"/>
        <v>Blacklisted</v>
      </c>
    </row>
    <row r="39" spans="1:23" x14ac:dyDescent="0.3">
      <c r="A39" s="19" t="s">
        <v>297</v>
      </c>
      <c r="B39" s="19" t="s">
        <v>251</v>
      </c>
      <c r="C39" s="19" t="s">
        <v>92</v>
      </c>
      <c r="D39" s="19" t="s">
        <v>298</v>
      </c>
      <c r="E39" s="19" t="s">
        <v>242</v>
      </c>
      <c r="F39" s="19" t="s">
        <v>254</v>
      </c>
      <c r="G39" s="19" t="s">
        <v>28</v>
      </c>
      <c r="H39" s="19" t="s">
        <v>299</v>
      </c>
      <c r="I39" s="19" t="s">
        <v>44</v>
      </c>
      <c r="J39" s="19" t="s">
        <v>45</v>
      </c>
      <c r="K39" s="19" t="s">
        <v>32</v>
      </c>
      <c r="L39" s="19" t="s">
        <v>97</v>
      </c>
      <c r="M39" s="19">
        <v>20</v>
      </c>
      <c r="N39" s="19">
        <v>3500</v>
      </c>
      <c r="O39" s="19">
        <v>10</v>
      </c>
      <c r="P39" s="19">
        <v>63000</v>
      </c>
      <c r="Q39" s="19">
        <v>3</v>
      </c>
      <c r="R39" s="19" t="s">
        <v>79</v>
      </c>
      <c r="S39" s="19" t="s">
        <v>49</v>
      </c>
      <c r="T39" s="19" t="s">
        <v>256</v>
      </c>
      <c r="U39" s="21" t="s">
        <v>300</v>
      </c>
      <c r="V39" s="19" t="s">
        <v>69</v>
      </c>
      <c r="W39" s="15" t="str">
        <f t="shared" si="0"/>
        <v>Blacklisted</v>
      </c>
    </row>
    <row r="40" spans="1:23" x14ac:dyDescent="0.3">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8" t="s">
        <v>306</v>
      </c>
      <c r="V40" s="15" t="s">
        <v>69</v>
      </c>
      <c r="W40" s="15" t="str">
        <f t="shared" si="0"/>
        <v>Blacklisted</v>
      </c>
    </row>
    <row r="41" spans="1:23" x14ac:dyDescent="0.3">
      <c r="A41" s="19" t="s">
        <v>307</v>
      </c>
      <c r="B41" s="19" t="s">
        <v>53</v>
      </c>
      <c r="C41" s="19" t="s">
        <v>169</v>
      </c>
      <c r="D41" s="19" t="s">
        <v>308</v>
      </c>
      <c r="E41" s="19" t="s">
        <v>309</v>
      </c>
      <c r="F41" s="19" t="s">
        <v>163</v>
      </c>
      <c r="G41" s="19" t="s">
        <v>28</v>
      </c>
      <c r="H41" s="19" t="s">
        <v>310</v>
      </c>
      <c r="I41" s="19" t="s">
        <v>105</v>
      </c>
      <c r="J41" s="19" t="s">
        <v>106</v>
      </c>
      <c r="K41" s="19" t="s">
        <v>32</v>
      </c>
      <c r="L41" s="19" t="s">
        <v>174</v>
      </c>
      <c r="M41" s="19">
        <v>20</v>
      </c>
      <c r="N41" s="19">
        <v>8500</v>
      </c>
      <c r="O41" s="19">
        <v>0</v>
      </c>
      <c r="P41" s="19">
        <v>170000</v>
      </c>
      <c r="Q41" s="19">
        <v>1</v>
      </c>
      <c r="R41" s="19" t="s">
        <v>88</v>
      </c>
      <c r="S41" s="19" t="s">
        <v>115</v>
      </c>
      <c r="T41" s="19" t="s">
        <v>62</v>
      </c>
      <c r="U41" s="21" t="s">
        <v>311</v>
      </c>
      <c r="V41" s="19" t="s">
        <v>69</v>
      </c>
      <c r="W41" s="15" t="str">
        <f t="shared" si="0"/>
        <v>Blacklisted</v>
      </c>
    </row>
    <row r="42" spans="1:23" x14ac:dyDescent="0.3">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8" t="s">
        <v>316</v>
      </c>
      <c r="V42" s="15" t="s">
        <v>64</v>
      </c>
      <c r="W42" s="15" t="str">
        <f t="shared" si="0"/>
        <v>Pending</v>
      </c>
    </row>
    <row r="43" spans="1:23" x14ac:dyDescent="0.3">
      <c r="A43" s="19" t="s">
        <v>317</v>
      </c>
      <c r="B43" s="19" t="s">
        <v>53</v>
      </c>
      <c r="C43" s="19" t="s">
        <v>92</v>
      </c>
      <c r="D43" s="19" t="s">
        <v>318</v>
      </c>
      <c r="E43" s="19" t="s">
        <v>260</v>
      </c>
      <c r="F43" s="19" t="s">
        <v>163</v>
      </c>
      <c r="G43" s="19" t="s">
        <v>28</v>
      </c>
      <c r="H43" s="19" t="s">
        <v>319</v>
      </c>
      <c r="I43" s="19" t="s">
        <v>114</v>
      </c>
      <c r="J43" s="19" t="s">
        <v>106</v>
      </c>
      <c r="K43" s="19" t="s">
        <v>32</v>
      </c>
      <c r="L43" s="19" t="s">
        <v>97</v>
      </c>
      <c r="M43" s="19">
        <v>8</v>
      </c>
      <c r="N43" s="19">
        <v>3500</v>
      </c>
      <c r="O43" s="19">
        <v>5</v>
      </c>
      <c r="P43" s="19">
        <v>26600</v>
      </c>
      <c r="Q43" s="19">
        <v>1</v>
      </c>
      <c r="R43" s="19" t="s">
        <v>79</v>
      </c>
      <c r="S43" s="19" t="s">
        <v>115</v>
      </c>
      <c r="T43" s="19" t="s">
        <v>62</v>
      </c>
      <c r="U43" s="21" t="s">
        <v>320</v>
      </c>
      <c r="V43" s="19" t="s">
        <v>64</v>
      </c>
      <c r="W43" s="15" t="str">
        <f t="shared" si="0"/>
        <v>Blacklisted</v>
      </c>
    </row>
    <row r="44" spans="1:23" x14ac:dyDescent="0.3">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8" t="s">
        <v>325</v>
      </c>
      <c r="V44" s="15" t="s">
        <v>64</v>
      </c>
      <c r="W44" s="15" t="str">
        <f t="shared" si="0"/>
        <v>Blacklisted</v>
      </c>
    </row>
    <row r="45" spans="1:23" x14ac:dyDescent="0.3">
      <c r="A45" s="19" t="s">
        <v>326</v>
      </c>
      <c r="B45" s="19" t="s">
        <v>327</v>
      </c>
      <c r="C45" s="19" t="s">
        <v>259</v>
      </c>
      <c r="D45" s="19" t="s">
        <v>328</v>
      </c>
      <c r="E45" s="19" t="s">
        <v>329</v>
      </c>
      <c r="F45" s="19" t="s">
        <v>330</v>
      </c>
      <c r="G45" s="19" t="s">
        <v>76</v>
      </c>
      <c r="H45" s="19" t="s">
        <v>331</v>
      </c>
      <c r="I45" s="19" t="s">
        <v>114</v>
      </c>
      <c r="J45" s="19" t="s">
        <v>106</v>
      </c>
      <c r="K45" s="19" t="s">
        <v>122</v>
      </c>
      <c r="L45" s="19" t="s">
        <v>263</v>
      </c>
      <c r="M45" s="19">
        <v>8</v>
      </c>
      <c r="N45" s="19">
        <v>45</v>
      </c>
      <c r="O45" s="19">
        <v>15</v>
      </c>
      <c r="P45" s="19">
        <v>306</v>
      </c>
      <c r="Q45" s="19">
        <v>2</v>
      </c>
      <c r="R45" s="19" t="s">
        <v>79</v>
      </c>
      <c r="S45" s="19" t="s">
        <v>61</v>
      </c>
      <c r="T45" s="19" t="s">
        <v>332</v>
      </c>
      <c r="U45" s="21" t="s">
        <v>333</v>
      </c>
      <c r="V45" s="19" t="s">
        <v>38</v>
      </c>
      <c r="W45" s="15" t="str">
        <f t="shared" si="0"/>
        <v>Blacklisted</v>
      </c>
    </row>
    <row r="46" spans="1:23" x14ac:dyDescent="0.3">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8" t="s">
        <v>338</v>
      </c>
      <c r="V46" s="15" t="s">
        <v>69</v>
      </c>
      <c r="W46" s="15" t="str">
        <f t="shared" si="0"/>
        <v>Blacklisted</v>
      </c>
    </row>
    <row r="47" spans="1:23" x14ac:dyDescent="0.3">
      <c r="A47" s="19" t="s">
        <v>339</v>
      </c>
      <c r="B47" s="19" t="s">
        <v>71</v>
      </c>
      <c r="C47" s="19" t="s">
        <v>92</v>
      </c>
      <c r="D47" s="19" t="s">
        <v>340</v>
      </c>
      <c r="E47" s="19" t="s">
        <v>341</v>
      </c>
      <c r="F47" s="19" t="s">
        <v>217</v>
      </c>
      <c r="G47" s="19" t="s">
        <v>76</v>
      </c>
      <c r="H47" s="19" t="s">
        <v>342</v>
      </c>
      <c r="I47" s="19" t="s">
        <v>59</v>
      </c>
      <c r="J47" s="19" t="s">
        <v>31</v>
      </c>
      <c r="K47" s="19" t="s">
        <v>32</v>
      </c>
      <c r="L47" s="19" t="s">
        <v>97</v>
      </c>
      <c r="M47" s="19">
        <v>19</v>
      </c>
      <c r="N47" s="19">
        <v>3500</v>
      </c>
      <c r="O47" s="19">
        <v>20</v>
      </c>
      <c r="P47" s="19">
        <v>53200</v>
      </c>
      <c r="Q47" s="19">
        <v>3</v>
      </c>
      <c r="R47" s="19" t="s">
        <v>34</v>
      </c>
      <c r="S47" s="19" t="s">
        <v>151</v>
      </c>
      <c r="T47" s="19" t="s">
        <v>80</v>
      </c>
      <c r="U47" s="21" t="s">
        <v>343</v>
      </c>
      <c r="V47" s="19" t="s">
        <v>69</v>
      </c>
      <c r="W47" s="15" t="str">
        <f t="shared" si="0"/>
        <v>Blacklisted</v>
      </c>
    </row>
    <row r="48" spans="1:23" x14ac:dyDescent="0.3">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8" t="s">
        <v>349</v>
      </c>
      <c r="V48" s="15" t="s">
        <v>38</v>
      </c>
      <c r="W48" s="15" t="str">
        <f t="shared" si="0"/>
        <v>Silver</v>
      </c>
    </row>
    <row r="49" spans="1:23" x14ac:dyDescent="0.3">
      <c r="A49" s="19" t="s">
        <v>350</v>
      </c>
      <c r="B49" s="19" t="s">
        <v>251</v>
      </c>
      <c r="C49" s="19" t="s">
        <v>184</v>
      </c>
      <c r="D49" s="19" t="s">
        <v>351</v>
      </c>
      <c r="E49" s="19" t="s">
        <v>352</v>
      </c>
      <c r="F49" s="19" t="s">
        <v>254</v>
      </c>
      <c r="G49" s="19" t="s">
        <v>28</v>
      </c>
      <c r="H49" s="19" t="s">
        <v>353</v>
      </c>
      <c r="I49" s="19" t="s">
        <v>212</v>
      </c>
      <c r="J49" s="19" t="s">
        <v>45</v>
      </c>
      <c r="K49" s="19" t="s">
        <v>46</v>
      </c>
      <c r="L49" s="19" t="s">
        <v>189</v>
      </c>
      <c r="M49" s="19">
        <v>19</v>
      </c>
      <c r="N49" s="19">
        <v>700</v>
      </c>
      <c r="O49" s="19">
        <v>20</v>
      </c>
      <c r="P49" s="19">
        <v>10640</v>
      </c>
      <c r="Q49" s="19">
        <v>1</v>
      </c>
      <c r="R49" s="19" t="s">
        <v>34</v>
      </c>
      <c r="S49" s="19" t="s">
        <v>115</v>
      </c>
      <c r="T49" s="19" t="s">
        <v>256</v>
      </c>
      <c r="U49" s="21" t="s">
        <v>354</v>
      </c>
      <c r="V49" s="19" t="s">
        <v>38</v>
      </c>
      <c r="W49" s="15" t="str">
        <f t="shared" si="0"/>
        <v>Blacklisted</v>
      </c>
    </row>
    <row r="50" spans="1:23" x14ac:dyDescent="0.3">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8" t="s">
        <v>358</v>
      </c>
      <c r="V50" s="15" t="s">
        <v>38</v>
      </c>
      <c r="W50" s="15" t="str">
        <f t="shared" si="0"/>
        <v>Blacklisted</v>
      </c>
    </row>
    <row r="51" spans="1:23" x14ac:dyDescent="0.3">
      <c r="A51" s="19" t="s">
        <v>359</v>
      </c>
      <c r="B51" s="19" t="s">
        <v>168</v>
      </c>
      <c r="C51" s="19" t="s">
        <v>72</v>
      </c>
      <c r="D51" s="19" t="s">
        <v>356</v>
      </c>
      <c r="E51" s="19" t="s">
        <v>360</v>
      </c>
      <c r="F51" s="19" t="s">
        <v>361</v>
      </c>
      <c r="G51" s="19" t="s">
        <v>28</v>
      </c>
      <c r="H51" s="19" t="s">
        <v>362</v>
      </c>
      <c r="I51" s="19" t="s">
        <v>114</v>
      </c>
      <c r="J51" s="19" t="s">
        <v>106</v>
      </c>
      <c r="K51" s="19" t="s">
        <v>46</v>
      </c>
      <c r="L51" s="19" t="s">
        <v>78</v>
      </c>
      <c r="M51" s="19">
        <v>6</v>
      </c>
      <c r="N51" s="19">
        <v>1200</v>
      </c>
      <c r="O51" s="19">
        <v>5</v>
      </c>
      <c r="P51" s="19">
        <v>6840</v>
      </c>
      <c r="Q51" s="19">
        <v>2</v>
      </c>
      <c r="R51" s="19" t="s">
        <v>34</v>
      </c>
      <c r="S51" s="19" t="s">
        <v>35</v>
      </c>
      <c r="T51" s="19" t="s">
        <v>175</v>
      </c>
      <c r="U51" s="21" t="s">
        <v>363</v>
      </c>
      <c r="V51" s="19" t="s">
        <v>64</v>
      </c>
      <c r="W51" s="15" t="str">
        <f t="shared" si="0"/>
        <v>Blacklisted</v>
      </c>
    </row>
    <row r="52" spans="1:23" x14ac:dyDescent="0.3">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8" t="s">
        <v>369</v>
      </c>
      <c r="V52" s="15" t="s">
        <v>38</v>
      </c>
      <c r="W52" s="15" t="str">
        <f t="shared" si="0"/>
        <v>Blacklisted</v>
      </c>
    </row>
    <row r="53" spans="1:23" x14ac:dyDescent="0.3">
      <c r="A53" s="19" t="s">
        <v>370</v>
      </c>
      <c r="B53" s="19" t="s">
        <v>100</v>
      </c>
      <c r="C53" s="19" t="s">
        <v>118</v>
      </c>
      <c r="D53" s="19" t="s">
        <v>371</v>
      </c>
      <c r="E53" s="19" t="s">
        <v>372</v>
      </c>
      <c r="F53" s="19" t="s">
        <v>103</v>
      </c>
      <c r="G53" s="19" t="s">
        <v>28</v>
      </c>
      <c r="H53" s="19" t="s">
        <v>373</v>
      </c>
      <c r="I53" s="19" t="s">
        <v>212</v>
      </c>
      <c r="J53" s="19" t="s">
        <v>45</v>
      </c>
      <c r="K53" s="19" t="s">
        <v>122</v>
      </c>
      <c r="L53" s="19" t="s">
        <v>123</v>
      </c>
      <c r="M53" s="19">
        <v>8</v>
      </c>
      <c r="N53" s="19">
        <v>60</v>
      </c>
      <c r="O53" s="19">
        <v>10</v>
      </c>
      <c r="P53" s="19">
        <v>432</v>
      </c>
      <c r="Q53" s="19">
        <v>5</v>
      </c>
      <c r="R53" s="19" t="s">
        <v>79</v>
      </c>
      <c r="S53" s="19" t="s">
        <v>61</v>
      </c>
      <c r="T53" s="19" t="s">
        <v>144</v>
      </c>
      <c r="U53" s="21" t="s">
        <v>374</v>
      </c>
      <c r="V53" s="19" t="s">
        <v>69</v>
      </c>
      <c r="W53" s="15" t="str">
        <f t="shared" si="0"/>
        <v>Blacklisted</v>
      </c>
    </row>
    <row r="54" spans="1:23" x14ac:dyDescent="0.3">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8" t="s">
        <v>379</v>
      </c>
      <c r="V54" s="15" t="s">
        <v>64</v>
      </c>
      <c r="W54" s="15" t="str">
        <f t="shared" si="0"/>
        <v>Blacklisted</v>
      </c>
    </row>
    <row r="55" spans="1:23" x14ac:dyDescent="0.3">
      <c r="A55" s="19" t="s">
        <v>380</v>
      </c>
      <c r="B55" s="19" t="s">
        <v>23</v>
      </c>
      <c r="C55" s="19" t="s">
        <v>184</v>
      </c>
      <c r="D55" s="19" t="s">
        <v>381</v>
      </c>
      <c r="E55" s="19" t="s">
        <v>382</v>
      </c>
      <c r="F55" s="19" t="s">
        <v>27</v>
      </c>
      <c r="G55" s="19" t="s">
        <v>28</v>
      </c>
      <c r="H55" s="19" t="s">
        <v>383</v>
      </c>
      <c r="I55" s="19" t="s">
        <v>212</v>
      </c>
      <c r="J55" s="19" t="s">
        <v>45</v>
      </c>
      <c r="K55" s="19" t="s">
        <v>46</v>
      </c>
      <c r="L55" s="19" t="s">
        <v>189</v>
      </c>
      <c r="M55" s="19">
        <v>3</v>
      </c>
      <c r="N55" s="19">
        <v>700</v>
      </c>
      <c r="O55" s="19">
        <v>0</v>
      </c>
      <c r="P55" s="19">
        <v>2100</v>
      </c>
      <c r="Q55" s="19">
        <v>3</v>
      </c>
      <c r="R55" s="19" t="s">
        <v>79</v>
      </c>
      <c r="S55" s="19" t="s">
        <v>151</v>
      </c>
      <c r="T55" s="19" t="s">
        <v>50</v>
      </c>
      <c r="U55" s="21" t="s">
        <v>384</v>
      </c>
      <c r="V55" s="19" t="s">
        <v>69</v>
      </c>
      <c r="W55" s="15" t="str">
        <f t="shared" si="0"/>
        <v>Blacklisted</v>
      </c>
    </row>
    <row r="56" spans="1:23" x14ac:dyDescent="0.3">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8" t="s">
        <v>390</v>
      </c>
      <c r="V56" s="15" t="s">
        <v>69</v>
      </c>
      <c r="W56" s="15" t="str">
        <f t="shared" si="0"/>
        <v>Blacklisted</v>
      </c>
    </row>
    <row r="57" spans="1:23" x14ac:dyDescent="0.3">
      <c r="A57" s="19" t="s">
        <v>391</v>
      </c>
      <c r="B57" s="19" t="s">
        <v>327</v>
      </c>
      <c r="C57" s="19" t="s">
        <v>118</v>
      </c>
      <c r="D57" s="19" t="s">
        <v>392</v>
      </c>
      <c r="E57" s="19" t="s">
        <v>393</v>
      </c>
      <c r="F57" s="19" t="s">
        <v>394</v>
      </c>
      <c r="G57" s="19" t="s">
        <v>76</v>
      </c>
      <c r="H57" s="19" t="s">
        <v>395</v>
      </c>
      <c r="I57" s="19" t="s">
        <v>212</v>
      </c>
      <c r="J57" s="19" t="s">
        <v>45</v>
      </c>
      <c r="K57" s="19" t="s">
        <v>122</v>
      </c>
      <c r="L57" s="19" t="s">
        <v>123</v>
      </c>
      <c r="M57" s="19">
        <v>9</v>
      </c>
      <c r="N57" s="19">
        <v>60</v>
      </c>
      <c r="O57" s="19">
        <v>20</v>
      </c>
      <c r="P57" s="19">
        <v>432</v>
      </c>
      <c r="Q57" s="19">
        <v>1</v>
      </c>
      <c r="R57" s="19" t="s">
        <v>48</v>
      </c>
      <c r="S57" s="19" t="s">
        <v>115</v>
      </c>
      <c r="T57" s="19" t="s">
        <v>332</v>
      </c>
      <c r="U57" s="21" t="s">
        <v>396</v>
      </c>
      <c r="V57" s="19" t="s">
        <v>64</v>
      </c>
      <c r="W57" s="15" t="str">
        <f t="shared" si="0"/>
        <v>Blacklisted</v>
      </c>
    </row>
    <row r="58" spans="1:23" x14ac:dyDescent="0.3">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8" t="s">
        <v>402</v>
      </c>
      <c r="V58" s="15" t="s">
        <v>69</v>
      </c>
      <c r="W58" s="15" t="str">
        <f t="shared" si="0"/>
        <v>Blacklisted</v>
      </c>
    </row>
    <row r="59" spans="1:23" x14ac:dyDescent="0.3">
      <c r="A59" s="19" t="s">
        <v>403</v>
      </c>
      <c r="B59" s="19" t="s">
        <v>127</v>
      </c>
      <c r="C59" s="19" t="s">
        <v>259</v>
      </c>
      <c r="D59" s="19" t="s">
        <v>241</v>
      </c>
      <c r="E59" s="19" t="s">
        <v>404</v>
      </c>
      <c r="F59" s="19" t="s">
        <v>200</v>
      </c>
      <c r="G59" s="19" t="s">
        <v>76</v>
      </c>
      <c r="H59" s="19" t="s">
        <v>405</v>
      </c>
      <c r="I59" s="19" t="s">
        <v>44</v>
      </c>
      <c r="J59" s="19" t="s">
        <v>45</v>
      </c>
      <c r="K59" s="19" t="s">
        <v>122</v>
      </c>
      <c r="L59" s="19" t="s">
        <v>263</v>
      </c>
      <c r="M59" s="19">
        <v>18</v>
      </c>
      <c r="N59" s="19">
        <v>45</v>
      </c>
      <c r="O59" s="19">
        <v>5</v>
      </c>
      <c r="P59" s="19">
        <v>769.5</v>
      </c>
      <c r="Q59" s="19">
        <v>1</v>
      </c>
      <c r="R59" s="19" t="s">
        <v>79</v>
      </c>
      <c r="S59" s="19" t="s">
        <v>61</v>
      </c>
      <c r="T59" s="19" t="s">
        <v>132</v>
      </c>
      <c r="U59" s="21" t="s">
        <v>406</v>
      </c>
      <c r="V59" s="19" t="s">
        <v>64</v>
      </c>
      <c r="W59" s="15" t="str">
        <f t="shared" si="0"/>
        <v>Blacklisted</v>
      </c>
    </row>
    <row r="60" spans="1:23" x14ac:dyDescent="0.3">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8" t="s">
        <v>410</v>
      </c>
      <c r="V60" s="15" t="s">
        <v>411</v>
      </c>
      <c r="W60" s="15" t="str">
        <f t="shared" si="0"/>
        <v>Blacklisted</v>
      </c>
    </row>
    <row r="61" spans="1:23" x14ac:dyDescent="0.3">
      <c r="A61" s="19" t="s">
        <v>412</v>
      </c>
      <c r="B61" s="19" t="s">
        <v>221</v>
      </c>
      <c r="C61" s="19" t="s">
        <v>184</v>
      </c>
      <c r="D61" s="19" t="s">
        <v>413</v>
      </c>
      <c r="E61" s="19" t="s">
        <v>414</v>
      </c>
      <c r="F61" s="19" t="s">
        <v>225</v>
      </c>
      <c r="G61" s="19" t="s">
        <v>76</v>
      </c>
      <c r="H61" s="19" t="s">
        <v>415</v>
      </c>
      <c r="I61" s="19" t="s">
        <v>212</v>
      </c>
      <c r="J61" s="19" t="s">
        <v>45</v>
      </c>
      <c r="K61" s="19" t="s">
        <v>46</v>
      </c>
      <c r="L61" s="19" t="s">
        <v>189</v>
      </c>
      <c r="M61" s="19">
        <v>8</v>
      </c>
      <c r="N61" s="19">
        <v>700</v>
      </c>
      <c r="O61" s="19">
        <v>10</v>
      </c>
      <c r="P61" s="19">
        <v>5040</v>
      </c>
      <c r="Q61" s="19">
        <v>1</v>
      </c>
      <c r="R61" s="19" t="s">
        <v>48</v>
      </c>
      <c r="S61" s="19" t="s">
        <v>61</v>
      </c>
      <c r="T61" s="22" t="s">
        <v>416</v>
      </c>
      <c r="U61" s="21" t="s">
        <v>417</v>
      </c>
      <c r="V61" s="19" t="s">
        <v>69</v>
      </c>
      <c r="W61" s="15" t="str">
        <f t="shared" si="0"/>
        <v>Blacklisted</v>
      </c>
    </row>
    <row r="62" spans="1:23" x14ac:dyDescent="0.3">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8" t="s">
        <v>420</v>
      </c>
      <c r="V62" s="15" t="s">
        <v>38</v>
      </c>
      <c r="W62" s="15" t="str">
        <f t="shared" si="0"/>
        <v>Silver</v>
      </c>
    </row>
    <row r="63" spans="1:23" x14ac:dyDescent="0.3">
      <c r="A63" s="19" t="s">
        <v>421</v>
      </c>
      <c r="B63" s="19" t="s">
        <v>100</v>
      </c>
      <c r="C63" s="19" t="s">
        <v>222</v>
      </c>
      <c r="D63" s="19" t="s">
        <v>422</v>
      </c>
      <c r="E63" s="19" t="s">
        <v>371</v>
      </c>
      <c r="F63" s="19" t="s">
        <v>103</v>
      </c>
      <c r="G63" s="19" t="s">
        <v>28</v>
      </c>
      <c r="H63" s="19" t="s">
        <v>423</v>
      </c>
      <c r="I63" s="19" t="s">
        <v>114</v>
      </c>
      <c r="J63" s="19" t="s">
        <v>106</v>
      </c>
      <c r="K63" s="19" t="s">
        <v>122</v>
      </c>
      <c r="L63" s="19" t="s">
        <v>227</v>
      </c>
      <c r="M63" s="19">
        <v>16</v>
      </c>
      <c r="N63" s="19">
        <v>20</v>
      </c>
      <c r="O63" s="19">
        <v>0</v>
      </c>
      <c r="P63" s="19">
        <v>320</v>
      </c>
      <c r="Q63" s="19">
        <v>5</v>
      </c>
      <c r="R63" s="19" t="s">
        <v>48</v>
      </c>
      <c r="S63" s="19" t="s">
        <v>61</v>
      </c>
      <c r="T63" s="19" t="s">
        <v>144</v>
      </c>
      <c r="U63" s="21" t="s">
        <v>424</v>
      </c>
      <c r="V63" s="19" t="s">
        <v>64</v>
      </c>
      <c r="W63" s="15" t="str">
        <f t="shared" si="0"/>
        <v>Pending</v>
      </c>
    </row>
    <row r="64" spans="1:23" x14ac:dyDescent="0.3">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8" t="s">
        <v>429</v>
      </c>
      <c r="V64" s="15" t="s">
        <v>69</v>
      </c>
      <c r="W64" s="15" t="str">
        <f t="shared" si="0"/>
        <v>Blacklisted</v>
      </c>
    </row>
    <row r="65" spans="1:23" x14ac:dyDescent="0.3">
      <c r="A65" s="19" t="s">
        <v>430</v>
      </c>
      <c r="B65" s="19" t="s">
        <v>251</v>
      </c>
      <c r="C65" s="19" t="s">
        <v>184</v>
      </c>
      <c r="D65" s="19" t="s">
        <v>431</v>
      </c>
      <c r="E65" s="19" t="s">
        <v>413</v>
      </c>
      <c r="F65" s="19" t="s">
        <v>254</v>
      </c>
      <c r="G65" s="19" t="s">
        <v>28</v>
      </c>
      <c r="H65" s="19" t="s">
        <v>432</v>
      </c>
      <c r="I65" s="19" t="s">
        <v>138</v>
      </c>
      <c r="J65" s="19" t="s">
        <v>106</v>
      </c>
      <c r="K65" s="19" t="s">
        <v>46</v>
      </c>
      <c r="L65" s="19" t="s">
        <v>189</v>
      </c>
      <c r="M65" s="19">
        <v>15</v>
      </c>
      <c r="N65" s="19">
        <v>700</v>
      </c>
      <c r="O65" s="19">
        <v>10</v>
      </c>
      <c r="P65" s="19">
        <v>9450</v>
      </c>
      <c r="Q65" s="19">
        <v>3</v>
      </c>
      <c r="R65" s="19" t="s">
        <v>48</v>
      </c>
      <c r="S65" s="19" t="s">
        <v>151</v>
      </c>
      <c r="T65" s="19" t="s">
        <v>256</v>
      </c>
      <c r="U65" s="21" t="s">
        <v>433</v>
      </c>
      <c r="V65" s="19" t="s">
        <v>38</v>
      </c>
      <c r="W65" s="15" t="str">
        <f t="shared" si="0"/>
        <v>Silver</v>
      </c>
    </row>
    <row r="66" spans="1:23" x14ac:dyDescent="0.3">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8" t="s">
        <v>438</v>
      </c>
      <c r="V66" s="15" t="s">
        <v>64</v>
      </c>
      <c r="W66" s="15" t="str">
        <f t="shared" si="0"/>
        <v>Blacklisted</v>
      </c>
    </row>
    <row r="67" spans="1:23" x14ac:dyDescent="0.3">
      <c r="A67" s="19" t="s">
        <v>439</v>
      </c>
      <c r="B67" s="19" t="s">
        <v>100</v>
      </c>
      <c r="C67" s="19" t="s">
        <v>24</v>
      </c>
      <c r="D67" s="19" t="s">
        <v>440</v>
      </c>
      <c r="E67" s="19" t="s">
        <v>441</v>
      </c>
      <c r="F67" s="19" t="s">
        <v>103</v>
      </c>
      <c r="G67" s="19" t="s">
        <v>28</v>
      </c>
      <c r="H67" s="19" t="s">
        <v>442</v>
      </c>
      <c r="I67" s="19" t="s">
        <v>294</v>
      </c>
      <c r="J67" s="19" t="s">
        <v>295</v>
      </c>
      <c r="K67" s="19" t="s">
        <v>32</v>
      </c>
      <c r="L67" s="19" t="s">
        <v>33</v>
      </c>
      <c r="M67" s="19">
        <v>7</v>
      </c>
      <c r="N67" s="19">
        <v>2200</v>
      </c>
      <c r="O67" s="19">
        <v>15</v>
      </c>
      <c r="P67" s="19">
        <v>13090</v>
      </c>
      <c r="Q67" s="19">
        <v>5</v>
      </c>
      <c r="R67" s="19" t="s">
        <v>88</v>
      </c>
      <c r="S67" s="19" t="s">
        <v>115</v>
      </c>
      <c r="T67" s="19" t="s">
        <v>144</v>
      </c>
      <c r="U67" s="21" t="s">
        <v>443</v>
      </c>
      <c r="V67" s="19" t="s">
        <v>38</v>
      </c>
      <c r="W67" s="15" t="str">
        <f t="shared" ref="W67:W130" si="1">IF(OR(Q67&lt;=2, V67="Cancelled"), "Blacklisted", IF(AND(P67&gt;=100000, Q67&gt;=4, O67&lt;=10, V67="Completed"), "Platinum", IF(AND(P67&gt;=50000, P67&lt;=99999, Q67&gt;=3, V67="Completed"), "Gold", IF(AND(P67&lt;50000, V67="Completed"), "Silver", "Pending"))))</f>
        <v>Silver</v>
      </c>
    </row>
    <row r="68" spans="1:23" x14ac:dyDescent="0.3">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8" t="s">
        <v>448</v>
      </c>
      <c r="V68" s="15" t="s">
        <v>69</v>
      </c>
      <c r="W68" s="15" t="str">
        <f t="shared" si="1"/>
        <v>Blacklisted</v>
      </c>
    </row>
    <row r="69" spans="1:23" x14ac:dyDescent="0.3">
      <c r="A69" s="19" t="s">
        <v>449</v>
      </c>
      <c r="B69" s="19" t="s">
        <v>251</v>
      </c>
      <c r="C69" s="19" t="s">
        <v>92</v>
      </c>
      <c r="D69" s="19" t="s">
        <v>450</v>
      </c>
      <c r="E69" s="19" t="s">
        <v>323</v>
      </c>
      <c r="F69" s="19" t="s">
        <v>254</v>
      </c>
      <c r="G69" s="19" t="s">
        <v>28</v>
      </c>
      <c r="H69" s="19" t="s">
        <v>451</v>
      </c>
      <c r="I69" s="19" t="s">
        <v>30</v>
      </c>
      <c r="J69" s="19" t="s">
        <v>31</v>
      </c>
      <c r="K69" s="19" t="s">
        <v>32</v>
      </c>
      <c r="L69" s="19" t="s">
        <v>97</v>
      </c>
      <c r="M69" s="19">
        <v>7</v>
      </c>
      <c r="N69" s="19">
        <v>3500</v>
      </c>
      <c r="O69" s="19">
        <v>15</v>
      </c>
      <c r="P69" s="19">
        <v>20825</v>
      </c>
      <c r="Q69" s="19">
        <v>1</v>
      </c>
      <c r="R69" s="19" t="s">
        <v>34</v>
      </c>
      <c r="S69" s="19" t="s">
        <v>151</v>
      </c>
      <c r="T69" s="19" t="s">
        <v>256</v>
      </c>
      <c r="U69" s="21" t="s">
        <v>452</v>
      </c>
      <c r="V69" s="19" t="s">
        <v>64</v>
      </c>
      <c r="W69" s="15" t="str">
        <f t="shared" si="1"/>
        <v>Blacklisted</v>
      </c>
    </row>
    <row r="70" spans="1:23" x14ac:dyDescent="0.3">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8" t="s">
        <v>457</v>
      </c>
      <c r="V70" s="15" t="s">
        <v>38</v>
      </c>
      <c r="W70" s="15" t="str">
        <f t="shared" si="1"/>
        <v>Silver</v>
      </c>
    </row>
    <row r="71" spans="1:23" x14ac:dyDescent="0.3">
      <c r="A71" s="19" t="s">
        <v>458</v>
      </c>
      <c r="B71" s="19" t="s">
        <v>23</v>
      </c>
      <c r="C71" s="19" t="s">
        <v>54</v>
      </c>
      <c r="D71" s="19" t="s">
        <v>366</v>
      </c>
      <c r="E71" s="19" t="s">
        <v>459</v>
      </c>
      <c r="F71" s="19" t="s">
        <v>27</v>
      </c>
      <c r="G71" s="19" t="s">
        <v>28</v>
      </c>
      <c r="H71" s="19" t="s">
        <v>460</v>
      </c>
      <c r="I71" s="19" t="s">
        <v>59</v>
      </c>
      <c r="J71" s="19" t="s">
        <v>31</v>
      </c>
      <c r="K71" s="19" t="s">
        <v>46</v>
      </c>
      <c r="L71" s="19" t="s">
        <v>60</v>
      </c>
      <c r="M71" s="19">
        <v>16</v>
      </c>
      <c r="N71" s="19">
        <v>55000</v>
      </c>
      <c r="O71" s="19">
        <v>10</v>
      </c>
      <c r="P71" s="19">
        <v>792000</v>
      </c>
      <c r="Q71" s="19">
        <v>1</v>
      </c>
      <c r="R71" s="19" t="s">
        <v>79</v>
      </c>
      <c r="S71" s="19" t="s">
        <v>61</v>
      </c>
      <c r="T71" s="19" t="s">
        <v>50</v>
      </c>
      <c r="U71" s="21" t="s">
        <v>461</v>
      </c>
      <c r="V71" s="19" t="s">
        <v>38</v>
      </c>
      <c r="W71" s="15" t="str">
        <f t="shared" si="1"/>
        <v>Blacklisted</v>
      </c>
    </row>
    <row r="72" spans="1:23" x14ac:dyDescent="0.3">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7" t="s">
        <v>466</v>
      </c>
      <c r="U72" s="18" t="s">
        <v>467</v>
      </c>
      <c r="V72" s="15" t="s">
        <v>64</v>
      </c>
      <c r="W72" s="15" t="str">
        <f t="shared" si="1"/>
        <v>Blacklisted</v>
      </c>
    </row>
    <row r="73" spans="1:23" x14ac:dyDescent="0.3">
      <c r="A73" s="19" t="s">
        <v>468</v>
      </c>
      <c r="B73" s="19" t="s">
        <v>127</v>
      </c>
      <c r="C73" s="19" t="s">
        <v>259</v>
      </c>
      <c r="D73" s="19" t="s">
        <v>469</v>
      </c>
      <c r="E73" s="19" t="s">
        <v>446</v>
      </c>
      <c r="F73" s="19" t="s">
        <v>200</v>
      </c>
      <c r="G73" s="19" t="s">
        <v>76</v>
      </c>
      <c r="H73" s="19" t="s">
        <v>470</v>
      </c>
      <c r="I73" s="19" t="s">
        <v>59</v>
      </c>
      <c r="J73" s="19" t="s">
        <v>31</v>
      </c>
      <c r="K73" s="19" t="s">
        <v>122</v>
      </c>
      <c r="L73" s="19" t="s">
        <v>263</v>
      </c>
      <c r="M73" s="19">
        <v>4</v>
      </c>
      <c r="N73" s="19">
        <v>45</v>
      </c>
      <c r="O73" s="19">
        <v>5</v>
      </c>
      <c r="P73" s="19">
        <v>171</v>
      </c>
      <c r="Q73" s="19">
        <v>1</v>
      </c>
      <c r="R73" s="19" t="s">
        <v>79</v>
      </c>
      <c r="S73" s="19" t="s">
        <v>49</v>
      </c>
      <c r="T73" s="19" t="s">
        <v>132</v>
      </c>
      <c r="U73" s="21" t="s">
        <v>471</v>
      </c>
      <c r="V73" s="19" t="s">
        <v>64</v>
      </c>
      <c r="W73" s="15" t="str">
        <f t="shared" si="1"/>
        <v>Blacklisted</v>
      </c>
    </row>
    <row r="74" spans="1:23" x14ac:dyDescent="0.3">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8" t="s">
        <v>476</v>
      </c>
      <c r="V74" s="15" t="s">
        <v>69</v>
      </c>
      <c r="W74" s="15" t="str">
        <f t="shared" si="1"/>
        <v>Blacklisted</v>
      </c>
    </row>
    <row r="75" spans="1:23" x14ac:dyDescent="0.3">
      <c r="A75" s="19" t="s">
        <v>477</v>
      </c>
      <c r="B75" s="19" t="s">
        <v>53</v>
      </c>
      <c r="C75" s="19" t="s">
        <v>24</v>
      </c>
      <c r="D75" s="19" t="s">
        <v>478</v>
      </c>
      <c r="E75" s="19" t="s">
        <v>479</v>
      </c>
      <c r="F75" s="19" t="s">
        <v>163</v>
      </c>
      <c r="G75" s="19" t="s">
        <v>28</v>
      </c>
      <c r="H75" s="19" t="s">
        <v>480</v>
      </c>
      <c r="I75" s="19"/>
      <c r="J75" s="19" t="s">
        <v>31</v>
      </c>
      <c r="K75" s="19" t="s">
        <v>32</v>
      </c>
      <c r="L75" s="19" t="s">
        <v>33</v>
      </c>
      <c r="M75" s="19">
        <v>1</v>
      </c>
      <c r="N75" s="19">
        <v>2200</v>
      </c>
      <c r="O75" s="19">
        <v>15</v>
      </c>
      <c r="P75" s="19">
        <v>1870</v>
      </c>
      <c r="Q75" s="19">
        <v>4</v>
      </c>
      <c r="R75" s="19" t="s">
        <v>79</v>
      </c>
      <c r="S75" s="19" t="s">
        <v>61</v>
      </c>
      <c r="T75" s="19" t="s">
        <v>62</v>
      </c>
      <c r="U75" s="21" t="s">
        <v>481</v>
      </c>
      <c r="V75" s="19" t="s">
        <v>38</v>
      </c>
      <c r="W75" s="15" t="str">
        <f t="shared" si="1"/>
        <v>Silver</v>
      </c>
    </row>
    <row r="76" spans="1:23" x14ac:dyDescent="0.3">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8" t="s">
        <v>486</v>
      </c>
      <c r="V76" s="15" t="s">
        <v>38</v>
      </c>
      <c r="W76" s="15" t="str">
        <f t="shared" si="1"/>
        <v>Silver</v>
      </c>
    </row>
    <row r="77" spans="1:23" x14ac:dyDescent="0.3">
      <c r="A77" s="19" t="s">
        <v>487</v>
      </c>
      <c r="B77" s="19" t="s">
        <v>23</v>
      </c>
      <c r="C77" s="19" t="s">
        <v>92</v>
      </c>
      <c r="D77" s="19" t="s">
        <v>488</v>
      </c>
      <c r="E77" s="19" t="s">
        <v>489</v>
      </c>
      <c r="F77" s="19" t="s">
        <v>27</v>
      </c>
      <c r="G77" s="19" t="s">
        <v>28</v>
      </c>
      <c r="H77" s="19" t="s">
        <v>490</v>
      </c>
      <c r="I77" s="19" t="s">
        <v>59</v>
      </c>
      <c r="J77" s="19" t="s">
        <v>31</v>
      </c>
      <c r="K77" s="19" t="s">
        <v>32</v>
      </c>
      <c r="L77" s="19" t="s">
        <v>97</v>
      </c>
      <c r="M77" s="19">
        <v>10</v>
      </c>
      <c r="N77" s="19">
        <v>3500</v>
      </c>
      <c r="O77" s="19">
        <v>20</v>
      </c>
      <c r="P77" s="19">
        <v>28000</v>
      </c>
      <c r="Q77" s="19">
        <v>5</v>
      </c>
      <c r="R77" s="19" t="s">
        <v>79</v>
      </c>
      <c r="S77" s="19" t="s">
        <v>35</v>
      </c>
      <c r="T77" s="19" t="s">
        <v>50</v>
      </c>
      <c r="U77" s="21" t="s">
        <v>491</v>
      </c>
      <c r="V77" s="19" t="s">
        <v>38</v>
      </c>
      <c r="W77" s="15" t="str">
        <f t="shared" si="1"/>
        <v>Silver</v>
      </c>
    </row>
    <row r="78" spans="1:23" x14ac:dyDescent="0.3">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8" t="s">
        <v>495</v>
      </c>
      <c r="V78" s="15" t="s">
        <v>69</v>
      </c>
      <c r="W78" s="15" t="str">
        <f t="shared" si="1"/>
        <v>Blacklisted</v>
      </c>
    </row>
    <row r="79" spans="1:23" x14ac:dyDescent="0.3">
      <c r="A79" s="19" t="s">
        <v>496</v>
      </c>
      <c r="B79" s="19" t="s">
        <v>221</v>
      </c>
      <c r="C79" s="19" t="s">
        <v>184</v>
      </c>
      <c r="D79" s="19" t="s">
        <v>497</v>
      </c>
      <c r="E79" s="19" t="s">
        <v>498</v>
      </c>
      <c r="F79" s="19" t="s">
        <v>225</v>
      </c>
      <c r="G79" s="19" t="s">
        <v>76</v>
      </c>
      <c r="H79" s="19" t="s">
        <v>499</v>
      </c>
      <c r="I79" s="19" t="s">
        <v>59</v>
      </c>
      <c r="J79" s="19" t="s">
        <v>31</v>
      </c>
      <c r="K79" s="19" t="s">
        <v>46</v>
      </c>
      <c r="L79" s="19" t="s">
        <v>189</v>
      </c>
      <c r="M79" s="19">
        <v>12</v>
      </c>
      <c r="N79" s="19">
        <v>700</v>
      </c>
      <c r="O79" s="19">
        <v>15</v>
      </c>
      <c r="P79" s="19">
        <v>7140</v>
      </c>
      <c r="Q79" s="19">
        <v>2</v>
      </c>
      <c r="R79" s="19" t="s">
        <v>88</v>
      </c>
      <c r="S79" s="19" t="s">
        <v>49</v>
      </c>
      <c r="T79" s="19" t="s">
        <v>228</v>
      </c>
      <c r="U79" s="21" t="s">
        <v>500</v>
      </c>
      <c r="V79" s="19" t="s">
        <v>38</v>
      </c>
      <c r="W79" s="15" t="str">
        <f t="shared" si="1"/>
        <v>Blacklisted</v>
      </c>
    </row>
    <row r="80" spans="1:23" x14ac:dyDescent="0.3">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8" t="s">
        <v>505</v>
      </c>
      <c r="V80" s="15" t="s">
        <v>64</v>
      </c>
      <c r="W80" s="15" t="str">
        <f t="shared" si="1"/>
        <v>Pending</v>
      </c>
    </row>
    <row r="81" spans="1:23" x14ac:dyDescent="0.3">
      <c r="A81" s="19" t="s">
        <v>506</v>
      </c>
      <c r="B81" s="19" t="s">
        <v>127</v>
      </c>
      <c r="C81" s="19" t="s">
        <v>118</v>
      </c>
      <c r="D81" s="19" t="s">
        <v>507</v>
      </c>
      <c r="E81" s="19" t="s">
        <v>508</v>
      </c>
      <c r="F81" s="19" t="s">
        <v>200</v>
      </c>
      <c r="G81" s="19" t="s">
        <v>76</v>
      </c>
      <c r="H81" s="19" t="s">
        <v>509</v>
      </c>
      <c r="I81" s="19" t="s">
        <v>114</v>
      </c>
      <c r="J81" s="19" t="s">
        <v>106</v>
      </c>
      <c r="K81" s="19" t="s">
        <v>122</v>
      </c>
      <c r="L81" s="19" t="s">
        <v>123</v>
      </c>
      <c r="M81" s="19">
        <v>2</v>
      </c>
      <c r="N81" s="19">
        <v>60</v>
      </c>
      <c r="O81" s="19">
        <v>0</v>
      </c>
      <c r="P81" s="19">
        <v>120</v>
      </c>
      <c r="Q81" s="19">
        <v>2</v>
      </c>
      <c r="R81" s="19" t="s">
        <v>88</v>
      </c>
      <c r="S81" s="19" t="s">
        <v>49</v>
      </c>
      <c r="T81" s="19" t="s">
        <v>132</v>
      </c>
      <c r="U81" s="21" t="s">
        <v>510</v>
      </c>
      <c r="V81" s="19" t="s">
        <v>38</v>
      </c>
      <c r="W81" s="15" t="str">
        <f t="shared" si="1"/>
        <v>Blacklisted</v>
      </c>
    </row>
    <row r="82" spans="1:23" x14ac:dyDescent="0.3">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8" t="s">
        <v>515</v>
      </c>
      <c r="V82" s="15" t="s">
        <v>69</v>
      </c>
      <c r="W82" s="15" t="str">
        <f t="shared" si="1"/>
        <v>Blacklisted</v>
      </c>
    </row>
    <row r="83" spans="1:23" x14ac:dyDescent="0.3">
      <c r="A83" s="19" t="s">
        <v>516</v>
      </c>
      <c r="B83" s="19" t="s">
        <v>221</v>
      </c>
      <c r="C83" s="19" t="s">
        <v>92</v>
      </c>
      <c r="D83" s="19" t="s">
        <v>517</v>
      </c>
      <c r="E83" s="19" t="s">
        <v>518</v>
      </c>
      <c r="F83" s="19" t="s">
        <v>225</v>
      </c>
      <c r="G83" s="19" t="s">
        <v>76</v>
      </c>
      <c r="H83" s="19" t="s">
        <v>519</v>
      </c>
      <c r="I83" s="19" t="s">
        <v>294</v>
      </c>
      <c r="J83" s="19" t="s">
        <v>295</v>
      </c>
      <c r="K83" s="19" t="s">
        <v>32</v>
      </c>
      <c r="L83" s="19" t="s">
        <v>97</v>
      </c>
      <c r="M83" s="19">
        <v>12</v>
      </c>
      <c r="N83" s="19">
        <v>3500</v>
      </c>
      <c r="O83" s="19">
        <v>5</v>
      </c>
      <c r="P83" s="19">
        <v>39900</v>
      </c>
      <c r="Q83" s="19">
        <v>3</v>
      </c>
      <c r="R83" s="19" t="s">
        <v>48</v>
      </c>
      <c r="S83" s="19" t="s">
        <v>61</v>
      </c>
      <c r="T83" s="19" t="s">
        <v>228</v>
      </c>
      <c r="U83" s="21" t="s">
        <v>520</v>
      </c>
      <c r="V83" s="19" t="s">
        <v>64</v>
      </c>
      <c r="W83" s="15" t="str">
        <f t="shared" si="1"/>
        <v>Pending</v>
      </c>
    </row>
    <row r="84" spans="1:23" x14ac:dyDescent="0.3">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8" t="s">
        <v>523</v>
      </c>
      <c r="V84" s="15" t="s">
        <v>38</v>
      </c>
      <c r="W84" s="15" t="str">
        <f t="shared" si="1"/>
        <v>Blacklisted</v>
      </c>
    </row>
    <row r="85" spans="1:23" x14ac:dyDescent="0.3">
      <c r="A85" s="19" t="s">
        <v>524</v>
      </c>
      <c r="B85" s="19" t="s">
        <v>127</v>
      </c>
      <c r="C85" s="19" t="s">
        <v>72</v>
      </c>
      <c r="D85" s="19" t="s">
        <v>525</v>
      </c>
      <c r="E85" s="19" t="s">
        <v>526</v>
      </c>
      <c r="F85" s="19" t="s">
        <v>200</v>
      </c>
      <c r="G85" s="19" t="s">
        <v>76</v>
      </c>
      <c r="H85" s="19" t="s">
        <v>527</v>
      </c>
      <c r="I85" s="19" t="s">
        <v>30</v>
      </c>
      <c r="J85" s="19" t="s">
        <v>31</v>
      </c>
      <c r="K85" s="19" t="s">
        <v>46</v>
      </c>
      <c r="L85" s="19" t="s">
        <v>78</v>
      </c>
      <c r="M85" s="19">
        <v>18</v>
      </c>
      <c r="N85" s="19">
        <v>1200</v>
      </c>
      <c r="O85" s="19">
        <v>15</v>
      </c>
      <c r="P85" s="19">
        <v>18360</v>
      </c>
      <c r="Q85" s="19">
        <v>3</v>
      </c>
      <c r="R85" s="19" t="s">
        <v>79</v>
      </c>
      <c r="S85" s="19" t="s">
        <v>115</v>
      </c>
      <c r="T85" s="19" t="s">
        <v>132</v>
      </c>
      <c r="U85" s="21" t="s">
        <v>528</v>
      </c>
      <c r="V85" s="19" t="s">
        <v>64</v>
      </c>
      <c r="W85" s="15" t="str">
        <f t="shared" si="1"/>
        <v>Pending</v>
      </c>
    </row>
    <row r="86" spans="1:23" x14ac:dyDescent="0.3">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8" t="s">
        <v>533</v>
      </c>
      <c r="V86" s="15" t="s">
        <v>38</v>
      </c>
      <c r="W86" s="15" t="str">
        <f t="shared" si="1"/>
        <v>Blacklisted</v>
      </c>
    </row>
    <row r="87" spans="1:23" x14ac:dyDescent="0.3">
      <c r="A87" s="19" t="s">
        <v>534</v>
      </c>
      <c r="B87" s="19" t="s">
        <v>83</v>
      </c>
      <c r="C87" s="19" t="s">
        <v>222</v>
      </c>
      <c r="D87" s="19" t="s">
        <v>531</v>
      </c>
      <c r="E87" s="19" t="s">
        <v>535</v>
      </c>
      <c r="F87" s="19" t="s">
        <v>180</v>
      </c>
      <c r="G87" s="19" t="s">
        <v>76</v>
      </c>
      <c r="H87" s="19" t="s">
        <v>536</v>
      </c>
      <c r="I87" s="19" t="s">
        <v>138</v>
      </c>
      <c r="J87" s="19" t="s">
        <v>106</v>
      </c>
      <c r="K87" s="19" t="s">
        <v>122</v>
      </c>
      <c r="L87" s="19" t="s">
        <v>227</v>
      </c>
      <c r="M87" s="19">
        <v>7</v>
      </c>
      <c r="N87" s="19">
        <v>20</v>
      </c>
      <c r="O87" s="19">
        <v>0</v>
      </c>
      <c r="P87" s="19">
        <v>140</v>
      </c>
      <c r="Q87" s="19">
        <v>2</v>
      </c>
      <c r="R87" s="19" t="s">
        <v>79</v>
      </c>
      <c r="S87" s="19" t="s">
        <v>35</v>
      </c>
      <c r="T87" s="19" t="s">
        <v>89</v>
      </c>
      <c r="U87" s="21" t="s">
        <v>537</v>
      </c>
      <c r="V87" s="19" t="s">
        <v>69</v>
      </c>
      <c r="W87" s="15" t="str">
        <f t="shared" si="1"/>
        <v>Blacklisted</v>
      </c>
    </row>
    <row r="88" spans="1:23" x14ac:dyDescent="0.3">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8" t="s">
        <v>541</v>
      </c>
      <c r="V88" s="15" t="s">
        <v>64</v>
      </c>
      <c r="W88" s="15" t="str">
        <f t="shared" si="1"/>
        <v>Pending</v>
      </c>
    </row>
    <row r="89" spans="1:23" x14ac:dyDescent="0.3">
      <c r="A89" s="19" t="s">
        <v>542</v>
      </c>
      <c r="B89" s="19" t="s">
        <v>100</v>
      </c>
      <c r="C89" s="19" t="s">
        <v>169</v>
      </c>
      <c r="D89" s="19" t="s">
        <v>543</v>
      </c>
      <c r="E89" s="19" t="s">
        <v>544</v>
      </c>
      <c r="F89" s="19" t="s">
        <v>103</v>
      </c>
      <c r="G89" s="19" t="s">
        <v>28</v>
      </c>
      <c r="H89" s="19" t="s">
        <v>545</v>
      </c>
      <c r="I89" s="19" t="s">
        <v>138</v>
      </c>
      <c r="J89" s="19" t="s">
        <v>106</v>
      </c>
      <c r="K89" s="19" t="s">
        <v>32</v>
      </c>
      <c r="L89" s="19" t="s">
        <v>174</v>
      </c>
      <c r="M89" s="19">
        <v>8</v>
      </c>
      <c r="N89" s="19">
        <v>8500</v>
      </c>
      <c r="O89" s="19">
        <v>20</v>
      </c>
      <c r="P89" s="19">
        <v>54400</v>
      </c>
      <c r="Q89" s="19">
        <v>3</v>
      </c>
      <c r="R89" s="19" t="s">
        <v>79</v>
      </c>
      <c r="S89" s="19" t="s">
        <v>115</v>
      </c>
      <c r="T89" s="19" t="s">
        <v>144</v>
      </c>
      <c r="U89" s="21" t="s">
        <v>546</v>
      </c>
      <c r="V89" s="19" t="s">
        <v>64</v>
      </c>
      <c r="W89" s="15" t="str">
        <f t="shared" si="1"/>
        <v>Pending</v>
      </c>
    </row>
    <row r="90" spans="1:23" x14ac:dyDescent="0.3">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8" t="s">
        <v>552</v>
      </c>
      <c r="V90" s="15" t="s">
        <v>38</v>
      </c>
      <c r="W90" s="15" t="str">
        <f t="shared" si="1"/>
        <v>Gold</v>
      </c>
    </row>
    <row r="91" spans="1:23" x14ac:dyDescent="0.3">
      <c r="A91" s="19" t="s">
        <v>553</v>
      </c>
      <c r="B91" s="19" t="s">
        <v>23</v>
      </c>
      <c r="C91" s="19" t="s">
        <v>169</v>
      </c>
      <c r="D91" s="19" t="s">
        <v>554</v>
      </c>
      <c r="E91" s="19" t="s">
        <v>404</v>
      </c>
      <c r="F91" s="19" t="s">
        <v>27</v>
      </c>
      <c r="G91" s="19" t="s">
        <v>28</v>
      </c>
      <c r="H91" s="19" t="s">
        <v>555</v>
      </c>
      <c r="I91" s="19" t="s">
        <v>114</v>
      </c>
      <c r="J91" s="19" t="s">
        <v>106</v>
      </c>
      <c r="K91" s="19" t="s">
        <v>32</v>
      </c>
      <c r="L91" s="19" t="s">
        <v>174</v>
      </c>
      <c r="M91" s="19">
        <v>15</v>
      </c>
      <c r="N91" s="19">
        <v>8500</v>
      </c>
      <c r="O91" s="19">
        <v>0</v>
      </c>
      <c r="P91" s="19">
        <v>127500</v>
      </c>
      <c r="Q91" s="19">
        <v>4</v>
      </c>
      <c r="R91" s="19" t="s">
        <v>48</v>
      </c>
      <c r="S91" s="19" t="s">
        <v>35</v>
      </c>
      <c r="T91" s="19" t="s">
        <v>50</v>
      </c>
      <c r="U91" s="21" t="s">
        <v>556</v>
      </c>
      <c r="V91" s="19" t="s">
        <v>69</v>
      </c>
      <c r="W91" s="15" t="str">
        <f t="shared" si="1"/>
        <v>Blacklisted</v>
      </c>
    </row>
    <row r="92" spans="1:23" x14ac:dyDescent="0.3">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8" t="s">
        <v>560</v>
      </c>
      <c r="V92" s="15" t="s">
        <v>69</v>
      </c>
      <c r="W92" s="15" t="str">
        <f t="shared" si="1"/>
        <v>Blacklisted</v>
      </c>
    </row>
    <row r="93" spans="1:23" x14ac:dyDescent="0.3">
      <c r="A93" s="19" t="s">
        <v>561</v>
      </c>
      <c r="B93" s="19" t="s">
        <v>53</v>
      </c>
      <c r="C93" s="19" t="s">
        <v>222</v>
      </c>
      <c r="D93" s="19" t="s">
        <v>562</v>
      </c>
      <c r="E93" s="19" t="s">
        <v>563</v>
      </c>
      <c r="F93" s="19" t="s">
        <v>163</v>
      </c>
      <c r="G93" s="19" t="s">
        <v>28</v>
      </c>
      <c r="H93" s="19" t="s">
        <v>564</v>
      </c>
      <c r="I93" s="19" t="s">
        <v>30</v>
      </c>
      <c r="J93" s="19" t="s">
        <v>31</v>
      </c>
      <c r="K93" s="19" t="s">
        <v>122</v>
      </c>
      <c r="L93" s="19" t="s">
        <v>227</v>
      </c>
      <c r="M93" s="19">
        <v>4</v>
      </c>
      <c r="N93" s="19">
        <v>20</v>
      </c>
      <c r="O93" s="19">
        <v>0</v>
      </c>
      <c r="P93" s="19">
        <v>80</v>
      </c>
      <c r="Q93" s="19">
        <v>4</v>
      </c>
      <c r="R93" s="19" t="s">
        <v>48</v>
      </c>
      <c r="S93" s="19" t="s">
        <v>49</v>
      </c>
      <c r="T93" s="19" t="s">
        <v>62</v>
      </c>
      <c r="U93" s="21" t="s">
        <v>565</v>
      </c>
      <c r="V93" s="19" t="s">
        <v>38</v>
      </c>
      <c r="W93" s="15" t="str">
        <f t="shared" si="1"/>
        <v>Silver</v>
      </c>
    </row>
    <row r="94" spans="1:23" x14ac:dyDescent="0.3">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8" t="s">
        <v>570</v>
      </c>
      <c r="V94" s="15" t="s">
        <v>64</v>
      </c>
      <c r="W94" s="15" t="str">
        <f t="shared" si="1"/>
        <v>Pending</v>
      </c>
    </row>
    <row r="95" spans="1:23" x14ac:dyDescent="0.3">
      <c r="A95" s="19" t="s">
        <v>571</v>
      </c>
      <c r="B95" s="19" t="s">
        <v>168</v>
      </c>
      <c r="C95" s="19" t="s">
        <v>24</v>
      </c>
      <c r="D95" s="19" t="s">
        <v>572</v>
      </c>
      <c r="E95" s="19" t="s">
        <v>573</v>
      </c>
      <c r="F95" s="19" t="s">
        <v>361</v>
      </c>
      <c r="G95" s="19" t="s">
        <v>28</v>
      </c>
      <c r="H95" s="19" t="s">
        <v>574</v>
      </c>
      <c r="I95" s="19" t="s">
        <v>44</v>
      </c>
      <c r="J95" s="19" t="s">
        <v>45</v>
      </c>
      <c r="K95" s="19" t="s">
        <v>32</v>
      </c>
      <c r="L95" s="19" t="s">
        <v>33</v>
      </c>
      <c r="M95" s="19">
        <v>18</v>
      </c>
      <c r="N95" s="19">
        <v>2200</v>
      </c>
      <c r="O95" s="19">
        <v>10</v>
      </c>
      <c r="P95" s="19">
        <v>35640</v>
      </c>
      <c r="Q95" s="19">
        <v>3</v>
      </c>
      <c r="R95" s="19" t="s">
        <v>34</v>
      </c>
      <c r="S95" s="19" t="s">
        <v>35</v>
      </c>
      <c r="T95" s="19" t="s">
        <v>175</v>
      </c>
      <c r="U95" s="21" t="s">
        <v>575</v>
      </c>
      <c r="V95" s="19" t="s">
        <v>69</v>
      </c>
      <c r="W95" s="15" t="str">
        <f t="shared" si="1"/>
        <v>Blacklisted</v>
      </c>
    </row>
    <row r="96" spans="1:23" x14ac:dyDescent="0.3">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8" t="s">
        <v>580</v>
      </c>
      <c r="V96" s="15" t="s">
        <v>38</v>
      </c>
      <c r="W96" s="15" t="str">
        <f t="shared" si="1"/>
        <v>Silver</v>
      </c>
    </row>
    <row r="97" spans="1:23" x14ac:dyDescent="0.3">
      <c r="A97" s="19" t="s">
        <v>581</v>
      </c>
      <c r="B97" s="19" t="s">
        <v>100</v>
      </c>
      <c r="C97" s="19" t="s">
        <v>169</v>
      </c>
      <c r="D97" s="19" t="s">
        <v>582</v>
      </c>
      <c r="E97" s="19" t="s">
        <v>583</v>
      </c>
      <c r="F97" s="19" t="s">
        <v>103</v>
      </c>
      <c r="G97" s="19" t="s">
        <v>28</v>
      </c>
      <c r="H97" s="19" t="s">
        <v>584</v>
      </c>
      <c r="I97" s="19" t="s">
        <v>294</v>
      </c>
      <c r="J97" s="19" t="s">
        <v>295</v>
      </c>
      <c r="K97" s="19" t="s">
        <v>32</v>
      </c>
      <c r="L97" s="19" t="s">
        <v>174</v>
      </c>
      <c r="M97" s="19">
        <v>19</v>
      </c>
      <c r="N97" s="19">
        <v>8500</v>
      </c>
      <c r="O97" s="19">
        <v>15</v>
      </c>
      <c r="P97" s="19">
        <v>137275</v>
      </c>
      <c r="Q97" s="19">
        <v>4</v>
      </c>
      <c r="R97" s="19" t="s">
        <v>79</v>
      </c>
      <c r="S97" s="19" t="s">
        <v>151</v>
      </c>
      <c r="T97" s="19" t="s">
        <v>144</v>
      </c>
      <c r="U97" s="21" t="s">
        <v>585</v>
      </c>
      <c r="V97" s="19" t="s">
        <v>64</v>
      </c>
      <c r="W97" s="15" t="str">
        <f t="shared" si="1"/>
        <v>Pending</v>
      </c>
    </row>
    <row r="98" spans="1:23" x14ac:dyDescent="0.3">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8" t="s">
        <v>590</v>
      </c>
      <c r="V98" s="15" t="s">
        <v>38</v>
      </c>
      <c r="W98" s="15" t="str">
        <f t="shared" si="1"/>
        <v>Pending</v>
      </c>
    </row>
    <row r="99" spans="1:23" x14ac:dyDescent="0.3">
      <c r="A99" s="19" t="s">
        <v>591</v>
      </c>
      <c r="B99" s="19" t="s">
        <v>327</v>
      </c>
      <c r="C99" s="19" t="s">
        <v>222</v>
      </c>
      <c r="D99" s="19" t="s">
        <v>592</v>
      </c>
      <c r="E99" s="19" t="s">
        <v>398</v>
      </c>
      <c r="F99" s="19" t="s">
        <v>394</v>
      </c>
      <c r="G99" s="19" t="s">
        <v>76</v>
      </c>
      <c r="H99" s="19" t="s">
        <v>593</v>
      </c>
      <c r="I99" s="19" t="s">
        <v>114</v>
      </c>
      <c r="J99" s="19" t="s">
        <v>106</v>
      </c>
      <c r="K99" s="19" t="s">
        <v>122</v>
      </c>
      <c r="L99" s="19" t="s">
        <v>227</v>
      </c>
      <c r="M99" s="19">
        <v>7</v>
      </c>
      <c r="N99" s="19">
        <v>20</v>
      </c>
      <c r="O99" s="19">
        <v>0</v>
      </c>
      <c r="P99" s="19">
        <v>140</v>
      </c>
      <c r="Q99" s="19">
        <v>1</v>
      </c>
      <c r="R99" s="19" t="s">
        <v>79</v>
      </c>
      <c r="S99" s="19" t="s">
        <v>151</v>
      </c>
      <c r="T99" s="19" t="s">
        <v>332</v>
      </c>
      <c r="U99" s="21" t="s">
        <v>594</v>
      </c>
      <c r="V99" s="19" t="s">
        <v>69</v>
      </c>
      <c r="W99" s="15" t="str">
        <f t="shared" si="1"/>
        <v>Blacklisted</v>
      </c>
    </row>
    <row r="100" spans="1:23" x14ac:dyDescent="0.3">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8" t="s">
        <v>599</v>
      </c>
      <c r="V100" s="15" t="s">
        <v>64</v>
      </c>
      <c r="W100" s="15" t="str">
        <f t="shared" si="1"/>
        <v>Pending</v>
      </c>
    </row>
    <row r="101" spans="1:23" x14ac:dyDescent="0.3">
      <c r="A101" s="19" t="s">
        <v>600</v>
      </c>
      <c r="B101" s="19" t="s">
        <v>83</v>
      </c>
      <c r="C101" s="19" t="s">
        <v>259</v>
      </c>
      <c r="D101" s="19" t="s">
        <v>583</v>
      </c>
      <c r="E101" s="19" t="s">
        <v>601</v>
      </c>
      <c r="F101" s="19" t="s">
        <v>180</v>
      </c>
      <c r="G101" s="19" t="s">
        <v>76</v>
      </c>
      <c r="H101" s="19" t="s">
        <v>602</v>
      </c>
      <c r="I101" s="19" t="s">
        <v>59</v>
      </c>
      <c r="J101" s="19" t="s">
        <v>31</v>
      </c>
      <c r="K101" s="19" t="s">
        <v>122</v>
      </c>
      <c r="L101" s="19" t="s">
        <v>263</v>
      </c>
      <c r="M101" s="19">
        <v>9</v>
      </c>
      <c r="N101" s="19">
        <v>45</v>
      </c>
      <c r="O101" s="19">
        <v>5</v>
      </c>
      <c r="P101" s="19">
        <v>384.75</v>
      </c>
      <c r="Q101" s="19">
        <v>3</v>
      </c>
      <c r="R101" s="19" t="s">
        <v>34</v>
      </c>
      <c r="S101" s="19" t="s">
        <v>35</v>
      </c>
      <c r="T101" s="19" t="s">
        <v>89</v>
      </c>
      <c r="U101" s="21" t="s">
        <v>603</v>
      </c>
      <c r="V101" s="19" t="s">
        <v>38</v>
      </c>
      <c r="W101" s="15" t="str">
        <f t="shared" si="1"/>
        <v>Silver</v>
      </c>
    </row>
    <row r="102" spans="1:23" x14ac:dyDescent="0.3">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8" t="s">
        <v>608</v>
      </c>
      <c r="V102" s="15" t="s">
        <v>38</v>
      </c>
      <c r="W102" s="15" t="str">
        <f t="shared" si="1"/>
        <v>Silver</v>
      </c>
    </row>
    <row r="103" spans="1:23" x14ac:dyDescent="0.3">
      <c r="A103" s="19" t="s">
        <v>609</v>
      </c>
      <c r="B103" s="19" t="s">
        <v>327</v>
      </c>
      <c r="C103" s="19" t="s">
        <v>184</v>
      </c>
      <c r="D103" s="19" t="s">
        <v>610</v>
      </c>
      <c r="E103" s="19" t="s">
        <v>611</v>
      </c>
      <c r="F103" s="19" t="s">
        <v>394</v>
      </c>
      <c r="G103" s="19" t="s">
        <v>76</v>
      </c>
      <c r="H103" s="19" t="s">
        <v>612</v>
      </c>
      <c r="I103" s="19" t="s">
        <v>138</v>
      </c>
      <c r="J103" s="19" t="s">
        <v>106</v>
      </c>
      <c r="K103" s="19" t="s">
        <v>46</v>
      </c>
      <c r="L103" s="19" t="s">
        <v>189</v>
      </c>
      <c r="M103" s="19">
        <v>4</v>
      </c>
      <c r="N103" s="19">
        <v>700</v>
      </c>
      <c r="O103" s="19">
        <v>5</v>
      </c>
      <c r="P103" s="19">
        <v>2660</v>
      </c>
      <c r="Q103" s="19">
        <v>3</v>
      </c>
      <c r="R103" s="19" t="s">
        <v>48</v>
      </c>
      <c r="S103" s="19" t="s">
        <v>61</v>
      </c>
      <c r="T103" s="19" t="s">
        <v>332</v>
      </c>
      <c r="U103" s="21" t="s">
        <v>613</v>
      </c>
      <c r="V103" s="19" t="s">
        <v>38</v>
      </c>
      <c r="W103" s="15" t="str">
        <f t="shared" si="1"/>
        <v>Silver</v>
      </c>
    </row>
    <row r="104" spans="1:23" x14ac:dyDescent="0.3">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8" t="s">
        <v>617</v>
      </c>
      <c r="V104" s="15" t="s">
        <v>38</v>
      </c>
      <c r="W104" s="15" t="str">
        <f t="shared" si="1"/>
        <v>Blacklisted</v>
      </c>
    </row>
    <row r="105" spans="1:23" x14ac:dyDescent="0.3">
      <c r="A105" s="19" t="s">
        <v>618</v>
      </c>
      <c r="B105" s="19" t="s">
        <v>251</v>
      </c>
      <c r="C105" s="19" t="s">
        <v>259</v>
      </c>
      <c r="D105" s="19" t="s">
        <v>619</v>
      </c>
      <c r="E105" s="19" t="s">
        <v>620</v>
      </c>
      <c r="F105" s="19" t="s">
        <v>254</v>
      </c>
      <c r="G105" s="19" t="s">
        <v>28</v>
      </c>
      <c r="H105" s="19" t="s">
        <v>621</v>
      </c>
      <c r="I105" s="19" t="s">
        <v>59</v>
      </c>
      <c r="J105" s="19" t="s">
        <v>31</v>
      </c>
      <c r="K105" s="19" t="s">
        <v>122</v>
      </c>
      <c r="L105" s="19" t="s">
        <v>263</v>
      </c>
      <c r="M105" s="19">
        <v>5</v>
      </c>
      <c r="N105" s="19">
        <v>45</v>
      </c>
      <c r="O105" s="19">
        <v>20</v>
      </c>
      <c r="P105" s="19">
        <v>180</v>
      </c>
      <c r="Q105" s="19">
        <v>3</v>
      </c>
      <c r="R105" s="19" t="s">
        <v>79</v>
      </c>
      <c r="S105" s="19" t="s">
        <v>35</v>
      </c>
      <c r="T105" s="19" t="s">
        <v>256</v>
      </c>
      <c r="U105" s="21" t="s">
        <v>622</v>
      </c>
      <c r="V105" s="19" t="s">
        <v>38</v>
      </c>
      <c r="W105" s="15" t="str">
        <f t="shared" si="1"/>
        <v>Silver</v>
      </c>
    </row>
    <row r="106" spans="1:23" x14ac:dyDescent="0.3">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8" t="s">
        <v>626</v>
      </c>
      <c r="V106" s="15" t="s">
        <v>64</v>
      </c>
      <c r="W106" s="15" t="str">
        <f t="shared" si="1"/>
        <v>Pending</v>
      </c>
    </row>
    <row r="107" spans="1:23" x14ac:dyDescent="0.3">
      <c r="A107" s="19" t="s">
        <v>627</v>
      </c>
      <c r="B107" s="19" t="s">
        <v>53</v>
      </c>
      <c r="C107" s="19" t="s">
        <v>72</v>
      </c>
      <c r="D107" s="19" t="s">
        <v>628</v>
      </c>
      <c r="E107" s="19" t="s">
        <v>431</v>
      </c>
      <c r="F107" s="19" t="s">
        <v>163</v>
      </c>
      <c r="G107" s="19" t="s">
        <v>28</v>
      </c>
      <c r="H107" s="19" t="s">
        <v>629</v>
      </c>
      <c r="I107" s="19" t="s">
        <v>44</v>
      </c>
      <c r="J107" s="19" t="s">
        <v>45</v>
      </c>
      <c r="K107" s="19" t="s">
        <v>46</v>
      </c>
      <c r="L107" s="19" t="s">
        <v>78</v>
      </c>
      <c r="M107" s="19">
        <v>9</v>
      </c>
      <c r="N107" s="19">
        <v>1200</v>
      </c>
      <c r="O107" s="19">
        <v>5</v>
      </c>
      <c r="P107" s="19">
        <v>10260</v>
      </c>
      <c r="Q107" s="19">
        <v>3</v>
      </c>
      <c r="R107" s="19" t="s">
        <v>88</v>
      </c>
      <c r="S107" s="19" t="s">
        <v>35</v>
      </c>
      <c r="T107" s="19" t="s">
        <v>62</v>
      </c>
      <c r="U107" s="21" t="s">
        <v>630</v>
      </c>
      <c r="V107" s="19" t="s">
        <v>64</v>
      </c>
      <c r="W107" s="15" t="str">
        <f t="shared" si="1"/>
        <v>Pending</v>
      </c>
    </row>
    <row r="108" spans="1:23" x14ac:dyDescent="0.3">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8" t="s">
        <v>634</v>
      </c>
      <c r="V108" s="15" t="s">
        <v>69</v>
      </c>
      <c r="W108" s="15" t="str">
        <f t="shared" si="1"/>
        <v>Blacklisted</v>
      </c>
    </row>
    <row r="109" spans="1:23" x14ac:dyDescent="0.3">
      <c r="A109" s="19" t="s">
        <v>635</v>
      </c>
      <c r="B109" s="19" t="s">
        <v>221</v>
      </c>
      <c r="C109" s="19" t="s">
        <v>72</v>
      </c>
      <c r="D109" s="19" t="s">
        <v>241</v>
      </c>
      <c r="E109" s="19" t="s">
        <v>636</v>
      </c>
      <c r="F109" s="19" t="s">
        <v>225</v>
      </c>
      <c r="G109" s="19" t="s">
        <v>76</v>
      </c>
      <c r="H109" s="19" t="s">
        <v>637</v>
      </c>
      <c r="I109" s="19" t="s">
        <v>105</v>
      </c>
      <c r="J109" s="19" t="s">
        <v>106</v>
      </c>
      <c r="K109" s="19" t="s">
        <v>46</v>
      </c>
      <c r="L109" s="19" t="s">
        <v>78</v>
      </c>
      <c r="M109" s="19">
        <v>6</v>
      </c>
      <c r="N109" s="19">
        <v>1200</v>
      </c>
      <c r="O109" s="19">
        <v>15</v>
      </c>
      <c r="P109" s="19">
        <v>6120</v>
      </c>
      <c r="Q109" s="19">
        <v>4</v>
      </c>
      <c r="R109" s="19" t="s">
        <v>88</v>
      </c>
      <c r="S109" s="19" t="s">
        <v>35</v>
      </c>
      <c r="T109" s="19" t="s">
        <v>228</v>
      </c>
      <c r="U109" s="21" t="s">
        <v>638</v>
      </c>
      <c r="V109" s="19" t="s">
        <v>69</v>
      </c>
      <c r="W109" s="15" t="str">
        <f t="shared" si="1"/>
        <v>Blacklisted</v>
      </c>
    </row>
    <row r="110" spans="1:23" x14ac:dyDescent="0.3">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8" t="s">
        <v>643</v>
      </c>
      <c r="V110" s="15" t="s">
        <v>38</v>
      </c>
      <c r="W110" s="15" t="str">
        <f t="shared" si="1"/>
        <v>Blacklisted</v>
      </c>
    </row>
    <row r="111" spans="1:23" x14ac:dyDescent="0.3">
      <c r="A111" s="19" t="s">
        <v>644</v>
      </c>
      <c r="B111" s="19" t="s">
        <v>221</v>
      </c>
      <c r="C111" s="19" t="s">
        <v>169</v>
      </c>
      <c r="D111" s="19" t="s">
        <v>645</v>
      </c>
      <c r="E111" s="19" t="s">
        <v>287</v>
      </c>
      <c r="F111" s="19" t="s">
        <v>225</v>
      </c>
      <c r="G111" s="19" t="s">
        <v>76</v>
      </c>
      <c r="H111" s="19" t="s">
        <v>646</v>
      </c>
      <c r="I111" s="19" t="s">
        <v>59</v>
      </c>
      <c r="J111" s="19" t="s">
        <v>31</v>
      </c>
      <c r="K111" s="19" t="s">
        <v>32</v>
      </c>
      <c r="L111" s="19" t="s">
        <v>174</v>
      </c>
      <c r="M111" s="19">
        <v>15</v>
      </c>
      <c r="N111" s="19">
        <v>8500</v>
      </c>
      <c r="O111" s="19">
        <v>0</v>
      </c>
      <c r="P111" s="19">
        <v>127500</v>
      </c>
      <c r="Q111" s="19">
        <v>3</v>
      </c>
      <c r="R111" s="19" t="s">
        <v>34</v>
      </c>
      <c r="S111" s="19" t="s">
        <v>115</v>
      </c>
      <c r="T111" s="19" t="s">
        <v>228</v>
      </c>
      <c r="U111" s="21" t="s">
        <v>647</v>
      </c>
      <c r="V111" s="19" t="s">
        <v>64</v>
      </c>
      <c r="W111" s="15" t="str">
        <f t="shared" si="1"/>
        <v>Pending</v>
      </c>
    </row>
    <row r="112" spans="1:23" x14ac:dyDescent="0.3">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8" t="s">
        <v>650</v>
      </c>
      <c r="V112" s="15" t="s">
        <v>64</v>
      </c>
      <c r="W112" s="15" t="str">
        <f t="shared" si="1"/>
        <v>Blacklisted</v>
      </c>
    </row>
    <row r="113" spans="1:23" x14ac:dyDescent="0.3">
      <c r="A113" s="19" t="s">
        <v>651</v>
      </c>
      <c r="B113" s="19" t="s">
        <v>127</v>
      </c>
      <c r="C113" s="19" t="s">
        <v>169</v>
      </c>
      <c r="D113" s="19" t="s">
        <v>652</v>
      </c>
      <c r="E113" s="19" t="s">
        <v>539</v>
      </c>
      <c r="F113" s="19" t="s">
        <v>200</v>
      </c>
      <c r="G113" s="19" t="s">
        <v>76</v>
      </c>
      <c r="H113" s="19" t="s">
        <v>653</v>
      </c>
      <c r="I113" s="19" t="s">
        <v>294</v>
      </c>
      <c r="J113" s="19" t="s">
        <v>295</v>
      </c>
      <c r="K113" s="19" t="s">
        <v>32</v>
      </c>
      <c r="L113" s="19" t="s">
        <v>174</v>
      </c>
      <c r="M113" s="19">
        <v>5</v>
      </c>
      <c r="N113" s="19">
        <v>8500</v>
      </c>
      <c r="O113" s="19">
        <v>10</v>
      </c>
      <c r="P113" s="19">
        <v>38250</v>
      </c>
      <c r="Q113" s="19">
        <v>1</v>
      </c>
      <c r="R113" s="19" t="s">
        <v>79</v>
      </c>
      <c r="S113" s="19" t="s">
        <v>61</v>
      </c>
      <c r="T113" s="19" t="s">
        <v>132</v>
      </c>
      <c r="U113" s="21" t="s">
        <v>654</v>
      </c>
      <c r="V113" s="19" t="s">
        <v>38</v>
      </c>
      <c r="W113" s="15" t="str">
        <f t="shared" si="1"/>
        <v>Blacklisted</v>
      </c>
    </row>
    <row r="114" spans="1:23" x14ac:dyDescent="0.3">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8" t="s">
        <v>659</v>
      </c>
      <c r="V114" s="15" t="s">
        <v>69</v>
      </c>
      <c r="W114" s="15" t="str">
        <f t="shared" si="1"/>
        <v>Blacklisted</v>
      </c>
    </row>
    <row r="115" spans="1:23" x14ac:dyDescent="0.3">
      <c r="A115" s="19" t="s">
        <v>660</v>
      </c>
      <c r="B115" s="19" t="s">
        <v>221</v>
      </c>
      <c r="C115" s="19" t="s">
        <v>118</v>
      </c>
      <c r="D115" s="19" t="s">
        <v>341</v>
      </c>
      <c r="E115" s="19" t="s">
        <v>661</v>
      </c>
      <c r="F115" s="19" t="s">
        <v>225</v>
      </c>
      <c r="G115" s="19" t="s">
        <v>76</v>
      </c>
      <c r="H115" s="19" t="s">
        <v>662</v>
      </c>
      <c r="I115" s="19" t="s">
        <v>114</v>
      </c>
      <c r="J115" s="19" t="s">
        <v>106</v>
      </c>
      <c r="K115" s="19" t="s">
        <v>122</v>
      </c>
      <c r="L115" s="19" t="s">
        <v>123</v>
      </c>
      <c r="M115" s="19">
        <v>5</v>
      </c>
      <c r="N115" s="19">
        <v>60</v>
      </c>
      <c r="O115" s="19">
        <v>5</v>
      </c>
      <c r="P115" s="19">
        <v>285</v>
      </c>
      <c r="Q115" s="19">
        <v>2</v>
      </c>
      <c r="R115" s="19" t="s">
        <v>34</v>
      </c>
      <c r="S115" s="19" t="s">
        <v>61</v>
      </c>
      <c r="T115" s="19" t="s">
        <v>228</v>
      </c>
      <c r="U115" s="21" t="s">
        <v>663</v>
      </c>
      <c r="V115" s="19" t="s">
        <v>38</v>
      </c>
      <c r="W115" s="15" t="str">
        <f t="shared" si="1"/>
        <v>Blacklisted</v>
      </c>
    </row>
    <row r="116" spans="1:23" x14ac:dyDescent="0.3">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8" t="s">
        <v>668</v>
      </c>
      <c r="V116" s="15" t="s">
        <v>38</v>
      </c>
      <c r="W116" s="15" t="str">
        <f t="shared" si="1"/>
        <v>Silver</v>
      </c>
    </row>
    <row r="117" spans="1:23" x14ac:dyDescent="0.3">
      <c r="A117" s="19" t="s">
        <v>669</v>
      </c>
      <c r="B117" s="19" t="s">
        <v>168</v>
      </c>
      <c r="C117" s="19" t="s">
        <v>222</v>
      </c>
      <c r="D117" s="19" t="s">
        <v>335</v>
      </c>
      <c r="E117" s="19" t="s">
        <v>606</v>
      </c>
      <c r="F117" s="19" t="s">
        <v>361</v>
      </c>
      <c r="G117" s="19" t="s">
        <v>28</v>
      </c>
      <c r="H117" s="19" t="s">
        <v>670</v>
      </c>
      <c r="I117" s="19" t="s">
        <v>44</v>
      </c>
      <c r="J117" s="19" t="s">
        <v>45</v>
      </c>
      <c r="K117" s="19" t="s">
        <v>122</v>
      </c>
      <c r="L117" s="19" t="s">
        <v>227</v>
      </c>
      <c r="M117" s="19">
        <v>6</v>
      </c>
      <c r="N117" s="19">
        <v>20</v>
      </c>
      <c r="O117" s="19">
        <v>15</v>
      </c>
      <c r="P117" s="19">
        <v>102</v>
      </c>
      <c r="Q117" s="19">
        <v>5</v>
      </c>
      <c r="R117" s="19" t="s">
        <v>79</v>
      </c>
      <c r="S117" s="19" t="s">
        <v>151</v>
      </c>
      <c r="T117" s="19" t="s">
        <v>175</v>
      </c>
      <c r="U117" s="21" t="s">
        <v>671</v>
      </c>
      <c r="V117" s="19" t="s">
        <v>38</v>
      </c>
      <c r="W117" s="15" t="str">
        <f t="shared" si="1"/>
        <v>Silver</v>
      </c>
    </row>
    <row r="118" spans="1:23" x14ac:dyDescent="0.3">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8" t="s">
        <v>676</v>
      </c>
      <c r="V118" s="15" t="s">
        <v>64</v>
      </c>
      <c r="W118" s="15" t="str">
        <f t="shared" si="1"/>
        <v>Pending</v>
      </c>
    </row>
    <row r="119" spans="1:23" x14ac:dyDescent="0.3">
      <c r="A119" s="19" t="s">
        <v>677</v>
      </c>
      <c r="B119" s="19" t="s">
        <v>327</v>
      </c>
      <c r="C119" s="19" t="s">
        <v>259</v>
      </c>
      <c r="D119" s="19" t="s">
        <v>678</v>
      </c>
      <c r="E119" s="19" t="s">
        <v>679</v>
      </c>
      <c r="F119" s="19" t="s">
        <v>394</v>
      </c>
      <c r="G119" s="19" t="s">
        <v>76</v>
      </c>
      <c r="H119" s="19" t="s">
        <v>680</v>
      </c>
      <c r="I119" s="19" t="s">
        <v>114</v>
      </c>
      <c r="J119" s="19" t="s">
        <v>106</v>
      </c>
      <c r="K119" s="19" t="s">
        <v>122</v>
      </c>
      <c r="L119" s="19" t="s">
        <v>263</v>
      </c>
      <c r="M119" s="19">
        <v>16</v>
      </c>
      <c r="N119" s="19">
        <v>45</v>
      </c>
      <c r="O119" s="19">
        <v>0</v>
      </c>
      <c r="P119" s="19">
        <v>720</v>
      </c>
      <c r="Q119" s="19">
        <v>1</v>
      </c>
      <c r="R119" s="19" t="s">
        <v>48</v>
      </c>
      <c r="S119" s="19" t="s">
        <v>61</v>
      </c>
      <c r="T119" s="19" t="s">
        <v>332</v>
      </c>
      <c r="U119" s="21" t="s">
        <v>681</v>
      </c>
      <c r="V119" s="19" t="s">
        <v>38</v>
      </c>
      <c r="W119" s="15" t="str">
        <f t="shared" si="1"/>
        <v>Blacklisted</v>
      </c>
    </row>
    <row r="120" spans="1:23" x14ac:dyDescent="0.3">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8" t="s">
        <v>687</v>
      </c>
      <c r="V120" s="15" t="s">
        <v>64</v>
      </c>
      <c r="W120" s="15" t="str">
        <f t="shared" si="1"/>
        <v>Pending</v>
      </c>
    </row>
    <row r="121" spans="1:23" x14ac:dyDescent="0.3">
      <c r="A121" s="19" t="s">
        <v>688</v>
      </c>
      <c r="B121" s="19" t="s">
        <v>100</v>
      </c>
      <c r="C121" s="19" t="s">
        <v>40</v>
      </c>
      <c r="D121" s="19" t="s">
        <v>376</v>
      </c>
      <c r="E121" s="19" t="s">
        <v>469</v>
      </c>
      <c r="F121" s="19" t="s">
        <v>103</v>
      </c>
      <c r="G121" s="19" t="s">
        <v>28</v>
      </c>
      <c r="H121" s="19" t="s">
        <v>689</v>
      </c>
      <c r="I121" s="19" t="s">
        <v>212</v>
      </c>
      <c r="J121" s="19" t="s">
        <v>45</v>
      </c>
      <c r="K121" s="19" t="s">
        <v>46</v>
      </c>
      <c r="L121" s="19" t="s">
        <v>47</v>
      </c>
      <c r="M121" s="19">
        <v>14</v>
      </c>
      <c r="N121" s="19">
        <v>12000</v>
      </c>
      <c r="O121" s="19">
        <v>15</v>
      </c>
      <c r="P121" s="19">
        <v>142800</v>
      </c>
      <c r="Q121" s="19">
        <v>2</v>
      </c>
      <c r="R121" s="19" t="s">
        <v>48</v>
      </c>
      <c r="S121" s="19" t="s">
        <v>61</v>
      </c>
      <c r="T121" s="19" t="s">
        <v>144</v>
      </c>
      <c r="U121" s="21" t="s">
        <v>690</v>
      </c>
      <c r="V121" s="19" t="s">
        <v>64</v>
      </c>
      <c r="W121" s="15" t="str">
        <f t="shared" si="1"/>
        <v>Blacklisted</v>
      </c>
    </row>
    <row r="122" spans="1:23" x14ac:dyDescent="0.3">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8" t="s">
        <v>694</v>
      </c>
      <c r="V122" s="15" t="s">
        <v>38</v>
      </c>
      <c r="W122" s="15" t="str">
        <f t="shared" si="1"/>
        <v>Gold</v>
      </c>
    </row>
    <row r="123" spans="1:23" x14ac:dyDescent="0.3">
      <c r="A123" s="19" t="s">
        <v>695</v>
      </c>
      <c r="B123" s="19" t="s">
        <v>83</v>
      </c>
      <c r="C123" s="19" t="s">
        <v>259</v>
      </c>
      <c r="D123" s="19" t="s">
        <v>110</v>
      </c>
      <c r="E123" s="19" t="s">
        <v>313</v>
      </c>
      <c r="F123" s="19" t="s">
        <v>180</v>
      </c>
      <c r="G123" s="19" t="s">
        <v>76</v>
      </c>
      <c r="H123" s="19" t="s">
        <v>696</v>
      </c>
      <c r="I123" s="19" t="s">
        <v>59</v>
      </c>
      <c r="J123" s="19" t="s">
        <v>31</v>
      </c>
      <c r="K123" s="19" t="s">
        <v>122</v>
      </c>
      <c r="L123" s="19" t="s">
        <v>263</v>
      </c>
      <c r="M123" s="19">
        <v>3</v>
      </c>
      <c r="N123" s="19">
        <v>45</v>
      </c>
      <c r="O123" s="19">
        <v>0</v>
      </c>
      <c r="P123" s="19">
        <v>135</v>
      </c>
      <c r="Q123" s="19">
        <v>4</v>
      </c>
      <c r="R123" s="19" t="s">
        <v>88</v>
      </c>
      <c r="S123" s="19" t="s">
        <v>61</v>
      </c>
      <c r="T123" s="19" t="s">
        <v>89</v>
      </c>
      <c r="U123" s="21" t="s">
        <v>697</v>
      </c>
      <c r="V123" s="19" t="s">
        <v>69</v>
      </c>
      <c r="W123" s="15" t="str">
        <f t="shared" si="1"/>
        <v>Blacklisted</v>
      </c>
    </row>
    <row r="124" spans="1:23" x14ac:dyDescent="0.3">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8" t="s">
        <v>700</v>
      </c>
      <c r="V124" s="15" t="s">
        <v>64</v>
      </c>
      <c r="W124" s="15" t="str">
        <f t="shared" si="1"/>
        <v>Pending</v>
      </c>
    </row>
    <row r="125" spans="1:23" x14ac:dyDescent="0.3">
      <c r="A125" s="19" t="s">
        <v>701</v>
      </c>
      <c r="B125" s="19" t="s">
        <v>168</v>
      </c>
      <c r="C125" s="19" t="s">
        <v>72</v>
      </c>
      <c r="D125" s="19" t="s">
        <v>702</v>
      </c>
      <c r="E125" s="19" t="s">
        <v>703</v>
      </c>
      <c r="F125" s="19" t="s">
        <v>361</v>
      </c>
      <c r="G125" s="19" t="s">
        <v>28</v>
      </c>
      <c r="H125" s="19" t="s">
        <v>704</v>
      </c>
      <c r="I125" s="19" t="s">
        <v>105</v>
      </c>
      <c r="J125" s="19" t="s">
        <v>106</v>
      </c>
      <c r="K125" s="19" t="s">
        <v>46</v>
      </c>
      <c r="L125" s="19" t="s">
        <v>78</v>
      </c>
      <c r="M125" s="19">
        <v>14</v>
      </c>
      <c r="N125" s="19">
        <v>1200</v>
      </c>
      <c r="O125" s="19">
        <v>20</v>
      </c>
      <c r="P125" s="19">
        <v>13440</v>
      </c>
      <c r="Q125" s="19">
        <v>5</v>
      </c>
      <c r="R125" s="19" t="s">
        <v>48</v>
      </c>
      <c r="S125" s="19" t="s">
        <v>61</v>
      </c>
      <c r="T125" s="19" t="s">
        <v>175</v>
      </c>
      <c r="U125" s="21" t="s">
        <v>705</v>
      </c>
      <c r="V125" s="19" t="s">
        <v>38</v>
      </c>
      <c r="W125" s="15" t="str">
        <f t="shared" si="1"/>
        <v>Silver</v>
      </c>
    </row>
    <row r="126" spans="1:23" x14ac:dyDescent="0.3">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8" t="s">
        <v>709</v>
      </c>
      <c r="V126" s="15" t="s">
        <v>69</v>
      </c>
      <c r="W126" s="15" t="str">
        <f t="shared" si="1"/>
        <v>Blacklisted</v>
      </c>
    </row>
    <row r="127" spans="1:23" x14ac:dyDescent="0.3">
      <c r="A127" s="19" t="s">
        <v>710</v>
      </c>
      <c r="B127" s="19" t="s">
        <v>168</v>
      </c>
      <c r="C127" s="19" t="s">
        <v>72</v>
      </c>
      <c r="D127" s="19" t="s">
        <v>711</v>
      </c>
      <c r="E127" s="19" t="s">
        <v>712</v>
      </c>
      <c r="F127" s="19" t="s">
        <v>361</v>
      </c>
      <c r="G127" s="19" t="s">
        <v>28</v>
      </c>
      <c r="H127" s="19" t="s">
        <v>713</v>
      </c>
      <c r="I127" s="19" t="s">
        <v>59</v>
      </c>
      <c r="J127" s="19" t="s">
        <v>31</v>
      </c>
      <c r="K127" s="19" t="s">
        <v>46</v>
      </c>
      <c r="L127" s="19" t="s">
        <v>78</v>
      </c>
      <c r="M127" s="19">
        <v>2</v>
      </c>
      <c r="N127" s="19">
        <v>1200</v>
      </c>
      <c r="O127" s="19">
        <v>20</v>
      </c>
      <c r="P127" s="19">
        <v>1920</v>
      </c>
      <c r="Q127" s="19">
        <v>3</v>
      </c>
      <c r="R127" s="19" t="s">
        <v>79</v>
      </c>
      <c r="S127" s="19" t="s">
        <v>115</v>
      </c>
      <c r="T127" s="19" t="s">
        <v>175</v>
      </c>
      <c r="U127" s="21" t="s">
        <v>714</v>
      </c>
      <c r="V127" s="19" t="s">
        <v>38</v>
      </c>
      <c r="W127" s="15" t="str">
        <f t="shared" si="1"/>
        <v>Silver</v>
      </c>
    </row>
    <row r="128" spans="1:23" x14ac:dyDescent="0.3">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8" t="s">
        <v>718</v>
      </c>
      <c r="V128" s="15" t="s">
        <v>64</v>
      </c>
      <c r="W128" s="15" t="str">
        <f t="shared" si="1"/>
        <v>Pending</v>
      </c>
    </row>
    <row r="129" spans="1:23" x14ac:dyDescent="0.3">
      <c r="A129" s="19" t="s">
        <v>719</v>
      </c>
      <c r="B129" s="19" t="s">
        <v>251</v>
      </c>
      <c r="C129" s="19" t="s">
        <v>92</v>
      </c>
      <c r="D129" s="19" t="s">
        <v>720</v>
      </c>
      <c r="E129" s="19" t="s">
        <v>382</v>
      </c>
      <c r="F129" s="19" t="s">
        <v>254</v>
      </c>
      <c r="G129" s="19" t="s">
        <v>28</v>
      </c>
      <c r="H129" s="19" t="s">
        <v>721</v>
      </c>
      <c r="I129" s="19" t="s">
        <v>212</v>
      </c>
      <c r="J129" s="19" t="s">
        <v>45</v>
      </c>
      <c r="K129" s="19" t="s">
        <v>32</v>
      </c>
      <c r="L129" s="19" t="s">
        <v>97</v>
      </c>
      <c r="M129" s="19">
        <v>15</v>
      </c>
      <c r="N129" s="19">
        <v>3500</v>
      </c>
      <c r="O129" s="19">
        <v>10</v>
      </c>
      <c r="P129" s="19">
        <v>47250</v>
      </c>
      <c r="Q129" s="19">
        <v>3</v>
      </c>
      <c r="R129" s="19" t="s">
        <v>48</v>
      </c>
      <c r="S129" s="19" t="s">
        <v>115</v>
      </c>
      <c r="T129" s="19" t="s">
        <v>256</v>
      </c>
      <c r="U129" s="21" t="s">
        <v>722</v>
      </c>
      <c r="V129" s="19" t="s">
        <v>38</v>
      </c>
      <c r="W129" s="15" t="str">
        <f t="shared" si="1"/>
        <v>Silver</v>
      </c>
    </row>
    <row r="130" spans="1:23" x14ac:dyDescent="0.3">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8" t="s">
        <v>726</v>
      </c>
      <c r="V130" s="15" t="s">
        <v>64</v>
      </c>
      <c r="W130" s="15" t="str">
        <f t="shared" si="1"/>
        <v>Pending</v>
      </c>
    </row>
    <row r="131" spans="1:23" x14ac:dyDescent="0.3">
      <c r="A131" s="19" t="s">
        <v>727</v>
      </c>
      <c r="B131" s="19" t="s">
        <v>251</v>
      </c>
      <c r="C131" s="19" t="s">
        <v>92</v>
      </c>
      <c r="D131" s="19" t="s">
        <v>260</v>
      </c>
      <c r="E131" s="19" t="s">
        <v>231</v>
      </c>
      <c r="F131" s="19" t="s">
        <v>254</v>
      </c>
      <c r="G131" s="19" t="s">
        <v>28</v>
      </c>
      <c r="H131" s="19" t="s">
        <v>728</v>
      </c>
      <c r="I131" s="19" t="s">
        <v>114</v>
      </c>
      <c r="J131" s="19" t="s">
        <v>106</v>
      </c>
      <c r="K131" s="19" t="s">
        <v>32</v>
      </c>
      <c r="L131" s="19" t="s">
        <v>97</v>
      </c>
      <c r="M131" s="19">
        <v>11</v>
      </c>
      <c r="N131" s="19">
        <v>3500</v>
      </c>
      <c r="O131" s="19">
        <v>5</v>
      </c>
      <c r="P131" s="19">
        <v>36575</v>
      </c>
      <c r="Q131" s="19">
        <v>5</v>
      </c>
      <c r="R131" s="19" t="s">
        <v>34</v>
      </c>
      <c r="S131" s="19" t="s">
        <v>35</v>
      </c>
      <c r="T131" s="19" t="s">
        <v>256</v>
      </c>
      <c r="U131" s="21" t="s">
        <v>729</v>
      </c>
      <c r="V131" s="19" t="s">
        <v>69</v>
      </c>
      <c r="W131" s="15" t="str">
        <f t="shared" ref="W131:W194" si="2">IF(OR(Q131&lt;=2, V131="Cancelled"), "Blacklisted", IF(AND(P131&gt;=100000, Q131&gt;=4, O131&lt;=10, V131="Completed"), "Platinum", IF(AND(P131&gt;=50000, P131&lt;=99999, Q131&gt;=3, V131="Completed"), "Gold", IF(AND(P131&lt;50000, V131="Completed"), "Silver", "Pending"))))</f>
        <v>Blacklisted</v>
      </c>
    </row>
    <row r="132" spans="1:23" x14ac:dyDescent="0.3">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8" t="s">
        <v>734</v>
      </c>
      <c r="V132" s="15" t="s">
        <v>69</v>
      </c>
      <c r="W132" s="15" t="str">
        <f t="shared" si="2"/>
        <v>Blacklisted</v>
      </c>
    </row>
    <row r="133" spans="1:23" x14ac:dyDescent="0.3">
      <c r="A133" s="19" t="s">
        <v>735</v>
      </c>
      <c r="B133" s="19" t="s">
        <v>100</v>
      </c>
      <c r="C133" s="19" t="s">
        <v>222</v>
      </c>
      <c r="D133" s="19" t="s">
        <v>736</v>
      </c>
      <c r="E133" s="19" t="s">
        <v>170</v>
      </c>
      <c r="F133" s="19" t="s">
        <v>103</v>
      </c>
      <c r="G133" s="19" t="s">
        <v>28</v>
      </c>
      <c r="H133" s="19" t="s">
        <v>737</v>
      </c>
      <c r="I133" s="19" t="s">
        <v>44</v>
      </c>
      <c r="J133" s="19" t="s">
        <v>45</v>
      </c>
      <c r="K133" s="19" t="s">
        <v>122</v>
      </c>
      <c r="L133" s="19" t="s">
        <v>227</v>
      </c>
      <c r="M133" s="19">
        <v>11</v>
      </c>
      <c r="N133" s="19">
        <v>20</v>
      </c>
      <c r="O133" s="19">
        <v>20</v>
      </c>
      <c r="P133" s="19">
        <v>176</v>
      </c>
      <c r="Q133" s="19">
        <v>4</v>
      </c>
      <c r="R133" s="19" t="s">
        <v>48</v>
      </c>
      <c r="S133" s="19" t="s">
        <v>35</v>
      </c>
      <c r="T133" s="19" t="s">
        <v>144</v>
      </c>
      <c r="U133" s="21" t="s">
        <v>738</v>
      </c>
      <c r="V133" s="19" t="s">
        <v>38</v>
      </c>
      <c r="W133" s="15" t="str">
        <f t="shared" si="2"/>
        <v>Silver</v>
      </c>
    </row>
    <row r="134" spans="1:23" x14ac:dyDescent="0.3">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8" t="s">
        <v>742</v>
      </c>
      <c r="V134" s="15" t="s">
        <v>38</v>
      </c>
      <c r="W134" s="15" t="str">
        <f t="shared" si="2"/>
        <v>Gold</v>
      </c>
    </row>
    <row r="135" spans="1:23" x14ac:dyDescent="0.3">
      <c r="A135" s="19" t="s">
        <v>743</v>
      </c>
      <c r="B135" s="19" t="s">
        <v>71</v>
      </c>
      <c r="C135" s="19" t="s">
        <v>24</v>
      </c>
      <c r="D135" s="19" t="s">
        <v>652</v>
      </c>
      <c r="E135" s="19" t="s">
        <v>539</v>
      </c>
      <c r="F135" s="19" t="s">
        <v>217</v>
      </c>
      <c r="G135" s="19" t="s">
        <v>76</v>
      </c>
      <c r="H135" s="19" t="s">
        <v>744</v>
      </c>
      <c r="I135" s="19" t="s">
        <v>30</v>
      </c>
      <c r="J135" s="19" t="s">
        <v>31</v>
      </c>
      <c r="K135" s="19" t="s">
        <v>32</v>
      </c>
      <c r="L135" s="19" t="s">
        <v>33</v>
      </c>
      <c r="M135" s="19">
        <v>6</v>
      </c>
      <c r="N135" s="19">
        <v>2200</v>
      </c>
      <c r="O135" s="19">
        <v>5</v>
      </c>
      <c r="P135" s="19">
        <v>12540</v>
      </c>
      <c r="Q135" s="19">
        <v>4</v>
      </c>
      <c r="R135" s="19" t="s">
        <v>34</v>
      </c>
      <c r="S135" s="19" t="s">
        <v>49</v>
      </c>
      <c r="T135" s="19" t="s">
        <v>80</v>
      </c>
      <c r="U135" s="21" t="s">
        <v>745</v>
      </c>
      <c r="V135" s="19" t="s">
        <v>38</v>
      </c>
      <c r="W135" s="15" t="str">
        <f t="shared" si="2"/>
        <v>Silver</v>
      </c>
    </row>
    <row r="136" spans="1:23" x14ac:dyDescent="0.3">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8" t="s">
        <v>748</v>
      </c>
      <c r="V136" s="15" t="s">
        <v>64</v>
      </c>
      <c r="W136" s="15" t="str">
        <f t="shared" si="2"/>
        <v>Pending</v>
      </c>
    </row>
    <row r="137" spans="1:23" x14ac:dyDescent="0.3">
      <c r="A137" s="19" t="s">
        <v>749</v>
      </c>
      <c r="B137" s="19" t="s">
        <v>71</v>
      </c>
      <c r="C137" s="19" t="s">
        <v>169</v>
      </c>
      <c r="D137" s="19" t="s">
        <v>750</v>
      </c>
      <c r="E137" s="19" t="s">
        <v>751</v>
      </c>
      <c r="F137" s="19" t="s">
        <v>217</v>
      </c>
      <c r="G137" s="19" t="s">
        <v>76</v>
      </c>
      <c r="H137" s="19" t="s">
        <v>752</v>
      </c>
      <c r="I137" s="19" t="s">
        <v>30</v>
      </c>
      <c r="J137" s="19" t="s">
        <v>31</v>
      </c>
      <c r="K137" s="19" t="s">
        <v>32</v>
      </c>
      <c r="L137" s="19" t="s">
        <v>174</v>
      </c>
      <c r="M137" s="19">
        <v>5</v>
      </c>
      <c r="N137" s="19">
        <v>8500</v>
      </c>
      <c r="O137" s="19">
        <v>20</v>
      </c>
      <c r="P137" s="19">
        <v>34000</v>
      </c>
      <c r="Q137" s="19">
        <v>5</v>
      </c>
      <c r="R137" s="19" t="s">
        <v>34</v>
      </c>
      <c r="S137" s="19" t="s">
        <v>61</v>
      </c>
      <c r="T137" s="19" t="s">
        <v>80</v>
      </c>
      <c r="U137" s="21" t="s">
        <v>753</v>
      </c>
      <c r="V137" s="19" t="s">
        <v>64</v>
      </c>
      <c r="W137" s="15" t="str">
        <f t="shared" si="2"/>
        <v>Pending</v>
      </c>
    </row>
    <row r="138" spans="1:23" x14ac:dyDescent="0.3">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8" t="s">
        <v>758</v>
      </c>
      <c r="V138" s="15" t="s">
        <v>69</v>
      </c>
      <c r="W138" s="15" t="str">
        <f t="shared" si="2"/>
        <v>Blacklisted</v>
      </c>
    </row>
    <row r="139" spans="1:23" x14ac:dyDescent="0.3">
      <c r="A139" s="19" t="s">
        <v>759</v>
      </c>
      <c r="B139" s="19" t="s">
        <v>327</v>
      </c>
      <c r="C139" s="19" t="s">
        <v>259</v>
      </c>
      <c r="D139" s="19" t="s">
        <v>760</v>
      </c>
      <c r="E139" s="19" t="s">
        <v>761</v>
      </c>
      <c r="F139" s="19" t="s">
        <v>394</v>
      </c>
      <c r="G139" s="19" t="s">
        <v>76</v>
      </c>
      <c r="H139" s="19" t="s">
        <v>762</v>
      </c>
      <c r="I139" s="19" t="s">
        <v>138</v>
      </c>
      <c r="J139" s="19" t="s">
        <v>106</v>
      </c>
      <c r="K139" s="19" t="s">
        <v>122</v>
      </c>
      <c r="L139" s="19" t="s">
        <v>263</v>
      </c>
      <c r="M139" s="19">
        <v>8</v>
      </c>
      <c r="N139" s="19">
        <v>45</v>
      </c>
      <c r="O139" s="19">
        <v>0</v>
      </c>
      <c r="P139" s="19">
        <v>360</v>
      </c>
      <c r="Q139" s="19">
        <v>1</v>
      </c>
      <c r="R139" s="19" t="s">
        <v>79</v>
      </c>
      <c r="S139" s="19" t="s">
        <v>151</v>
      </c>
      <c r="T139" s="19" t="s">
        <v>332</v>
      </c>
      <c r="U139" s="21" t="s">
        <v>763</v>
      </c>
      <c r="V139" s="19" t="s">
        <v>69</v>
      </c>
      <c r="W139" s="15" t="str">
        <f t="shared" si="2"/>
        <v>Blacklisted</v>
      </c>
    </row>
    <row r="140" spans="1:23" x14ac:dyDescent="0.3">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8" t="s">
        <v>768</v>
      </c>
      <c r="V140" s="15" t="s">
        <v>38</v>
      </c>
      <c r="W140" s="15" t="str">
        <f t="shared" si="2"/>
        <v>Silver</v>
      </c>
    </row>
    <row r="141" spans="1:23" x14ac:dyDescent="0.3">
      <c r="A141" s="19" t="s">
        <v>769</v>
      </c>
      <c r="B141" s="19" t="s">
        <v>83</v>
      </c>
      <c r="C141" s="19" t="s">
        <v>54</v>
      </c>
      <c r="D141" s="19" t="s">
        <v>770</v>
      </c>
      <c r="E141" s="19" t="s">
        <v>771</v>
      </c>
      <c r="F141" s="19" t="s">
        <v>180</v>
      </c>
      <c r="G141" s="19" t="s">
        <v>76</v>
      </c>
      <c r="H141" s="19" t="s">
        <v>772</v>
      </c>
      <c r="I141" s="19" t="s">
        <v>138</v>
      </c>
      <c r="J141" s="19" t="s">
        <v>106</v>
      </c>
      <c r="K141" s="19" t="s">
        <v>46</v>
      </c>
      <c r="L141" s="19" t="s">
        <v>60</v>
      </c>
      <c r="M141" s="19">
        <v>19</v>
      </c>
      <c r="N141" s="19">
        <v>55000</v>
      </c>
      <c r="O141" s="19">
        <v>0</v>
      </c>
      <c r="P141" s="19">
        <v>1045000</v>
      </c>
      <c r="Q141" s="19">
        <v>2</v>
      </c>
      <c r="R141" s="19" t="s">
        <v>79</v>
      </c>
      <c r="S141" s="19" t="s">
        <v>35</v>
      </c>
      <c r="T141" s="19" t="s">
        <v>89</v>
      </c>
      <c r="U141" s="21" t="s">
        <v>773</v>
      </c>
      <c r="V141" s="19" t="s">
        <v>69</v>
      </c>
      <c r="W141" s="15" t="str">
        <f t="shared" si="2"/>
        <v>Blacklisted</v>
      </c>
    </row>
    <row r="142" spans="1:23" x14ac:dyDescent="0.3">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8" t="s">
        <v>777</v>
      </c>
      <c r="V142" s="15" t="s">
        <v>38</v>
      </c>
      <c r="W142" s="15" t="str">
        <f t="shared" si="2"/>
        <v>Gold</v>
      </c>
    </row>
    <row r="143" spans="1:23" x14ac:dyDescent="0.3">
      <c r="A143" s="19" t="s">
        <v>778</v>
      </c>
      <c r="B143" s="19" t="s">
        <v>83</v>
      </c>
      <c r="C143" s="19" t="s">
        <v>24</v>
      </c>
      <c r="D143" s="19" t="s">
        <v>276</v>
      </c>
      <c r="E143" s="19" t="s">
        <v>779</v>
      </c>
      <c r="F143" s="19" t="s">
        <v>180</v>
      </c>
      <c r="G143" s="19" t="s">
        <v>76</v>
      </c>
      <c r="H143" s="19" t="s">
        <v>780</v>
      </c>
      <c r="I143" s="19" t="s">
        <v>114</v>
      </c>
      <c r="J143" s="19" t="s">
        <v>106</v>
      </c>
      <c r="K143" s="19" t="s">
        <v>32</v>
      </c>
      <c r="L143" s="19" t="s">
        <v>33</v>
      </c>
      <c r="M143" s="19">
        <v>17</v>
      </c>
      <c r="N143" s="19">
        <v>2200</v>
      </c>
      <c r="O143" s="19">
        <v>0</v>
      </c>
      <c r="P143" s="19">
        <v>37400</v>
      </c>
      <c r="Q143" s="19">
        <v>5</v>
      </c>
      <c r="R143" s="19" t="s">
        <v>48</v>
      </c>
      <c r="S143" s="19" t="s">
        <v>35</v>
      </c>
      <c r="T143" s="19" t="s">
        <v>89</v>
      </c>
      <c r="U143" s="21" t="s">
        <v>781</v>
      </c>
      <c r="V143" s="19" t="s">
        <v>64</v>
      </c>
      <c r="W143" s="15" t="str">
        <f t="shared" si="2"/>
        <v>Pending</v>
      </c>
    </row>
    <row r="144" spans="1:23" x14ac:dyDescent="0.3">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8" t="s">
        <v>785</v>
      </c>
      <c r="V144" s="15" t="s">
        <v>69</v>
      </c>
      <c r="W144" s="15" t="str">
        <f t="shared" si="2"/>
        <v>Blacklisted</v>
      </c>
    </row>
    <row r="145" spans="1:23" x14ac:dyDescent="0.3">
      <c r="A145" s="19" t="s">
        <v>786</v>
      </c>
      <c r="B145" s="19" t="s">
        <v>221</v>
      </c>
      <c r="C145" s="19" t="s">
        <v>118</v>
      </c>
      <c r="D145" s="19" t="s">
        <v>787</v>
      </c>
      <c r="E145" s="19" t="s">
        <v>788</v>
      </c>
      <c r="F145" s="19" t="s">
        <v>225</v>
      </c>
      <c r="G145" s="19" t="s">
        <v>76</v>
      </c>
      <c r="H145" s="19" t="s">
        <v>789</v>
      </c>
      <c r="I145" s="19" t="s">
        <v>30</v>
      </c>
      <c r="J145" s="19" t="s">
        <v>31</v>
      </c>
      <c r="K145" s="19" t="s">
        <v>122</v>
      </c>
      <c r="L145" s="19" t="s">
        <v>123</v>
      </c>
      <c r="M145" s="19">
        <v>3</v>
      </c>
      <c r="N145" s="19">
        <v>60</v>
      </c>
      <c r="O145" s="19">
        <v>0</v>
      </c>
      <c r="P145" s="19">
        <v>180</v>
      </c>
      <c r="Q145" s="19">
        <v>4</v>
      </c>
      <c r="R145" s="19" t="s">
        <v>48</v>
      </c>
      <c r="S145" s="19" t="s">
        <v>151</v>
      </c>
      <c r="T145" s="19" t="s">
        <v>228</v>
      </c>
      <c r="U145" s="21" t="s">
        <v>790</v>
      </c>
      <c r="V145" s="19" t="s">
        <v>38</v>
      </c>
      <c r="W145" s="15" t="str">
        <f t="shared" si="2"/>
        <v>Silver</v>
      </c>
    </row>
    <row r="146" spans="1:23" x14ac:dyDescent="0.3">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8" t="s">
        <v>795</v>
      </c>
      <c r="V146" s="15" t="s">
        <v>69</v>
      </c>
      <c r="W146" s="15" t="str">
        <f t="shared" si="2"/>
        <v>Blacklisted</v>
      </c>
    </row>
    <row r="147" spans="1:23" x14ac:dyDescent="0.3">
      <c r="A147" s="19" t="s">
        <v>796</v>
      </c>
      <c r="B147" s="19" t="s">
        <v>71</v>
      </c>
      <c r="C147" s="19" t="s">
        <v>118</v>
      </c>
      <c r="D147" s="19" t="s">
        <v>797</v>
      </c>
      <c r="E147" s="19" t="s">
        <v>798</v>
      </c>
      <c r="F147" s="19" t="s">
        <v>217</v>
      </c>
      <c r="G147" s="19" t="s">
        <v>76</v>
      </c>
      <c r="H147" s="19" t="s">
        <v>799</v>
      </c>
      <c r="I147" s="19" t="s">
        <v>44</v>
      </c>
      <c r="J147" s="19" t="s">
        <v>45</v>
      </c>
      <c r="K147" s="19" t="s">
        <v>122</v>
      </c>
      <c r="L147" s="19" t="s">
        <v>123</v>
      </c>
      <c r="M147" s="19">
        <v>18</v>
      </c>
      <c r="N147" s="19">
        <v>60</v>
      </c>
      <c r="O147" s="19">
        <v>5</v>
      </c>
      <c r="P147" s="19">
        <v>1026</v>
      </c>
      <c r="Q147" s="19">
        <v>3</v>
      </c>
      <c r="R147" s="19" t="s">
        <v>79</v>
      </c>
      <c r="S147" s="19" t="s">
        <v>49</v>
      </c>
      <c r="T147" s="19" t="s">
        <v>80</v>
      </c>
      <c r="U147" s="21" t="s">
        <v>800</v>
      </c>
      <c r="V147" s="19" t="s">
        <v>64</v>
      </c>
      <c r="W147" s="15" t="str">
        <f t="shared" si="2"/>
        <v>Pending</v>
      </c>
    </row>
    <row r="148" spans="1:23" x14ac:dyDescent="0.3">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8" t="s">
        <v>803</v>
      </c>
      <c r="V148" s="15" t="s">
        <v>69</v>
      </c>
      <c r="W148" s="15" t="str">
        <f t="shared" si="2"/>
        <v>Blacklisted</v>
      </c>
    </row>
    <row r="149" spans="1:23" x14ac:dyDescent="0.3">
      <c r="A149" s="19" t="s">
        <v>804</v>
      </c>
      <c r="B149" s="19" t="s">
        <v>251</v>
      </c>
      <c r="C149" s="19" t="s">
        <v>169</v>
      </c>
      <c r="D149" s="19" t="s">
        <v>474</v>
      </c>
      <c r="E149" s="19" t="s">
        <v>464</v>
      </c>
      <c r="F149" s="19" t="s">
        <v>254</v>
      </c>
      <c r="G149" s="19" t="s">
        <v>28</v>
      </c>
      <c r="H149" s="19" t="s">
        <v>805</v>
      </c>
      <c r="I149" s="19" t="s">
        <v>294</v>
      </c>
      <c r="J149" s="19" t="s">
        <v>295</v>
      </c>
      <c r="K149" s="19" t="s">
        <v>32</v>
      </c>
      <c r="L149" s="19" t="s">
        <v>174</v>
      </c>
      <c r="M149" s="19">
        <v>5</v>
      </c>
      <c r="N149" s="19">
        <v>8500</v>
      </c>
      <c r="O149" s="19">
        <v>5</v>
      </c>
      <c r="P149" s="19">
        <v>40375</v>
      </c>
      <c r="Q149" s="19">
        <v>4</v>
      </c>
      <c r="R149" s="19" t="s">
        <v>34</v>
      </c>
      <c r="S149" s="19" t="s">
        <v>151</v>
      </c>
      <c r="T149" s="19" t="s">
        <v>256</v>
      </c>
      <c r="U149" s="21" t="s">
        <v>806</v>
      </c>
      <c r="V149" s="19" t="s">
        <v>38</v>
      </c>
      <c r="W149" s="15" t="str">
        <f t="shared" si="2"/>
        <v>Silver</v>
      </c>
    </row>
    <row r="150" spans="1:23" x14ac:dyDescent="0.3">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8" t="s">
        <v>808</v>
      </c>
      <c r="V150" s="15" t="s">
        <v>38</v>
      </c>
      <c r="W150" s="15" t="str">
        <f t="shared" si="2"/>
        <v>Silver</v>
      </c>
    </row>
    <row r="151" spans="1:23" x14ac:dyDescent="0.3">
      <c r="A151" s="19" t="s">
        <v>809</v>
      </c>
      <c r="B151" s="19" t="s">
        <v>127</v>
      </c>
      <c r="C151" s="19" t="s">
        <v>184</v>
      </c>
      <c r="D151" s="19" t="s">
        <v>489</v>
      </c>
      <c r="E151" s="19" t="s">
        <v>267</v>
      </c>
      <c r="F151" s="19" t="s">
        <v>200</v>
      </c>
      <c r="G151" s="19" t="s">
        <v>76</v>
      </c>
      <c r="H151" s="19" t="s">
        <v>810</v>
      </c>
      <c r="I151" s="19" t="s">
        <v>114</v>
      </c>
      <c r="J151" s="19" t="s">
        <v>106</v>
      </c>
      <c r="K151" s="19" t="s">
        <v>46</v>
      </c>
      <c r="L151" s="19" t="s">
        <v>189</v>
      </c>
      <c r="M151" s="19">
        <v>6</v>
      </c>
      <c r="N151" s="19">
        <v>700</v>
      </c>
      <c r="O151" s="19">
        <v>10</v>
      </c>
      <c r="P151" s="19">
        <v>3780</v>
      </c>
      <c r="Q151" s="19">
        <v>4</v>
      </c>
      <c r="R151" s="19" t="s">
        <v>34</v>
      </c>
      <c r="S151" s="19" t="s">
        <v>49</v>
      </c>
      <c r="T151" s="19" t="s">
        <v>132</v>
      </c>
      <c r="U151" s="21" t="s">
        <v>811</v>
      </c>
      <c r="V151" s="19" t="s">
        <v>69</v>
      </c>
      <c r="W151" s="15" t="str">
        <f t="shared" si="2"/>
        <v>Blacklisted</v>
      </c>
    </row>
    <row r="152" spans="1:23" x14ac:dyDescent="0.3">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8" t="s">
        <v>814</v>
      </c>
      <c r="V152" s="15" t="s">
        <v>64</v>
      </c>
      <c r="W152" s="15" t="str">
        <f t="shared" si="2"/>
        <v>Pending</v>
      </c>
    </row>
    <row r="153" spans="1:23" x14ac:dyDescent="0.3">
      <c r="A153" s="19" t="s">
        <v>815</v>
      </c>
      <c r="B153" s="19" t="s">
        <v>23</v>
      </c>
      <c r="C153" s="19" t="s">
        <v>222</v>
      </c>
      <c r="D153" s="19" t="s">
        <v>816</v>
      </c>
      <c r="E153" s="19" t="s">
        <v>817</v>
      </c>
      <c r="F153" s="19" t="s">
        <v>27</v>
      </c>
      <c r="G153" s="19" t="s">
        <v>28</v>
      </c>
      <c r="H153" s="19" t="s">
        <v>818</v>
      </c>
      <c r="I153" s="19" t="s">
        <v>59</v>
      </c>
      <c r="J153" s="19" t="s">
        <v>31</v>
      </c>
      <c r="K153" s="19" t="s">
        <v>122</v>
      </c>
      <c r="L153" s="19" t="s">
        <v>227</v>
      </c>
      <c r="M153" s="19">
        <v>2</v>
      </c>
      <c r="N153" s="19">
        <v>20</v>
      </c>
      <c r="O153" s="19">
        <v>10</v>
      </c>
      <c r="P153" s="19">
        <v>36</v>
      </c>
      <c r="Q153" s="19">
        <v>1</v>
      </c>
      <c r="R153" s="19" t="s">
        <v>48</v>
      </c>
      <c r="S153" s="19" t="s">
        <v>115</v>
      </c>
      <c r="T153" s="19" t="s">
        <v>50</v>
      </c>
      <c r="U153" s="21" t="s">
        <v>819</v>
      </c>
      <c r="V153" s="19" t="s">
        <v>64</v>
      </c>
      <c r="W153" s="15" t="str">
        <f t="shared" si="2"/>
        <v>Blacklisted</v>
      </c>
    </row>
    <row r="154" spans="1:23" x14ac:dyDescent="0.3">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8" t="s">
        <v>823</v>
      </c>
      <c r="V154" s="15" t="s">
        <v>64</v>
      </c>
      <c r="W154" s="15" t="str">
        <f t="shared" si="2"/>
        <v>Blacklisted</v>
      </c>
    </row>
    <row r="155" spans="1:23" x14ac:dyDescent="0.3">
      <c r="A155" s="19" t="s">
        <v>824</v>
      </c>
      <c r="B155" s="19" t="s">
        <v>221</v>
      </c>
      <c r="C155" s="19" t="s">
        <v>40</v>
      </c>
      <c r="D155" s="19" t="s">
        <v>148</v>
      </c>
      <c r="E155" s="19" t="s">
        <v>825</v>
      </c>
      <c r="F155" s="19" t="s">
        <v>225</v>
      </c>
      <c r="G155" s="19" t="s">
        <v>76</v>
      </c>
      <c r="H155" s="19" t="s">
        <v>826</v>
      </c>
      <c r="I155" s="19" t="s">
        <v>114</v>
      </c>
      <c r="J155" s="19" t="s">
        <v>106</v>
      </c>
      <c r="K155" s="19" t="s">
        <v>46</v>
      </c>
      <c r="L155" s="19" t="s">
        <v>47</v>
      </c>
      <c r="M155" s="19">
        <v>15</v>
      </c>
      <c r="N155" s="19">
        <v>12000</v>
      </c>
      <c r="O155" s="19">
        <v>0</v>
      </c>
      <c r="P155" s="19">
        <v>180000</v>
      </c>
      <c r="Q155" s="19">
        <v>1</v>
      </c>
      <c r="R155" s="19" t="s">
        <v>79</v>
      </c>
      <c r="S155" s="19" t="s">
        <v>61</v>
      </c>
      <c r="T155" s="19" t="s">
        <v>228</v>
      </c>
      <c r="U155" s="21" t="s">
        <v>827</v>
      </c>
      <c r="V155" s="19" t="s">
        <v>64</v>
      </c>
      <c r="W155" s="15" t="str">
        <f t="shared" si="2"/>
        <v>Blacklisted</v>
      </c>
    </row>
    <row r="156" spans="1:23" x14ac:dyDescent="0.3">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8" t="s">
        <v>832</v>
      </c>
      <c r="V156" s="15" t="s">
        <v>38</v>
      </c>
      <c r="W156" s="15" t="str">
        <f t="shared" si="2"/>
        <v>Silver</v>
      </c>
    </row>
    <row r="157" spans="1:23" x14ac:dyDescent="0.3">
      <c r="A157" s="19" t="s">
        <v>833</v>
      </c>
      <c r="B157" s="19" t="s">
        <v>53</v>
      </c>
      <c r="C157" s="19" t="s">
        <v>72</v>
      </c>
      <c r="D157" s="19" t="s">
        <v>834</v>
      </c>
      <c r="E157" s="19" t="s">
        <v>835</v>
      </c>
      <c r="F157" s="19" t="s">
        <v>163</v>
      </c>
      <c r="G157" s="19" t="s">
        <v>28</v>
      </c>
      <c r="H157" s="19" t="s">
        <v>836</v>
      </c>
      <c r="I157" s="19" t="s">
        <v>30</v>
      </c>
      <c r="J157" s="19" t="s">
        <v>31</v>
      </c>
      <c r="K157" s="19" t="s">
        <v>46</v>
      </c>
      <c r="L157" s="19" t="s">
        <v>78</v>
      </c>
      <c r="M157" s="19">
        <v>9</v>
      </c>
      <c r="N157" s="19">
        <v>1200</v>
      </c>
      <c r="O157" s="19">
        <v>5</v>
      </c>
      <c r="P157" s="19">
        <v>10260</v>
      </c>
      <c r="Q157" s="19">
        <v>5</v>
      </c>
      <c r="R157" s="19" t="s">
        <v>48</v>
      </c>
      <c r="S157" s="19" t="s">
        <v>61</v>
      </c>
      <c r="T157" s="19" t="s">
        <v>62</v>
      </c>
      <c r="U157" s="21" t="s">
        <v>837</v>
      </c>
      <c r="V157" s="19" t="s">
        <v>64</v>
      </c>
      <c r="W157" s="15" t="str">
        <f t="shared" si="2"/>
        <v>Pending</v>
      </c>
    </row>
    <row r="158" spans="1:23" x14ac:dyDescent="0.3">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8" t="s">
        <v>841</v>
      </c>
      <c r="V158" s="15" t="s">
        <v>69</v>
      </c>
      <c r="W158" s="15" t="str">
        <f t="shared" si="2"/>
        <v>Blacklisted</v>
      </c>
    </row>
    <row r="159" spans="1:23" x14ac:dyDescent="0.3">
      <c r="A159" s="19" t="s">
        <v>842</v>
      </c>
      <c r="B159" s="19" t="s">
        <v>327</v>
      </c>
      <c r="C159" s="19" t="s">
        <v>118</v>
      </c>
      <c r="D159" s="19" t="s">
        <v>459</v>
      </c>
      <c r="E159" s="19" t="s">
        <v>577</v>
      </c>
      <c r="F159" s="19" t="s">
        <v>394</v>
      </c>
      <c r="G159" s="19" t="s">
        <v>76</v>
      </c>
      <c r="H159" s="19" t="s">
        <v>843</v>
      </c>
      <c r="I159" s="19" t="s">
        <v>30</v>
      </c>
      <c r="J159" s="19" t="s">
        <v>31</v>
      </c>
      <c r="K159" s="19" t="s">
        <v>122</v>
      </c>
      <c r="L159" s="19" t="s">
        <v>123</v>
      </c>
      <c r="M159" s="19">
        <v>2</v>
      </c>
      <c r="N159" s="19">
        <v>60</v>
      </c>
      <c r="O159" s="19">
        <v>10</v>
      </c>
      <c r="P159" s="19">
        <v>108</v>
      </c>
      <c r="Q159" s="19">
        <v>2</v>
      </c>
      <c r="R159" s="19" t="s">
        <v>88</v>
      </c>
      <c r="S159" s="19" t="s">
        <v>61</v>
      </c>
      <c r="T159" s="19" t="s">
        <v>332</v>
      </c>
      <c r="U159" s="21" t="s">
        <v>844</v>
      </c>
      <c r="V159" s="19" t="s">
        <v>38</v>
      </c>
      <c r="W159" s="15" t="str">
        <f t="shared" si="2"/>
        <v>Blacklisted</v>
      </c>
    </row>
    <row r="160" spans="1:23" x14ac:dyDescent="0.3">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8" t="s">
        <v>848</v>
      </c>
      <c r="V160" s="15" t="s">
        <v>38</v>
      </c>
      <c r="W160" s="15" t="str">
        <f t="shared" si="2"/>
        <v>Blacklisted</v>
      </c>
    </row>
    <row r="161" spans="1:23" x14ac:dyDescent="0.3">
      <c r="A161" s="19" t="s">
        <v>849</v>
      </c>
      <c r="B161" s="19" t="s">
        <v>221</v>
      </c>
      <c r="C161" s="19" t="s">
        <v>54</v>
      </c>
      <c r="D161" s="19" t="s">
        <v>241</v>
      </c>
      <c r="E161" s="19" t="s">
        <v>543</v>
      </c>
      <c r="F161" s="19" t="s">
        <v>225</v>
      </c>
      <c r="G161" s="19" t="s">
        <v>76</v>
      </c>
      <c r="H161" s="19" t="s">
        <v>850</v>
      </c>
      <c r="I161" s="19" t="s">
        <v>212</v>
      </c>
      <c r="J161" s="19" t="s">
        <v>45</v>
      </c>
      <c r="K161" s="19" t="s">
        <v>46</v>
      </c>
      <c r="L161" s="19" t="s">
        <v>60</v>
      </c>
      <c r="M161" s="19">
        <v>4</v>
      </c>
      <c r="N161" s="19">
        <v>55000</v>
      </c>
      <c r="O161" s="19">
        <v>5</v>
      </c>
      <c r="P161" s="19">
        <v>209000</v>
      </c>
      <c r="Q161" s="19">
        <v>2</v>
      </c>
      <c r="R161" s="19" t="s">
        <v>34</v>
      </c>
      <c r="S161" s="19" t="s">
        <v>151</v>
      </c>
      <c r="T161" s="19" t="s">
        <v>228</v>
      </c>
      <c r="U161" s="21" t="s">
        <v>851</v>
      </c>
      <c r="V161" s="19" t="s">
        <v>64</v>
      </c>
      <c r="W161" s="15" t="str">
        <f t="shared" si="2"/>
        <v>Blacklisted</v>
      </c>
    </row>
    <row r="162" spans="1:23" x14ac:dyDescent="0.3">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8" t="s">
        <v>855</v>
      </c>
      <c r="V162" s="15" t="s">
        <v>69</v>
      </c>
      <c r="W162" s="15" t="str">
        <f t="shared" si="2"/>
        <v>Blacklisted</v>
      </c>
    </row>
    <row r="163" spans="1:23" x14ac:dyDescent="0.3">
      <c r="A163" s="19" t="s">
        <v>856</v>
      </c>
      <c r="B163" s="19" t="s">
        <v>168</v>
      </c>
      <c r="C163" s="19" t="s">
        <v>72</v>
      </c>
      <c r="D163" s="19" t="s">
        <v>286</v>
      </c>
      <c r="E163" s="19" t="s">
        <v>816</v>
      </c>
      <c r="F163" s="19" t="s">
        <v>361</v>
      </c>
      <c r="G163" s="19" t="s">
        <v>28</v>
      </c>
      <c r="H163" s="19" t="s">
        <v>857</v>
      </c>
      <c r="I163" s="19" t="s">
        <v>294</v>
      </c>
      <c r="J163" s="19" t="s">
        <v>295</v>
      </c>
      <c r="K163" s="19" t="s">
        <v>46</v>
      </c>
      <c r="L163" s="19" t="s">
        <v>78</v>
      </c>
      <c r="M163" s="19">
        <v>16</v>
      </c>
      <c r="N163" s="19">
        <v>1200</v>
      </c>
      <c r="O163" s="19">
        <v>5</v>
      </c>
      <c r="P163" s="19">
        <v>18240</v>
      </c>
      <c r="Q163" s="19">
        <v>1</v>
      </c>
      <c r="R163" s="19" t="s">
        <v>79</v>
      </c>
      <c r="S163" s="19" t="s">
        <v>35</v>
      </c>
      <c r="T163" s="19" t="s">
        <v>175</v>
      </c>
      <c r="U163" s="21" t="s">
        <v>858</v>
      </c>
      <c r="V163" s="19" t="s">
        <v>64</v>
      </c>
      <c r="W163" s="15" t="str">
        <f t="shared" si="2"/>
        <v>Blacklisted</v>
      </c>
    </row>
    <row r="164" spans="1:23" x14ac:dyDescent="0.3">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8" t="s">
        <v>862</v>
      </c>
      <c r="V164" s="15" t="s">
        <v>38</v>
      </c>
      <c r="W164" s="15" t="str">
        <f t="shared" si="2"/>
        <v>Silver</v>
      </c>
    </row>
    <row r="165" spans="1:23" x14ac:dyDescent="0.3">
      <c r="A165" s="19" t="s">
        <v>863</v>
      </c>
      <c r="B165" s="19" t="s">
        <v>327</v>
      </c>
      <c r="C165" s="19" t="s">
        <v>118</v>
      </c>
      <c r="D165" s="19" t="s">
        <v>864</v>
      </c>
      <c r="E165" s="19" t="s">
        <v>865</v>
      </c>
      <c r="F165" s="19" t="s">
        <v>853</v>
      </c>
      <c r="G165" s="19" t="s">
        <v>76</v>
      </c>
      <c r="H165" s="19" t="s">
        <v>866</v>
      </c>
      <c r="I165" s="19" t="s">
        <v>212</v>
      </c>
      <c r="J165" s="19" t="s">
        <v>45</v>
      </c>
      <c r="K165" s="19" t="s">
        <v>122</v>
      </c>
      <c r="L165" s="19" t="s">
        <v>123</v>
      </c>
      <c r="M165" s="19">
        <v>7</v>
      </c>
      <c r="N165" s="19">
        <v>60</v>
      </c>
      <c r="O165" s="19">
        <v>0</v>
      </c>
      <c r="P165" s="19">
        <v>420</v>
      </c>
      <c r="Q165" s="19">
        <v>2</v>
      </c>
      <c r="R165" s="19" t="s">
        <v>88</v>
      </c>
      <c r="S165" s="19" t="s">
        <v>151</v>
      </c>
      <c r="T165" s="19" t="s">
        <v>332</v>
      </c>
      <c r="U165" s="21" t="s">
        <v>867</v>
      </c>
      <c r="V165" s="19" t="s">
        <v>38</v>
      </c>
      <c r="W165" s="15" t="str">
        <f t="shared" si="2"/>
        <v>Blacklisted</v>
      </c>
    </row>
    <row r="166" spans="1:23" x14ac:dyDescent="0.3">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8" t="s">
        <v>870</v>
      </c>
      <c r="V166" s="15" t="s">
        <v>69</v>
      </c>
      <c r="W166" s="15" t="str">
        <f t="shared" si="2"/>
        <v>Blacklisted</v>
      </c>
    </row>
    <row r="167" spans="1:23" x14ac:dyDescent="0.3">
      <c r="A167" s="19" t="s">
        <v>871</v>
      </c>
      <c r="B167" s="19" t="s">
        <v>168</v>
      </c>
      <c r="C167" s="19" t="s">
        <v>92</v>
      </c>
      <c r="D167" s="19" t="s">
        <v>872</v>
      </c>
      <c r="E167" s="19" t="s">
        <v>488</v>
      </c>
      <c r="F167" s="19" t="s">
        <v>361</v>
      </c>
      <c r="G167" s="19" t="s">
        <v>28</v>
      </c>
      <c r="H167" s="19" t="s">
        <v>873</v>
      </c>
      <c r="I167" s="19" t="s">
        <v>138</v>
      </c>
      <c r="J167" s="19" t="s">
        <v>106</v>
      </c>
      <c r="K167" s="19" t="s">
        <v>32</v>
      </c>
      <c r="L167" s="19" t="s">
        <v>97</v>
      </c>
      <c r="M167" s="19">
        <v>15</v>
      </c>
      <c r="N167" s="19">
        <v>3500</v>
      </c>
      <c r="O167" s="19">
        <v>15</v>
      </c>
      <c r="P167" s="19">
        <v>44625</v>
      </c>
      <c r="Q167" s="19">
        <v>2</v>
      </c>
      <c r="R167" s="19" t="s">
        <v>88</v>
      </c>
      <c r="S167" s="19" t="s">
        <v>61</v>
      </c>
      <c r="T167" s="19" t="s">
        <v>175</v>
      </c>
      <c r="U167" s="21" t="s">
        <v>874</v>
      </c>
      <c r="V167" s="19" t="s">
        <v>64</v>
      </c>
      <c r="W167" s="15" t="str">
        <f t="shared" si="2"/>
        <v>Blacklisted</v>
      </c>
    </row>
    <row r="168" spans="1:23" x14ac:dyDescent="0.3">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8" t="s">
        <v>879</v>
      </c>
      <c r="V168" s="15" t="s">
        <v>69</v>
      </c>
      <c r="W168" s="15" t="str">
        <f t="shared" si="2"/>
        <v>Blacklisted</v>
      </c>
    </row>
    <row r="169" spans="1:23" x14ac:dyDescent="0.3">
      <c r="A169" s="19" t="s">
        <v>880</v>
      </c>
      <c r="B169" s="19" t="s">
        <v>327</v>
      </c>
      <c r="C169" s="19" t="s">
        <v>54</v>
      </c>
      <c r="D169" s="19" t="s">
        <v>881</v>
      </c>
      <c r="E169" s="19" t="s">
        <v>640</v>
      </c>
      <c r="F169" s="19" t="s">
        <v>394</v>
      </c>
      <c r="G169" s="19" t="s">
        <v>76</v>
      </c>
      <c r="H169" s="19" t="s">
        <v>882</v>
      </c>
      <c r="I169" s="19" t="s">
        <v>59</v>
      </c>
      <c r="J169" s="19" t="s">
        <v>31</v>
      </c>
      <c r="K169" s="19" t="s">
        <v>46</v>
      </c>
      <c r="L169" s="19" t="s">
        <v>60</v>
      </c>
      <c r="M169" s="19">
        <v>12</v>
      </c>
      <c r="N169" s="19">
        <v>55000</v>
      </c>
      <c r="O169" s="19">
        <v>5</v>
      </c>
      <c r="P169" s="19">
        <v>627000</v>
      </c>
      <c r="Q169" s="19">
        <v>4</v>
      </c>
      <c r="R169" s="19" t="s">
        <v>79</v>
      </c>
      <c r="S169" s="19" t="s">
        <v>61</v>
      </c>
      <c r="T169" s="19" t="s">
        <v>332</v>
      </c>
      <c r="U169" s="21" t="s">
        <v>883</v>
      </c>
      <c r="V169" s="19" t="s">
        <v>69</v>
      </c>
      <c r="W169" s="15" t="str">
        <f t="shared" si="2"/>
        <v>Blacklisted</v>
      </c>
    </row>
    <row r="170" spans="1:23" x14ac:dyDescent="0.3">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8" t="s">
        <v>886</v>
      </c>
      <c r="V170" s="15" t="s">
        <v>69</v>
      </c>
      <c r="W170" s="15" t="str">
        <f t="shared" si="2"/>
        <v>Blacklisted</v>
      </c>
    </row>
    <row r="171" spans="1:23" x14ac:dyDescent="0.3">
      <c r="A171" s="19" t="s">
        <v>887</v>
      </c>
      <c r="B171" s="19" t="s">
        <v>251</v>
      </c>
      <c r="C171" s="19" t="s">
        <v>169</v>
      </c>
      <c r="D171" s="19" t="s">
        <v>128</v>
      </c>
      <c r="E171" s="19" t="s">
        <v>247</v>
      </c>
      <c r="F171" s="19" t="s">
        <v>254</v>
      </c>
      <c r="G171" s="19" t="s">
        <v>28</v>
      </c>
      <c r="H171" s="19" t="s">
        <v>888</v>
      </c>
      <c r="I171" s="19" t="s">
        <v>30</v>
      </c>
      <c r="J171" s="19" t="s">
        <v>31</v>
      </c>
      <c r="K171" s="19" t="s">
        <v>32</v>
      </c>
      <c r="L171" s="19" t="s">
        <v>174</v>
      </c>
      <c r="M171" s="19">
        <v>1</v>
      </c>
      <c r="N171" s="19">
        <v>8500</v>
      </c>
      <c r="O171" s="19">
        <v>0</v>
      </c>
      <c r="P171" s="19">
        <v>8500</v>
      </c>
      <c r="Q171" s="19">
        <v>1</v>
      </c>
      <c r="R171" s="19" t="s">
        <v>88</v>
      </c>
      <c r="S171" s="19" t="s">
        <v>151</v>
      </c>
      <c r="T171" s="19" t="s">
        <v>256</v>
      </c>
      <c r="U171" s="21" t="s">
        <v>889</v>
      </c>
      <c r="V171" s="19" t="s">
        <v>69</v>
      </c>
      <c r="W171" s="15" t="str">
        <f t="shared" si="2"/>
        <v>Blacklisted</v>
      </c>
    </row>
    <row r="172" spans="1:23" x14ac:dyDescent="0.3">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8" t="s">
        <v>894</v>
      </c>
      <c r="V172" s="15" t="s">
        <v>38</v>
      </c>
      <c r="W172" s="15" t="str">
        <f t="shared" si="2"/>
        <v>Platinum</v>
      </c>
    </row>
    <row r="173" spans="1:23" x14ac:dyDescent="0.3">
      <c r="A173" s="19" t="s">
        <v>895</v>
      </c>
      <c r="B173" s="19" t="s">
        <v>221</v>
      </c>
      <c r="C173" s="19" t="s">
        <v>72</v>
      </c>
      <c r="D173" s="19" t="s">
        <v>661</v>
      </c>
      <c r="E173" s="19" t="s">
        <v>896</v>
      </c>
      <c r="F173" s="19" t="s">
        <v>225</v>
      </c>
      <c r="G173" s="19" t="s">
        <v>76</v>
      </c>
      <c r="H173" s="19" t="s">
        <v>897</v>
      </c>
      <c r="I173" s="19" t="s">
        <v>138</v>
      </c>
      <c r="J173" s="19" t="s">
        <v>106</v>
      </c>
      <c r="K173" s="19" t="s">
        <v>46</v>
      </c>
      <c r="L173" s="19" t="s">
        <v>78</v>
      </c>
      <c r="M173" s="19">
        <v>8</v>
      </c>
      <c r="N173" s="19">
        <v>1200</v>
      </c>
      <c r="O173" s="19">
        <v>15</v>
      </c>
      <c r="P173" s="19">
        <v>8160</v>
      </c>
      <c r="Q173" s="19">
        <v>2</v>
      </c>
      <c r="R173" s="19" t="s">
        <v>88</v>
      </c>
      <c r="S173" s="19" t="s">
        <v>115</v>
      </c>
      <c r="T173" s="19" t="s">
        <v>228</v>
      </c>
      <c r="U173" s="21" t="s">
        <v>898</v>
      </c>
      <c r="V173" s="19" t="s">
        <v>69</v>
      </c>
      <c r="W173" s="15" t="str">
        <f t="shared" si="2"/>
        <v>Blacklisted</v>
      </c>
    </row>
    <row r="174" spans="1:23" x14ac:dyDescent="0.3">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8" t="s">
        <v>903</v>
      </c>
      <c r="V174" s="15" t="s">
        <v>64</v>
      </c>
      <c r="W174" s="15" t="str">
        <f t="shared" si="2"/>
        <v>Pending</v>
      </c>
    </row>
    <row r="175" spans="1:23" x14ac:dyDescent="0.3">
      <c r="A175" s="19" t="s">
        <v>904</v>
      </c>
      <c r="B175" s="19" t="s">
        <v>221</v>
      </c>
      <c r="C175" s="19" t="s">
        <v>259</v>
      </c>
      <c r="D175" s="19" t="s">
        <v>41</v>
      </c>
      <c r="E175" s="19" t="s">
        <v>606</v>
      </c>
      <c r="F175" s="19" t="s">
        <v>905</v>
      </c>
      <c r="G175" s="19" t="s">
        <v>76</v>
      </c>
      <c r="H175" s="19" t="s">
        <v>906</v>
      </c>
      <c r="I175" s="19" t="s">
        <v>212</v>
      </c>
      <c r="J175" s="19" t="s">
        <v>45</v>
      </c>
      <c r="K175" s="19" t="s">
        <v>122</v>
      </c>
      <c r="L175" s="19" t="s">
        <v>263</v>
      </c>
      <c r="M175" s="19">
        <v>6</v>
      </c>
      <c r="N175" s="19">
        <v>45</v>
      </c>
      <c r="O175" s="19">
        <v>20</v>
      </c>
      <c r="P175" s="19">
        <v>216</v>
      </c>
      <c r="Q175" s="19">
        <v>1</v>
      </c>
      <c r="R175" s="19" t="s">
        <v>79</v>
      </c>
      <c r="S175" s="19" t="s">
        <v>49</v>
      </c>
      <c r="T175" s="19" t="s">
        <v>907</v>
      </c>
      <c r="U175" s="21" t="s">
        <v>908</v>
      </c>
      <c r="V175" s="19" t="s">
        <v>64</v>
      </c>
      <c r="W175" s="15" t="str">
        <f t="shared" si="2"/>
        <v>Blacklisted</v>
      </c>
    </row>
    <row r="176" spans="1:23" x14ac:dyDescent="0.3">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8" t="s">
        <v>912</v>
      </c>
      <c r="V176" s="15" t="s">
        <v>64</v>
      </c>
      <c r="W176" s="15" t="str">
        <f t="shared" si="2"/>
        <v>Pending</v>
      </c>
    </row>
    <row r="177" spans="1:23" x14ac:dyDescent="0.3">
      <c r="A177" s="19" t="s">
        <v>913</v>
      </c>
      <c r="B177" s="19" t="s">
        <v>23</v>
      </c>
      <c r="C177" s="19" t="s">
        <v>222</v>
      </c>
      <c r="D177" s="19" t="s">
        <v>276</v>
      </c>
      <c r="E177" s="19" t="s">
        <v>914</v>
      </c>
      <c r="F177" s="19" t="s">
        <v>27</v>
      </c>
      <c r="G177" s="19" t="s">
        <v>28</v>
      </c>
      <c r="H177" s="19" t="s">
        <v>915</v>
      </c>
      <c r="I177" s="19" t="s">
        <v>114</v>
      </c>
      <c r="J177" s="19" t="s">
        <v>106</v>
      </c>
      <c r="K177" s="19" t="s">
        <v>122</v>
      </c>
      <c r="L177" s="19" t="s">
        <v>227</v>
      </c>
      <c r="M177" s="19">
        <v>19</v>
      </c>
      <c r="N177" s="19">
        <v>20</v>
      </c>
      <c r="O177" s="19">
        <v>5</v>
      </c>
      <c r="P177" s="19">
        <v>361</v>
      </c>
      <c r="Q177" s="19">
        <v>4</v>
      </c>
      <c r="R177" s="19" t="s">
        <v>34</v>
      </c>
      <c r="S177" s="19" t="s">
        <v>35</v>
      </c>
      <c r="T177" s="19" t="s">
        <v>50</v>
      </c>
      <c r="U177" s="21" t="s">
        <v>916</v>
      </c>
      <c r="V177" s="19" t="s">
        <v>64</v>
      </c>
      <c r="W177" s="15" t="str">
        <f t="shared" si="2"/>
        <v>Pending</v>
      </c>
    </row>
    <row r="178" spans="1:23" x14ac:dyDescent="0.3">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8" t="s">
        <v>921</v>
      </c>
      <c r="V178" s="15" t="s">
        <v>38</v>
      </c>
      <c r="W178" s="15" t="str">
        <f t="shared" si="2"/>
        <v>Silver</v>
      </c>
    </row>
    <row r="179" spans="1:23" x14ac:dyDescent="0.3">
      <c r="A179" s="19" t="s">
        <v>922</v>
      </c>
      <c r="B179" s="19" t="s">
        <v>168</v>
      </c>
      <c r="C179" s="19" t="s">
        <v>118</v>
      </c>
      <c r="D179" s="19" t="s">
        <v>323</v>
      </c>
      <c r="E179" s="19" t="s">
        <v>923</v>
      </c>
      <c r="F179" s="19" t="s">
        <v>361</v>
      </c>
      <c r="G179" s="19" t="s">
        <v>28</v>
      </c>
      <c r="H179" s="19" t="s">
        <v>924</v>
      </c>
      <c r="I179" s="19" t="s">
        <v>44</v>
      </c>
      <c r="J179" s="19" t="s">
        <v>45</v>
      </c>
      <c r="K179" s="19" t="s">
        <v>122</v>
      </c>
      <c r="L179" s="19" t="s">
        <v>123</v>
      </c>
      <c r="M179" s="19">
        <v>12</v>
      </c>
      <c r="N179" s="19">
        <v>60</v>
      </c>
      <c r="O179" s="19">
        <v>0</v>
      </c>
      <c r="P179" s="19">
        <v>720</v>
      </c>
      <c r="Q179" s="19">
        <v>2</v>
      </c>
      <c r="R179" s="19" t="s">
        <v>48</v>
      </c>
      <c r="S179" s="19" t="s">
        <v>49</v>
      </c>
      <c r="T179" s="19" t="s">
        <v>175</v>
      </c>
      <c r="U179" s="21" t="s">
        <v>925</v>
      </c>
      <c r="V179" s="19" t="s">
        <v>38</v>
      </c>
      <c r="W179" s="15" t="str">
        <f t="shared" si="2"/>
        <v>Blacklisted</v>
      </c>
    </row>
    <row r="180" spans="1:23" x14ac:dyDescent="0.3">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8" t="s">
        <v>930</v>
      </c>
      <c r="V180" s="15" t="s">
        <v>64</v>
      </c>
      <c r="W180" s="15" t="str">
        <f t="shared" si="2"/>
        <v>Pending</v>
      </c>
    </row>
    <row r="181" spans="1:23" x14ac:dyDescent="0.3">
      <c r="A181" s="19" t="s">
        <v>931</v>
      </c>
      <c r="B181" s="19" t="s">
        <v>23</v>
      </c>
      <c r="C181" s="19" t="s">
        <v>184</v>
      </c>
      <c r="D181" s="19" t="s">
        <v>932</v>
      </c>
      <c r="E181" s="19" t="s">
        <v>303</v>
      </c>
      <c r="F181" s="19" t="s">
        <v>27</v>
      </c>
      <c r="G181" s="19" t="s">
        <v>28</v>
      </c>
      <c r="H181" s="19" t="s">
        <v>933</v>
      </c>
      <c r="I181" s="19" t="s">
        <v>30</v>
      </c>
      <c r="J181" s="19" t="s">
        <v>31</v>
      </c>
      <c r="K181" s="19" t="s">
        <v>46</v>
      </c>
      <c r="L181" s="19" t="s">
        <v>189</v>
      </c>
      <c r="M181" s="19">
        <v>15</v>
      </c>
      <c r="N181" s="19">
        <v>700</v>
      </c>
      <c r="O181" s="19">
        <v>10</v>
      </c>
      <c r="P181" s="19">
        <v>9450</v>
      </c>
      <c r="Q181" s="19">
        <v>3</v>
      </c>
      <c r="R181" s="19" t="s">
        <v>48</v>
      </c>
      <c r="S181" s="19" t="s">
        <v>49</v>
      </c>
      <c r="T181" s="19" t="s">
        <v>50</v>
      </c>
      <c r="U181" s="21" t="s">
        <v>934</v>
      </c>
      <c r="V181" s="19" t="s">
        <v>64</v>
      </c>
      <c r="W181" s="15" t="str">
        <f t="shared" si="2"/>
        <v>Pending</v>
      </c>
    </row>
    <row r="182" spans="1:23" x14ac:dyDescent="0.3">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8" t="s">
        <v>938</v>
      </c>
      <c r="V182" s="15" t="s">
        <v>69</v>
      </c>
      <c r="W182" s="15" t="str">
        <f t="shared" si="2"/>
        <v>Blacklisted</v>
      </c>
    </row>
    <row r="183" spans="1:23" x14ac:dyDescent="0.3">
      <c r="A183" s="19" t="s">
        <v>939</v>
      </c>
      <c r="B183" s="19" t="s">
        <v>251</v>
      </c>
      <c r="C183" s="19" t="s">
        <v>118</v>
      </c>
      <c r="D183" s="19" t="s">
        <v>940</v>
      </c>
      <c r="E183" s="19" t="s">
        <v>941</v>
      </c>
      <c r="F183" s="19" t="s">
        <v>254</v>
      </c>
      <c r="G183" s="19" t="s">
        <v>28</v>
      </c>
      <c r="H183" s="19" t="s">
        <v>911</v>
      </c>
      <c r="I183" s="19" t="s">
        <v>212</v>
      </c>
      <c r="J183" s="19" t="s">
        <v>45</v>
      </c>
      <c r="K183" s="19" t="s">
        <v>122</v>
      </c>
      <c r="L183" s="19" t="s">
        <v>123</v>
      </c>
      <c r="M183" s="19">
        <v>19</v>
      </c>
      <c r="N183" s="19">
        <v>60</v>
      </c>
      <c r="O183" s="19">
        <v>20</v>
      </c>
      <c r="P183" s="19">
        <v>912</v>
      </c>
      <c r="Q183" s="19">
        <v>4</v>
      </c>
      <c r="R183" s="19" t="s">
        <v>79</v>
      </c>
      <c r="S183" s="19" t="s">
        <v>49</v>
      </c>
      <c r="T183" s="19" t="s">
        <v>256</v>
      </c>
      <c r="U183" s="21" t="s">
        <v>942</v>
      </c>
      <c r="V183" s="19" t="s">
        <v>64</v>
      </c>
      <c r="W183" s="15" t="str">
        <f t="shared" si="2"/>
        <v>Pending</v>
      </c>
    </row>
    <row r="184" spans="1:23" x14ac:dyDescent="0.3">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8" t="s">
        <v>946</v>
      </c>
      <c r="V184" s="15" t="s">
        <v>38</v>
      </c>
      <c r="W184" s="15" t="str">
        <f t="shared" si="2"/>
        <v>Silver</v>
      </c>
    </row>
    <row r="185" spans="1:23" x14ac:dyDescent="0.3">
      <c r="A185" s="19" t="s">
        <v>947</v>
      </c>
      <c r="B185" s="19" t="s">
        <v>71</v>
      </c>
      <c r="C185" s="19" t="s">
        <v>24</v>
      </c>
      <c r="D185" s="19" t="s">
        <v>948</v>
      </c>
      <c r="E185" s="19" t="s">
        <v>949</v>
      </c>
      <c r="F185" s="19" t="s">
        <v>217</v>
      </c>
      <c r="G185" s="19" t="s">
        <v>76</v>
      </c>
      <c r="H185" s="19" t="s">
        <v>950</v>
      </c>
      <c r="I185" s="19" t="s">
        <v>44</v>
      </c>
      <c r="J185" s="19" t="s">
        <v>45</v>
      </c>
      <c r="K185" s="19" t="s">
        <v>32</v>
      </c>
      <c r="L185" s="19" t="s">
        <v>33</v>
      </c>
      <c r="M185" s="19">
        <v>7</v>
      </c>
      <c r="N185" s="19">
        <v>2200</v>
      </c>
      <c r="O185" s="19">
        <v>20</v>
      </c>
      <c r="P185" s="19">
        <v>12320</v>
      </c>
      <c r="Q185" s="19">
        <v>5</v>
      </c>
      <c r="R185" s="19" t="s">
        <v>88</v>
      </c>
      <c r="S185" s="19" t="s">
        <v>49</v>
      </c>
      <c r="T185" s="19" t="s">
        <v>80</v>
      </c>
      <c r="U185" s="21" t="s">
        <v>951</v>
      </c>
      <c r="V185" s="19" t="s">
        <v>64</v>
      </c>
      <c r="W185" s="15" t="str">
        <f t="shared" si="2"/>
        <v>Pending</v>
      </c>
    </row>
    <row r="186" spans="1:23" x14ac:dyDescent="0.3">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8" t="s">
        <v>955</v>
      </c>
      <c r="V186" s="15" t="s">
        <v>38</v>
      </c>
      <c r="W186" s="15" t="str">
        <f t="shared" si="2"/>
        <v>Pending</v>
      </c>
    </row>
    <row r="187" spans="1:23" x14ac:dyDescent="0.3">
      <c r="A187" s="19" t="s">
        <v>956</v>
      </c>
      <c r="B187" s="19" t="s">
        <v>251</v>
      </c>
      <c r="C187" s="19" t="s">
        <v>24</v>
      </c>
      <c r="D187" s="19" t="s">
        <v>770</v>
      </c>
      <c r="E187" s="19" t="s">
        <v>957</v>
      </c>
      <c r="F187" s="19" t="s">
        <v>254</v>
      </c>
      <c r="G187" s="19" t="s">
        <v>28</v>
      </c>
      <c r="H187" s="19" t="s">
        <v>958</v>
      </c>
      <c r="I187" s="19" t="s">
        <v>30</v>
      </c>
      <c r="J187" s="19" t="s">
        <v>31</v>
      </c>
      <c r="K187" s="19" t="s">
        <v>32</v>
      </c>
      <c r="L187" s="19" t="s">
        <v>33</v>
      </c>
      <c r="M187" s="19">
        <v>10</v>
      </c>
      <c r="N187" s="19">
        <v>2200</v>
      </c>
      <c r="O187" s="19">
        <v>5</v>
      </c>
      <c r="P187" s="19">
        <v>20900</v>
      </c>
      <c r="Q187" s="19">
        <v>2</v>
      </c>
      <c r="R187" s="19" t="s">
        <v>48</v>
      </c>
      <c r="S187" s="19" t="s">
        <v>49</v>
      </c>
      <c r="T187" s="19" t="s">
        <v>256</v>
      </c>
      <c r="U187" s="21" t="s">
        <v>959</v>
      </c>
      <c r="V187" s="19" t="s">
        <v>38</v>
      </c>
      <c r="W187" s="15" t="str">
        <f t="shared" si="2"/>
        <v>Blacklisted</v>
      </c>
    </row>
    <row r="188" spans="1:23" x14ac:dyDescent="0.3">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8" t="s">
        <v>963</v>
      </c>
      <c r="V188" s="15" t="s">
        <v>38</v>
      </c>
      <c r="W188" s="15" t="str">
        <f t="shared" si="2"/>
        <v>Blacklisted</v>
      </c>
    </row>
    <row r="189" spans="1:23" x14ac:dyDescent="0.3">
      <c r="A189" s="19" t="s">
        <v>964</v>
      </c>
      <c r="B189" s="19" t="s">
        <v>221</v>
      </c>
      <c r="C189" s="19" t="s">
        <v>92</v>
      </c>
      <c r="D189" s="19" t="s">
        <v>231</v>
      </c>
      <c r="E189" s="19" t="s">
        <v>965</v>
      </c>
      <c r="F189" s="19" t="s">
        <v>225</v>
      </c>
      <c r="G189" s="19" t="s">
        <v>76</v>
      </c>
      <c r="H189" s="19" t="s">
        <v>966</v>
      </c>
      <c r="I189" s="19" t="s">
        <v>30</v>
      </c>
      <c r="J189" s="19" t="s">
        <v>31</v>
      </c>
      <c r="K189" s="19" t="s">
        <v>32</v>
      </c>
      <c r="L189" s="19" t="s">
        <v>97</v>
      </c>
      <c r="M189" s="19">
        <v>18</v>
      </c>
      <c r="N189" s="19">
        <v>3500</v>
      </c>
      <c r="O189" s="19">
        <v>5</v>
      </c>
      <c r="P189" s="19">
        <v>59850</v>
      </c>
      <c r="Q189" s="19">
        <v>1</v>
      </c>
      <c r="R189" s="19" t="s">
        <v>79</v>
      </c>
      <c r="S189" s="19" t="s">
        <v>49</v>
      </c>
      <c r="T189" s="19" t="s">
        <v>228</v>
      </c>
      <c r="U189" s="21" t="s">
        <v>967</v>
      </c>
      <c r="V189" s="19" t="s">
        <v>69</v>
      </c>
      <c r="W189" s="15" t="str">
        <f t="shared" si="2"/>
        <v>Blacklisted</v>
      </c>
    </row>
    <row r="190" spans="1:23" x14ac:dyDescent="0.3">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8" t="s">
        <v>972</v>
      </c>
      <c r="V190" s="15" t="s">
        <v>69</v>
      </c>
      <c r="W190" s="15" t="str">
        <f t="shared" si="2"/>
        <v>Blacklisted</v>
      </c>
    </row>
    <row r="191" spans="1:23" x14ac:dyDescent="0.3">
      <c r="A191" s="19" t="s">
        <v>973</v>
      </c>
      <c r="B191" s="19" t="s">
        <v>327</v>
      </c>
      <c r="C191" s="19" t="s">
        <v>222</v>
      </c>
      <c r="D191" s="19" t="s">
        <v>323</v>
      </c>
      <c r="E191" s="19" t="s">
        <v>479</v>
      </c>
      <c r="F191" s="19" t="s">
        <v>394</v>
      </c>
      <c r="G191" s="19" t="s">
        <v>76</v>
      </c>
      <c r="H191" s="19" t="s">
        <v>974</v>
      </c>
      <c r="I191" s="19" t="s">
        <v>59</v>
      </c>
      <c r="J191" s="19" t="s">
        <v>31</v>
      </c>
      <c r="K191" s="19" t="s">
        <v>122</v>
      </c>
      <c r="L191" s="19" t="s">
        <v>227</v>
      </c>
      <c r="M191" s="19">
        <v>19</v>
      </c>
      <c r="N191" s="19">
        <v>20</v>
      </c>
      <c r="O191" s="19">
        <v>10</v>
      </c>
      <c r="P191" s="19">
        <v>342</v>
      </c>
      <c r="Q191" s="19">
        <v>2</v>
      </c>
      <c r="R191" s="19" t="s">
        <v>48</v>
      </c>
      <c r="S191" s="19" t="s">
        <v>35</v>
      </c>
      <c r="T191" s="19" t="s">
        <v>332</v>
      </c>
      <c r="U191" s="21" t="s">
        <v>975</v>
      </c>
      <c r="V191" s="19" t="s">
        <v>64</v>
      </c>
      <c r="W191" s="15" t="str">
        <f t="shared" si="2"/>
        <v>Blacklisted</v>
      </c>
    </row>
    <row r="192" spans="1:23" x14ac:dyDescent="0.3">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8" t="s">
        <v>978</v>
      </c>
      <c r="V192" s="15" t="s">
        <v>69</v>
      </c>
      <c r="W192" s="15" t="str">
        <f t="shared" si="2"/>
        <v>Blacklisted</v>
      </c>
    </row>
    <row r="193" spans="1:23" x14ac:dyDescent="0.3">
      <c r="A193" s="19" t="s">
        <v>979</v>
      </c>
      <c r="B193" s="19" t="s">
        <v>327</v>
      </c>
      <c r="C193" s="19" t="s">
        <v>40</v>
      </c>
      <c r="D193" s="19" t="s">
        <v>503</v>
      </c>
      <c r="E193" s="19" t="s">
        <v>980</v>
      </c>
      <c r="F193" s="19" t="s">
        <v>394</v>
      </c>
      <c r="G193" s="19" t="s">
        <v>76</v>
      </c>
      <c r="H193" s="19" t="s">
        <v>981</v>
      </c>
      <c r="I193" s="19" t="s">
        <v>212</v>
      </c>
      <c r="J193" s="19" t="s">
        <v>45</v>
      </c>
      <c r="K193" s="19" t="s">
        <v>46</v>
      </c>
      <c r="L193" s="19" t="s">
        <v>47</v>
      </c>
      <c r="M193" s="19">
        <v>3</v>
      </c>
      <c r="N193" s="19">
        <v>12000</v>
      </c>
      <c r="O193" s="19">
        <v>5</v>
      </c>
      <c r="P193" s="19">
        <v>34200</v>
      </c>
      <c r="Q193" s="19">
        <v>3</v>
      </c>
      <c r="R193" s="19" t="s">
        <v>79</v>
      </c>
      <c r="S193" s="19" t="s">
        <v>61</v>
      </c>
      <c r="T193" s="19" t="s">
        <v>332</v>
      </c>
      <c r="U193" s="21" t="s">
        <v>982</v>
      </c>
      <c r="V193" s="19" t="s">
        <v>69</v>
      </c>
      <c r="W193" s="15" t="str">
        <f t="shared" si="2"/>
        <v>Blacklisted</v>
      </c>
    </row>
    <row r="194" spans="1:23" x14ac:dyDescent="0.3">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8" t="s">
        <v>985</v>
      </c>
      <c r="V194" s="15" t="s">
        <v>64</v>
      </c>
      <c r="W194" s="15" t="str">
        <f t="shared" si="2"/>
        <v>Pending</v>
      </c>
    </row>
    <row r="195" spans="1:23" x14ac:dyDescent="0.3">
      <c r="A195" s="19" t="s">
        <v>986</v>
      </c>
      <c r="B195" s="19" t="s">
        <v>251</v>
      </c>
      <c r="C195" s="19" t="s">
        <v>24</v>
      </c>
      <c r="D195" s="19" t="s">
        <v>987</v>
      </c>
      <c r="E195" s="19" t="s">
        <v>988</v>
      </c>
      <c r="F195" s="19" t="s">
        <v>254</v>
      </c>
      <c r="G195" s="19" t="s">
        <v>28</v>
      </c>
      <c r="H195" s="19" t="s">
        <v>989</v>
      </c>
      <c r="I195" s="19" t="s">
        <v>44</v>
      </c>
      <c r="J195" s="19" t="s">
        <v>45</v>
      </c>
      <c r="K195" s="19" t="s">
        <v>32</v>
      </c>
      <c r="L195" s="19" t="s">
        <v>33</v>
      </c>
      <c r="M195" s="19">
        <v>8</v>
      </c>
      <c r="N195" s="19">
        <v>2200</v>
      </c>
      <c r="O195" s="19">
        <v>5</v>
      </c>
      <c r="P195" s="19">
        <v>16720</v>
      </c>
      <c r="Q195" s="19">
        <v>2</v>
      </c>
      <c r="R195" s="19" t="s">
        <v>88</v>
      </c>
      <c r="S195" s="19" t="s">
        <v>151</v>
      </c>
      <c r="T195" s="19" t="s">
        <v>256</v>
      </c>
      <c r="U195" s="21" t="s">
        <v>990</v>
      </c>
      <c r="V195" s="19" t="s">
        <v>38</v>
      </c>
      <c r="W195" s="15" t="str">
        <f t="shared" ref="W195:W258" si="3">IF(OR(Q195&lt;=2, V195="Cancelled"), "Blacklisted", IF(AND(P195&gt;=100000, Q195&gt;=4, O195&lt;=10, V195="Completed"), "Platinum", IF(AND(P195&gt;=50000, P195&lt;=99999, Q195&gt;=3, V195="Completed"), "Gold", IF(AND(P195&lt;50000, V195="Completed"), "Silver", "Pending"))))</f>
        <v>Blacklisted</v>
      </c>
    </row>
    <row r="196" spans="1:23" x14ac:dyDescent="0.3">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8" t="s">
        <v>993</v>
      </c>
      <c r="V196" s="15" t="s">
        <v>64</v>
      </c>
      <c r="W196" s="15" t="str">
        <f t="shared" si="3"/>
        <v>Pending</v>
      </c>
    </row>
    <row r="197" spans="1:23" x14ac:dyDescent="0.3">
      <c r="A197" s="19" t="s">
        <v>994</v>
      </c>
      <c r="B197" s="19" t="s">
        <v>83</v>
      </c>
      <c r="C197" s="19" t="s">
        <v>222</v>
      </c>
      <c r="D197" s="19" t="s">
        <v>336</v>
      </c>
      <c r="E197" s="19" t="s">
        <v>596</v>
      </c>
      <c r="F197" s="19" t="s">
        <v>180</v>
      </c>
      <c r="G197" s="19" t="s">
        <v>76</v>
      </c>
      <c r="H197" s="19" t="s">
        <v>995</v>
      </c>
      <c r="I197" s="19" t="s">
        <v>44</v>
      </c>
      <c r="J197" s="19" t="s">
        <v>45</v>
      </c>
      <c r="K197" s="19" t="s">
        <v>122</v>
      </c>
      <c r="L197" s="19" t="s">
        <v>227</v>
      </c>
      <c r="M197" s="19">
        <v>7</v>
      </c>
      <c r="N197" s="19">
        <v>20</v>
      </c>
      <c r="O197" s="19">
        <v>10</v>
      </c>
      <c r="P197" s="19">
        <v>126</v>
      </c>
      <c r="Q197" s="19">
        <v>4</v>
      </c>
      <c r="R197" s="19" t="s">
        <v>79</v>
      </c>
      <c r="S197" s="19" t="s">
        <v>61</v>
      </c>
      <c r="T197" s="19" t="s">
        <v>89</v>
      </c>
      <c r="U197" s="21" t="s">
        <v>996</v>
      </c>
      <c r="V197" s="19" t="s">
        <v>38</v>
      </c>
      <c r="W197" s="15" t="str">
        <f t="shared" si="3"/>
        <v>Silver</v>
      </c>
    </row>
    <row r="198" spans="1:23" x14ac:dyDescent="0.3">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8" t="s">
        <v>1000</v>
      </c>
      <c r="V198" s="15" t="s">
        <v>64</v>
      </c>
      <c r="W198" s="15" t="str">
        <f t="shared" si="3"/>
        <v>Pending</v>
      </c>
    </row>
    <row r="199" spans="1:23" x14ac:dyDescent="0.3">
      <c r="A199" s="19" t="s">
        <v>1001</v>
      </c>
      <c r="B199" s="19" t="s">
        <v>100</v>
      </c>
      <c r="C199" s="19" t="s">
        <v>118</v>
      </c>
      <c r="D199" s="19" t="s">
        <v>431</v>
      </c>
      <c r="E199" s="19" t="s">
        <v>414</v>
      </c>
      <c r="F199" s="19" t="s">
        <v>103</v>
      </c>
      <c r="G199" s="19" t="s">
        <v>28</v>
      </c>
      <c r="H199" s="19" t="s">
        <v>1002</v>
      </c>
      <c r="I199" s="19" t="s">
        <v>114</v>
      </c>
      <c r="J199" s="19" t="s">
        <v>106</v>
      </c>
      <c r="K199" s="19" t="s">
        <v>122</v>
      </c>
      <c r="L199" s="19" t="s">
        <v>123</v>
      </c>
      <c r="M199" s="19">
        <v>16</v>
      </c>
      <c r="N199" s="19">
        <v>60</v>
      </c>
      <c r="O199" s="19">
        <v>0</v>
      </c>
      <c r="P199" s="19">
        <v>960</v>
      </c>
      <c r="Q199" s="19">
        <v>2</v>
      </c>
      <c r="R199" s="19" t="s">
        <v>48</v>
      </c>
      <c r="S199" s="19" t="s">
        <v>115</v>
      </c>
      <c r="T199" s="19" t="s">
        <v>144</v>
      </c>
      <c r="U199" s="21" t="s">
        <v>1003</v>
      </c>
      <c r="V199" s="19" t="s">
        <v>38</v>
      </c>
      <c r="W199" s="15" t="str">
        <f t="shared" si="3"/>
        <v>Blacklisted</v>
      </c>
    </row>
    <row r="200" spans="1:23" x14ac:dyDescent="0.3">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8" t="s">
        <v>1008</v>
      </c>
      <c r="V200" s="15" t="s">
        <v>64</v>
      </c>
      <c r="W200" s="15" t="str">
        <f t="shared" si="3"/>
        <v>Blacklisted</v>
      </c>
    </row>
    <row r="201" spans="1:23" x14ac:dyDescent="0.3">
      <c r="A201" s="19" t="s">
        <v>1009</v>
      </c>
      <c r="B201" s="19" t="s">
        <v>100</v>
      </c>
      <c r="C201" s="19" t="s">
        <v>54</v>
      </c>
      <c r="D201" s="19" t="s">
        <v>1010</v>
      </c>
      <c r="E201" s="19" t="s">
        <v>431</v>
      </c>
      <c r="F201" s="19" t="s">
        <v>103</v>
      </c>
      <c r="G201" s="19" t="s">
        <v>28</v>
      </c>
      <c r="H201" s="19" t="s">
        <v>1011</v>
      </c>
      <c r="I201" s="19" t="s">
        <v>212</v>
      </c>
      <c r="J201" s="19" t="s">
        <v>45</v>
      </c>
      <c r="K201" s="19" t="s">
        <v>46</v>
      </c>
      <c r="L201" s="19" t="s">
        <v>60</v>
      </c>
      <c r="M201" s="19">
        <v>16</v>
      </c>
      <c r="N201" s="19">
        <v>55000</v>
      </c>
      <c r="O201" s="19">
        <v>0</v>
      </c>
      <c r="P201" s="19">
        <v>880000</v>
      </c>
      <c r="Q201" s="19">
        <v>1</v>
      </c>
      <c r="R201" s="19" t="s">
        <v>79</v>
      </c>
      <c r="S201" s="19" t="s">
        <v>61</v>
      </c>
      <c r="T201" s="19" t="s">
        <v>144</v>
      </c>
      <c r="U201" s="21" t="s">
        <v>1012</v>
      </c>
      <c r="V201" s="19" t="s">
        <v>69</v>
      </c>
      <c r="W201" s="15" t="str">
        <f t="shared" si="3"/>
        <v>Blacklisted</v>
      </c>
    </row>
    <row r="202" spans="1:23" x14ac:dyDescent="0.3">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8" t="s">
        <v>1015</v>
      </c>
      <c r="V202" s="15" t="s">
        <v>69</v>
      </c>
      <c r="W202" s="15" t="str">
        <f t="shared" si="3"/>
        <v>Blacklisted</v>
      </c>
    </row>
    <row r="203" spans="1:23" x14ac:dyDescent="0.3">
      <c r="A203" s="19" t="s">
        <v>1016</v>
      </c>
      <c r="B203" s="19" t="s">
        <v>71</v>
      </c>
      <c r="C203" s="19" t="s">
        <v>259</v>
      </c>
      <c r="D203" s="19" t="s">
        <v>1017</v>
      </c>
      <c r="E203" s="19" t="s">
        <v>1018</v>
      </c>
      <c r="F203" s="19" t="s">
        <v>217</v>
      </c>
      <c r="G203" s="19" t="s">
        <v>76</v>
      </c>
      <c r="H203" s="19" t="s">
        <v>1019</v>
      </c>
      <c r="I203" s="19" t="s">
        <v>30</v>
      </c>
      <c r="J203" s="19" t="s">
        <v>31</v>
      </c>
      <c r="K203" s="19" t="s">
        <v>122</v>
      </c>
      <c r="L203" s="19" t="s">
        <v>263</v>
      </c>
      <c r="M203" s="19">
        <v>2</v>
      </c>
      <c r="N203" s="19">
        <v>45</v>
      </c>
      <c r="O203" s="19">
        <v>15</v>
      </c>
      <c r="P203" s="19">
        <v>76.5</v>
      </c>
      <c r="Q203" s="19">
        <v>5</v>
      </c>
      <c r="R203" s="19" t="s">
        <v>34</v>
      </c>
      <c r="S203" s="19" t="s">
        <v>61</v>
      </c>
      <c r="T203" s="19" t="s">
        <v>80</v>
      </c>
      <c r="U203" s="21" t="s">
        <v>1020</v>
      </c>
      <c r="V203" s="19" t="s">
        <v>69</v>
      </c>
      <c r="W203" s="15" t="str">
        <f t="shared" si="3"/>
        <v>Blacklisted</v>
      </c>
    </row>
    <row r="204" spans="1:23" x14ac:dyDescent="0.3">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8" t="s">
        <v>1023</v>
      </c>
      <c r="V204" s="15" t="s">
        <v>69</v>
      </c>
      <c r="W204" s="15" t="str">
        <f t="shared" si="3"/>
        <v>Blacklisted</v>
      </c>
    </row>
    <row r="205" spans="1:23" x14ac:dyDescent="0.3">
      <c r="A205" s="19" t="s">
        <v>1024</v>
      </c>
      <c r="B205" s="19" t="s">
        <v>127</v>
      </c>
      <c r="C205" s="19" t="s">
        <v>92</v>
      </c>
      <c r="D205" s="19" t="s">
        <v>298</v>
      </c>
      <c r="E205" s="19" t="s">
        <v>1025</v>
      </c>
      <c r="F205" s="19" t="s">
        <v>200</v>
      </c>
      <c r="G205" s="19" t="s">
        <v>76</v>
      </c>
      <c r="H205" s="19" t="s">
        <v>494</v>
      </c>
      <c r="I205" s="19" t="s">
        <v>212</v>
      </c>
      <c r="J205" s="19" t="s">
        <v>45</v>
      </c>
      <c r="K205" s="19" t="s">
        <v>32</v>
      </c>
      <c r="L205" s="19" t="s">
        <v>97</v>
      </c>
      <c r="M205" s="19">
        <v>6</v>
      </c>
      <c r="N205" s="19">
        <v>3500</v>
      </c>
      <c r="O205" s="19">
        <v>5</v>
      </c>
      <c r="P205" s="19">
        <v>19950</v>
      </c>
      <c r="Q205" s="19">
        <v>1</v>
      </c>
      <c r="R205" s="19" t="s">
        <v>34</v>
      </c>
      <c r="S205" s="19" t="s">
        <v>151</v>
      </c>
      <c r="T205" s="19" t="s">
        <v>132</v>
      </c>
      <c r="U205" s="21" t="s">
        <v>1026</v>
      </c>
      <c r="V205" s="19" t="s">
        <v>38</v>
      </c>
      <c r="W205" s="15" t="str">
        <f t="shared" si="3"/>
        <v>Blacklisted</v>
      </c>
    </row>
    <row r="206" spans="1:23" x14ac:dyDescent="0.3">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8" t="s">
        <v>1029</v>
      </c>
      <c r="V206" s="15" t="s">
        <v>64</v>
      </c>
      <c r="W206" s="15" t="str">
        <f t="shared" si="3"/>
        <v>Blacklisted</v>
      </c>
    </row>
    <row r="207" spans="1:23" x14ac:dyDescent="0.3">
      <c r="A207" s="19" t="s">
        <v>1030</v>
      </c>
      <c r="B207" s="19" t="s">
        <v>327</v>
      </c>
      <c r="C207" s="19" t="s">
        <v>24</v>
      </c>
      <c r="D207" s="19" t="s">
        <v>414</v>
      </c>
      <c r="E207" s="19" t="s">
        <v>1031</v>
      </c>
      <c r="F207" s="19" t="s">
        <v>394</v>
      </c>
      <c r="G207" s="19" t="s">
        <v>76</v>
      </c>
      <c r="H207" s="19" t="s">
        <v>1032</v>
      </c>
      <c r="I207" s="19" t="s">
        <v>105</v>
      </c>
      <c r="J207" s="19" t="s">
        <v>106</v>
      </c>
      <c r="K207" s="19" t="s">
        <v>32</v>
      </c>
      <c r="L207" s="19" t="s">
        <v>33</v>
      </c>
      <c r="M207" s="19">
        <v>18</v>
      </c>
      <c r="N207" s="19">
        <v>2200</v>
      </c>
      <c r="O207" s="19">
        <v>15</v>
      </c>
      <c r="P207" s="19">
        <v>33660</v>
      </c>
      <c r="Q207" s="19">
        <v>4</v>
      </c>
      <c r="R207" s="19" t="s">
        <v>79</v>
      </c>
      <c r="S207" s="19" t="s">
        <v>61</v>
      </c>
      <c r="T207" s="19" t="s">
        <v>332</v>
      </c>
      <c r="U207" s="21" t="s">
        <v>1033</v>
      </c>
      <c r="V207" s="19" t="s">
        <v>64</v>
      </c>
      <c r="W207" s="15" t="str">
        <f t="shared" si="3"/>
        <v>Pending</v>
      </c>
    </row>
    <row r="208" spans="1:23" x14ac:dyDescent="0.3">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8" t="s">
        <v>1037</v>
      </c>
      <c r="V208" s="15" t="s">
        <v>69</v>
      </c>
      <c r="W208" s="15" t="str">
        <f t="shared" si="3"/>
        <v>Blacklisted</v>
      </c>
    </row>
    <row r="209" spans="1:23" x14ac:dyDescent="0.3">
      <c r="A209" s="19" t="s">
        <v>1038</v>
      </c>
      <c r="B209" s="19" t="s">
        <v>327</v>
      </c>
      <c r="C209" s="19" t="s">
        <v>54</v>
      </c>
      <c r="D209" s="19" t="s">
        <v>1039</v>
      </c>
      <c r="E209" s="19" t="s">
        <v>1040</v>
      </c>
      <c r="F209" s="19" t="s">
        <v>394</v>
      </c>
      <c r="G209" s="19" t="s">
        <v>76</v>
      </c>
      <c r="H209" s="19" t="s">
        <v>1041</v>
      </c>
      <c r="I209" s="19" t="s">
        <v>114</v>
      </c>
      <c r="J209" s="19" t="s">
        <v>106</v>
      </c>
      <c r="K209" s="19" t="s">
        <v>46</v>
      </c>
      <c r="L209" s="19" t="s">
        <v>60</v>
      </c>
      <c r="M209" s="19">
        <v>12</v>
      </c>
      <c r="N209" s="19">
        <v>55000</v>
      </c>
      <c r="O209" s="19">
        <v>0</v>
      </c>
      <c r="P209" s="19">
        <v>660000</v>
      </c>
      <c r="Q209" s="19">
        <v>2</v>
      </c>
      <c r="R209" s="19" t="s">
        <v>88</v>
      </c>
      <c r="S209" s="19" t="s">
        <v>49</v>
      </c>
      <c r="T209" s="19" t="s">
        <v>332</v>
      </c>
      <c r="U209" s="21" t="s">
        <v>1042</v>
      </c>
      <c r="V209" s="19" t="s">
        <v>69</v>
      </c>
      <c r="W209" s="15" t="str">
        <f t="shared" si="3"/>
        <v>Blacklisted</v>
      </c>
    </row>
    <row r="210" spans="1:23" x14ac:dyDescent="0.3">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8" t="s">
        <v>1046</v>
      </c>
      <c r="V210" s="15" t="s">
        <v>64</v>
      </c>
      <c r="W210" s="15" t="str">
        <f t="shared" si="3"/>
        <v>Pending</v>
      </c>
    </row>
    <row r="211" spans="1:23" x14ac:dyDescent="0.3">
      <c r="A211" s="19" t="s">
        <v>1047</v>
      </c>
      <c r="B211" s="19" t="s">
        <v>251</v>
      </c>
      <c r="C211" s="19" t="s">
        <v>40</v>
      </c>
      <c r="D211" s="19" t="s">
        <v>1048</v>
      </c>
      <c r="E211" s="19" t="s">
        <v>129</v>
      </c>
      <c r="F211" s="19" t="s">
        <v>254</v>
      </c>
      <c r="G211" s="19" t="s">
        <v>28</v>
      </c>
      <c r="H211" s="19" t="s">
        <v>1049</v>
      </c>
      <c r="I211" s="19" t="s">
        <v>105</v>
      </c>
      <c r="J211" s="19" t="s">
        <v>106</v>
      </c>
      <c r="K211" s="19" t="s">
        <v>46</v>
      </c>
      <c r="L211" s="19" t="s">
        <v>47</v>
      </c>
      <c r="M211" s="19">
        <v>8</v>
      </c>
      <c r="N211" s="19">
        <v>12000</v>
      </c>
      <c r="O211" s="19">
        <v>15</v>
      </c>
      <c r="P211" s="19">
        <v>81600</v>
      </c>
      <c r="Q211" s="19">
        <v>4</v>
      </c>
      <c r="R211" s="19" t="s">
        <v>79</v>
      </c>
      <c r="S211" s="19" t="s">
        <v>49</v>
      </c>
      <c r="T211" s="19" t="s">
        <v>256</v>
      </c>
      <c r="U211" s="21" t="s">
        <v>1050</v>
      </c>
      <c r="V211" s="19" t="s">
        <v>38</v>
      </c>
      <c r="W211" s="15" t="str">
        <f t="shared" si="3"/>
        <v>Gold</v>
      </c>
    </row>
    <row r="212" spans="1:23" x14ac:dyDescent="0.3">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8" t="s">
        <v>1054</v>
      </c>
      <c r="V212" s="15" t="s">
        <v>64</v>
      </c>
      <c r="W212" s="15" t="str">
        <f t="shared" si="3"/>
        <v>Pending</v>
      </c>
    </row>
    <row r="213" spans="1:23" x14ac:dyDescent="0.3">
      <c r="A213" s="19" t="s">
        <v>1055</v>
      </c>
      <c r="B213" s="19" t="s">
        <v>251</v>
      </c>
      <c r="C213" s="19" t="s">
        <v>259</v>
      </c>
      <c r="D213" s="19" t="s">
        <v>900</v>
      </c>
      <c r="E213" s="19" t="s">
        <v>987</v>
      </c>
      <c r="F213" s="19" t="s">
        <v>254</v>
      </c>
      <c r="G213" s="19" t="s">
        <v>28</v>
      </c>
      <c r="H213" s="19" t="s">
        <v>1056</v>
      </c>
      <c r="I213" s="19" t="s">
        <v>138</v>
      </c>
      <c r="J213" s="19" t="s">
        <v>106</v>
      </c>
      <c r="K213" s="19" t="s">
        <v>122</v>
      </c>
      <c r="L213" s="19" t="s">
        <v>263</v>
      </c>
      <c r="M213" s="19">
        <v>7</v>
      </c>
      <c r="N213" s="19">
        <v>45</v>
      </c>
      <c r="O213" s="19">
        <v>5</v>
      </c>
      <c r="P213" s="19">
        <v>299.25</v>
      </c>
      <c r="Q213" s="19">
        <v>3</v>
      </c>
      <c r="R213" s="19" t="s">
        <v>79</v>
      </c>
      <c r="S213" s="19" t="s">
        <v>35</v>
      </c>
      <c r="T213" s="19" t="s">
        <v>256</v>
      </c>
      <c r="U213" s="21" t="s">
        <v>1057</v>
      </c>
      <c r="V213" s="19" t="s">
        <v>69</v>
      </c>
      <c r="W213" s="15" t="str">
        <f t="shared" si="3"/>
        <v>Blacklisted</v>
      </c>
    </row>
    <row r="214" spans="1:23" x14ac:dyDescent="0.3">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8" t="s">
        <v>1059</v>
      </c>
      <c r="V214" s="15" t="s">
        <v>69</v>
      </c>
      <c r="W214" s="15" t="str">
        <f t="shared" si="3"/>
        <v>Blacklisted</v>
      </c>
    </row>
    <row r="215" spans="1:23" x14ac:dyDescent="0.3">
      <c r="A215" s="19" t="s">
        <v>1060</v>
      </c>
      <c r="B215" s="19" t="s">
        <v>53</v>
      </c>
      <c r="C215" s="19" t="s">
        <v>259</v>
      </c>
      <c r="D215" s="19" t="s">
        <v>1061</v>
      </c>
      <c r="E215" s="19" t="s">
        <v>582</v>
      </c>
      <c r="F215" s="19" t="s">
        <v>163</v>
      </c>
      <c r="G215" s="19" t="s">
        <v>28</v>
      </c>
      <c r="H215" s="19" t="s">
        <v>1062</v>
      </c>
      <c r="I215" s="19" t="s">
        <v>114</v>
      </c>
      <c r="J215" s="19" t="s">
        <v>106</v>
      </c>
      <c r="K215" s="19" t="s">
        <v>122</v>
      </c>
      <c r="L215" s="19" t="s">
        <v>263</v>
      </c>
      <c r="M215" s="19">
        <v>19</v>
      </c>
      <c r="N215" s="19">
        <v>45</v>
      </c>
      <c r="O215" s="19">
        <v>0</v>
      </c>
      <c r="P215" s="19">
        <v>855</v>
      </c>
      <c r="Q215" s="19">
        <v>2</v>
      </c>
      <c r="R215" s="19" t="s">
        <v>34</v>
      </c>
      <c r="S215" s="19" t="s">
        <v>61</v>
      </c>
      <c r="T215" s="19" t="s">
        <v>62</v>
      </c>
      <c r="U215" s="21" t="s">
        <v>1063</v>
      </c>
      <c r="V215" s="19" t="s">
        <v>38</v>
      </c>
      <c r="W215" s="15" t="str">
        <f t="shared" si="3"/>
        <v>Blacklisted</v>
      </c>
    </row>
    <row r="216" spans="1:23" x14ac:dyDescent="0.3">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8" t="s">
        <v>1067</v>
      </c>
      <c r="V216" s="15" t="s">
        <v>69</v>
      </c>
      <c r="W216" s="15" t="str">
        <f t="shared" si="3"/>
        <v>Blacklisted</v>
      </c>
    </row>
    <row r="217" spans="1:23" x14ac:dyDescent="0.3">
      <c r="A217" s="19" t="s">
        <v>1068</v>
      </c>
      <c r="B217" s="19" t="s">
        <v>23</v>
      </c>
      <c r="C217" s="19" t="s">
        <v>72</v>
      </c>
      <c r="D217" s="19" t="s">
        <v>1069</v>
      </c>
      <c r="E217" s="19" t="s">
        <v>1031</v>
      </c>
      <c r="F217" s="19" t="s">
        <v>27</v>
      </c>
      <c r="G217" s="19" t="s">
        <v>28</v>
      </c>
      <c r="H217" s="19" t="s">
        <v>1070</v>
      </c>
      <c r="I217" s="19" t="s">
        <v>294</v>
      </c>
      <c r="J217" s="19" t="s">
        <v>295</v>
      </c>
      <c r="K217" s="19" t="s">
        <v>46</v>
      </c>
      <c r="L217" s="19" t="s">
        <v>78</v>
      </c>
      <c r="M217" s="19">
        <v>4</v>
      </c>
      <c r="N217" s="19">
        <v>1200</v>
      </c>
      <c r="O217" s="19">
        <v>0</v>
      </c>
      <c r="P217" s="19">
        <v>4800</v>
      </c>
      <c r="Q217" s="19">
        <v>4</v>
      </c>
      <c r="R217" s="19" t="s">
        <v>34</v>
      </c>
      <c r="S217" s="19" t="s">
        <v>61</v>
      </c>
      <c r="T217" s="19" t="s">
        <v>50</v>
      </c>
      <c r="U217" s="21" t="s">
        <v>1071</v>
      </c>
      <c r="V217" s="19" t="s">
        <v>38</v>
      </c>
      <c r="W217" s="15" t="str">
        <f t="shared" si="3"/>
        <v>Silver</v>
      </c>
    </row>
    <row r="218" spans="1:23" x14ac:dyDescent="0.3">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8" t="s">
        <v>1075</v>
      </c>
      <c r="V218" s="15" t="s">
        <v>38</v>
      </c>
      <c r="W218" s="15" t="str">
        <f t="shared" si="3"/>
        <v>Silver</v>
      </c>
    </row>
    <row r="219" spans="1:23" x14ac:dyDescent="0.3">
      <c r="A219" s="19" t="s">
        <v>1076</v>
      </c>
      <c r="B219" s="19" t="s">
        <v>83</v>
      </c>
      <c r="C219" s="19" t="s">
        <v>184</v>
      </c>
      <c r="D219" s="19" t="s">
        <v>1077</v>
      </c>
      <c r="E219" s="19" t="s">
        <v>322</v>
      </c>
      <c r="F219" s="19" t="s">
        <v>180</v>
      </c>
      <c r="G219" s="19" t="s">
        <v>76</v>
      </c>
      <c r="H219" s="19" t="s">
        <v>1078</v>
      </c>
      <c r="I219" s="19" t="s">
        <v>294</v>
      </c>
      <c r="J219" s="19" t="s">
        <v>295</v>
      </c>
      <c r="K219" s="19" t="s">
        <v>46</v>
      </c>
      <c r="L219" s="19" t="s">
        <v>189</v>
      </c>
      <c r="M219" s="19">
        <v>7</v>
      </c>
      <c r="N219" s="19">
        <v>700</v>
      </c>
      <c r="O219" s="19">
        <v>20</v>
      </c>
      <c r="P219" s="19">
        <v>3920</v>
      </c>
      <c r="Q219" s="19">
        <v>2</v>
      </c>
      <c r="R219" s="19" t="s">
        <v>79</v>
      </c>
      <c r="S219" s="19" t="s">
        <v>151</v>
      </c>
      <c r="T219" s="19" t="s">
        <v>89</v>
      </c>
      <c r="U219" s="21" t="s">
        <v>1079</v>
      </c>
      <c r="V219" s="19" t="s">
        <v>64</v>
      </c>
      <c r="W219" s="15" t="str">
        <f t="shared" si="3"/>
        <v>Blacklisted</v>
      </c>
    </row>
    <row r="220" spans="1:23" x14ac:dyDescent="0.3">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8" t="s">
        <v>1083</v>
      </c>
      <c r="V220" s="15" t="s">
        <v>38</v>
      </c>
      <c r="W220" s="15" t="str">
        <f t="shared" si="3"/>
        <v>Silver</v>
      </c>
    </row>
    <row r="221" spans="1:23" x14ac:dyDescent="0.3">
      <c r="A221" s="19" t="s">
        <v>1084</v>
      </c>
      <c r="B221" s="19" t="s">
        <v>100</v>
      </c>
      <c r="C221" s="19" t="s">
        <v>169</v>
      </c>
      <c r="D221" s="19" t="s">
        <v>1085</v>
      </c>
      <c r="E221" s="19" t="s">
        <v>1086</v>
      </c>
      <c r="F221" s="19" t="s">
        <v>103</v>
      </c>
      <c r="G221" s="19" t="s">
        <v>28</v>
      </c>
      <c r="H221" s="19" t="s">
        <v>1087</v>
      </c>
      <c r="I221" s="19" t="s">
        <v>294</v>
      </c>
      <c r="J221" s="19" t="s">
        <v>295</v>
      </c>
      <c r="K221" s="19" t="s">
        <v>32</v>
      </c>
      <c r="L221" s="19" t="s">
        <v>174</v>
      </c>
      <c r="M221" s="19">
        <v>16</v>
      </c>
      <c r="N221" s="19">
        <v>8500</v>
      </c>
      <c r="O221" s="19">
        <v>0</v>
      </c>
      <c r="P221" s="19">
        <v>136000</v>
      </c>
      <c r="Q221" s="19">
        <v>4</v>
      </c>
      <c r="R221" s="19" t="s">
        <v>48</v>
      </c>
      <c r="S221" s="19" t="s">
        <v>35</v>
      </c>
      <c r="T221" s="19" t="s">
        <v>144</v>
      </c>
      <c r="U221" s="21" t="s">
        <v>1088</v>
      </c>
      <c r="V221" s="19" t="s">
        <v>38</v>
      </c>
      <c r="W221" s="15" t="str">
        <f t="shared" si="3"/>
        <v>Platinum</v>
      </c>
    </row>
    <row r="222" spans="1:23" x14ac:dyDescent="0.3">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8" t="s">
        <v>1092</v>
      </c>
      <c r="V222" s="15" t="s">
        <v>38</v>
      </c>
      <c r="W222" s="15" t="str">
        <f t="shared" si="3"/>
        <v>Silver</v>
      </c>
    </row>
    <row r="223" spans="1:23" x14ac:dyDescent="0.3">
      <c r="A223" s="19" t="s">
        <v>1093</v>
      </c>
      <c r="B223" s="19" t="s">
        <v>53</v>
      </c>
      <c r="C223" s="19" t="s">
        <v>40</v>
      </c>
      <c r="D223" s="19" t="s">
        <v>1094</v>
      </c>
      <c r="E223" s="19" t="s">
        <v>588</v>
      </c>
      <c r="F223" s="19" t="s">
        <v>163</v>
      </c>
      <c r="G223" s="19" t="s">
        <v>28</v>
      </c>
      <c r="H223" s="19" t="s">
        <v>1095</v>
      </c>
      <c r="I223" s="19" t="s">
        <v>294</v>
      </c>
      <c r="J223" s="19" t="s">
        <v>295</v>
      </c>
      <c r="K223" s="19" t="s">
        <v>46</v>
      </c>
      <c r="L223" s="19" t="s">
        <v>47</v>
      </c>
      <c r="M223" s="19">
        <v>1</v>
      </c>
      <c r="N223" s="19">
        <v>12000</v>
      </c>
      <c r="O223" s="19">
        <v>0</v>
      </c>
      <c r="P223" s="19">
        <v>12000</v>
      </c>
      <c r="Q223" s="19">
        <v>5</v>
      </c>
      <c r="R223" s="19" t="s">
        <v>88</v>
      </c>
      <c r="S223" s="19" t="s">
        <v>115</v>
      </c>
      <c r="T223" s="19" t="s">
        <v>62</v>
      </c>
      <c r="U223" s="21" t="s">
        <v>1096</v>
      </c>
      <c r="V223" s="19" t="s">
        <v>64</v>
      </c>
      <c r="W223" s="15" t="str">
        <f t="shared" si="3"/>
        <v>Pending</v>
      </c>
    </row>
    <row r="224" spans="1:23" x14ac:dyDescent="0.3">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8" t="s">
        <v>1100</v>
      </c>
      <c r="V224" s="15" t="s">
        <v>64</v>
      </c>
      <c r="W224" s="15" t="str">
        <f t="shared" si="3"/>
        <v>Blacklisted</v>
      </c>
    </row>
    <row r="225" spans="1:23" x14ac:dyDescent="0.3">
      <c r="A225" s="19" t="s">
        <v>1101</v>
      </c>
      <c r="B225" s="19" t="s">
        <v>23</v>
      </c>
      <c r="C225" s="19" t="s">
        <v>54</v>
      </c>
      <c r="D225" s="19" t="s">
        <v>531</v>
      </c>
      <c r="E225" s="19" t="s">
        <v>1102</v>
      </c>
      <c r="F225" s="19" t="s">
        <v>27</v>
      </c>
      <c r="G225" s="19" t="s">
        <v>28</v>
      </c>
      <c r="H225" s="19" t="s">
        <v>1103</v>
      </c>
      <c r="I225" s="19" t="s">
        <v>44</v>
      </c>
      <c r="J225" s="19" t="s">
        <v>45</v>
      </c>
      <c r="K225" s="19" t="s">
        <v>46</v>
      </c>
      <c r="L225" s="19" t="s">
        <v>60</v>
      </c>
      <c r="M225" s="19">
        <v>13</v>
      </c>
      <c r="N225" s="19">
        <v>55000</v>
      </c>
      <c r="O225" s="19">
        <v>5</v>
      </c>
      <c r="P225" s="19">
        <v>679250</v>
      </c>
      <c r="Q225" s="19">
        <v>4</v>
      </c>
      <c r="R225" s="19" t="s">
        <v>79</v>
      </c>
      <c r="S225" s="19" t="s">
        <v>49</v>
      </c>
      <c r="T225" s="19" t="s">
        <v>50</v>
      </c>
      <c r="U225" s="21" t="s">
        <v>1104</v>
      </c>
      <c r="V225" s="19" t="s">
        <v>69</v>
      </c>
      <c r="W225" s="15" t="str">
        <f t="shared" si="3"/>
        <v>Blacklisted</v>
      </c>
    </row>
    <row r="226" spans="1:23" x14ac:dyDescent="0.3">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8" t="s">
        <v>1108</v>
      </c>
      <c r="V226" s="15" t="s">
        <v>38</v>
      </c>
      <c r="W226" s="15" t="str">
        <f t="shared" si="3"/>
        <v>Blacklisted</v>
      </c>
    </row>
    <row r="227" spans="1:23" x14ac:dyDescent="0.3">
      <c r="A227" s="19" t="s">
        <v>1109</v>
      </c>
      <c r="B227" s="19" t="s">
        <v>100</v>
      </c>
      <c r="C227" s="19" t="s">
        <v>222</v>
      </c>
      <c r="D227" s="19" t="s">
        <v>303</v>
      </c>
      <c r="E227" s="19" t="s">
        <v>1110</v>
      </c>
      <c r="F227" s="19" t="s">
        <v>103</v>
      </c>
      <c r="G227" s="19" t="s">
        <v>28</v>
      </c>
      <c r="H227" s="19" t="s">
        <v>1111</v>
      </c>
      <c r="I227" s="19" t="s">
        <v>30</v>
      </c>
      <c r="J227" s="19" t="s">
        <v>31</v>
      </c>
      <c r="K227" s="19" t="s">
        <v>122</v>
      </c>
      <c r="L227" s="19" t="s">
        <v>227</v>
      </c>
      <c r="M227" s="19">
        <v>8</v>
      </c>
      <c r="N227" s="19">
        <v>20</v>
      </c>
      <c r="O227" s="19">
        <v>15</v>
      </c>
      <c r="P227" s="19">
        <v>136</v>
      </c>
      <c r="Q227" s="19">
        <v>1</v>
      </c>
      <c r="R227" s="19" t="s">
        <v>79</v>
      </c>
      <c r="S227" s="19" t="s">
        <v>35</v>
      </c>
      <c r="T227" s="19" t="s">
        <v>144</v>
      </c>
      <c r="U227" s="21" t="s">
        <v>1112</v>
      </c>
      <c r="V227" s="19" t="s">
        <v>64</v>
      </c>
      <c r="W227" s="15" t="str">
        <f t="shared" si="3"/>
        <v>Blacklisted</v>
      </c>
    </row>
    <row r="228" spans="1:23" x14ac:dyDescent="0.3">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8" t="s">
        <v>1117</v>
      </c>
      <c r="V228" s="15" t="s">
        <v>69</v>
      </c>
      <c r="W228" s="15" t="str">
        <f t="shared" si="3"/>
        <v>Blacklisted</v>
      </c>
    </row>
    <row r="229" spans="1:23" x14ac:dyDescent="0.3">
      <c r="A229" s="19" t="s">
        <v>1118</v>
      </c>
      <c r="B229" s="19" t="s">
        <v>71</v>
      </c>
      <c r="C229" s="19" t="s">
        <v>92</v>
      </c>
      <c r="D229" s="19" t="s">
        <v>1119</v>
      </c>
      <c r="E229" s="19" t="s">
        <v>1120</v>
      </c>
      <c r="F229" s="19" t="s">
        <v>217</v>
      </c>
      <c r="G229" s="19" t="s">
        <v>76</v>
      </c>
      <c r="H229" s="19" t="s">
        <v>1121</v>
      </c>
      <c r="I229" s="19" t="s">
        <v>294</v>
      </c>
      <c r="J229" s="19" t="s">
        <v>295</v>
      </c>
      <c r="K229" s="19" t="s">
        <v>32</v>
      </c>
      <c r="L229" s="19" t="s">
        <v>97</v>
      </c>
      <c r="M229" s="19">
        <v>3</v>
      </c>
      <c r="N229" s="19">
        <v>3500</v>
      </c>
      <c r="O229" s="19">
        <v>15</v>
      </c>
      <c r="P229" s="19">
        <v>8925</v>
      </c>
      <c r="Q229" s="19">
        <v>1</v>
      </c>
      <c r="R229" s="19" t="s">
        <v>34</v>
      </c>
      <c r="S229" s="19" t="s">
        <v>49</v>
      </c>
      <c r="T229" s="19" t="s">
        <v>80</v>
      </c>
      <c r="U229" s="21" t="s">
        <v>1122</v>
      </c>
      <c r="V229" s="19" t="s">
        <v>69</v>
      </c>
      <c r="W229" s="15" t="str">
        <f t="shared" si="3"/>
        <v>Blacklisted</v>
      </c>
    </row>
    <row r="230" spans="1:23" x14ac:dyDescent="0.3">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8" t="s">
        <v>1126</v>
      </c>
      <c r="V230" s="15" t="s">
        <v>38</v>
      </c>
      <c r="W230" s="15" t="str">
        <f t="shared" si="3"/>
        <v>Blacklisted</v>
      </c>
    </row>
    <row r="231" spans="1:23" x14ac:dyDescent="0.3">
      <c r="A231" s="19" t="s">
        <v>1127</v>
      </c>
      <c r="B231" s="19" t="s">
        <v>71</v>
      </c>
      <c r="C231" s="19" t="s">
        <v>92</v>
      </c>
      <c r="D231" s="19" t="s">
        <v>1128</v>
      </c>
      <c r="E231" s="19" t="s">
        <v>110</v>
      </c>
      <c r="F231" s="19" t="s">
        <v>217</v>
      </c>
      <c r="G231" s="19" t="s">
        <v>76</v>
      </c>
      <c r="H231" s="19" t="s">
        <v>1129</v>
      </c>
      <c r="I231" s="19" t="s">
        <v>114</v>
      </c>
      <c r="J231" s="19" t="s">
        <v>106</v>
      </c>
      <c r="K231" s="19" t="s">
        <v>32</v>
      </c>
      <c r="L231" s="19" t="s">
        <v>97</v>
      </c>
      <c r="M231" s="19">
        <v>14</v>
      </c>
      <c r="N231" s="19">
        <v>3500</v>
      </c>
      <c r="O231" s="19">
        <v>5</v>
      </c>
      <c r="P231" s="19">
        <v>46550</v>
      </c>
      <c r="Q231" s="19">
        <v>1</v>
      </c>
      <c r="R231" s="19" t="s">
        <v>34</v>
      </c>
      <c r="S231" s="19" t="s">
        <v>61</v>
      </c>
      <c r="T231" s="19" t="s">
        <v>80</v>
      </c>
      <c r="U231" s="21" t="s">
        <v>1130</v>
      </c>
      <c r="V231" s="19" t="s">
        <v>38</v>
      </c>
      <c r="W231" s="15" t="str">
        <f t="shared" si="3"/>
        <v>Blacklisted</v>
      </c>
    </row>
    <row r="232" spans="1:23" x14ac:dyDescent="0.3">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8" t="s">
        <v>1133</v>
      </c>
      <c r="V232" s="15" t="s">
        <v>38</v>
      </c>
      <c r="W232" s="15" t="str">
        <f t="shared" si="3"/>
        <v>Silver</v>
      </c>
    </row>
    <row r="233" spans="1:23" x14ac:dyDescent="0.3">
      <c r="A233" s="19" t="s">
        <v>1134</v>
      </c>
      <c r="B233" s="19" t="s">
        <v>100</v>
      </c>
      <c r="C233" s="19" t="s">
        <v>92</v>
      </c>
      <c r="D233" s="19" t="s">
        <v>679</v>
      </c>
      <c r="E233" s="19" t="s">
        <v>872</v>
      </c>
      <c r="F233" s="19" t="s">
        <v>103</v>
      </c>
      <c r="G233" s="19" t="s">
        <v>28</v>
      </c>
      <c r="H233" s="19" t="s">
        <v>1135</v>
      </c>
      <c r="I233" s="19" t="s">
        <v>105</v>
      </c>
      <c r="J233" s="19" t="s">
        <v>106</v>
      </c>
      <c r="K233" s="19" t="s">
        <v>32</v>
      </c>
      <c r="L233" s="19" t="s">
        <v>97</v>
      </c>
      <c r="M233" s="19">
        <v>17</v>
      </c>
      <c r="N233" s="19">
        <v>3500</v>
      </c>
      <c r="O233" s="19">
        <v>15</v>
      </c>
      <c r="P233" s="19">
        <v>50575</v>
      </c>
      <c r="Q233" s="19">
        <v>3</v>
      </c>
      <c r="R233" s="19" t="s">
        <v>48</v>
      </c>
      <c r="S233" s="19" t="s">
        <v>49</v>
      </c>
      <c r="T233" s="19" t="s">
        <v>144</v>
      </c>
      <c r="U233" s="21" t="s">
        <v>1136</v>
      </c>
      <c r="V233" s="19" t="s">
        <v>64</v>
      </c>
      <c r="W233" s="15" t="str">
        <f t="shared" si="3"/>
        <v>Pending</v>
      </c>
    </row>
    <row r="234" spans="1:23" x14ac:dyDescent="0.3">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8" t="s">
        <v>1139</v>
      </c>
      <c r="V234" s="15" t="s">
        <v>38</v>
      </c>
      <c r="W234" s="15" t="str">
        <f t="shared" si="3"/>
        <v>Blacklisted</v>
      </c>
    </row>
    <row r="235" spans="1:23" x14ac:dyDescent="0.3">
      <c r="A235" s="19" t="s">
        <v>1140</v>
      </c>
      <c r="B235" s="19" t="s">
        <v>23</v>
      </c>
      <c r="C235" s="19" t="s">
        <v>24</v>
      </c>
      <c r="D235" s="19" t="s">
        <v>1141</v>
      </c>
      <c r="E235" s="19" t="s">
        <v>1142</v>
      </c>
      <c r="F235" s="19" t="s">
        <v>27</v>
      </c>
      <c r="G235" s="19" t="s">
        <v>28</v>
      </c>
      <c r="H235" s="19" t="s">
        <v>1143</v>
      </c>
      <c r="I235" s="19" t="s">
        <v>59</v>
      </c>
      <c r="J235" s="19" t="s">
        <v>31</v>
      </c>
      <c r="K235" s="19" t="s">
        <v>32</v>
      </c>
      <c r="L235" s="19" t="s">
        <v>33</v>
      </c>
      <c r="M235" s="19">
        <v>15</v>
      </c>
      <c r="N235" s="19">
        <v>2200</v>
      </c>
      <c r="O235" s="19">
        <v>20</v>
      </c>
      <c r="P235" s="19">
        <v>26400</v>
      </c>
      <c r="Q235" s="19">
        <v>2</v>
      </c>
      <c r="R235" s="19" t="s">
        <v>34</v>
      </c>
      <c r="S235" s="19" t="s">
        <v>61</v>
      </c>
      <c r="T235" s="19" t="s">
        <v>50</v>
      </c>
      <c r="U235" s="21" t="s">
        <v>1144</v>
      </c>
      <c r="V235" s="19" t="s">
        <v>38</v>
      </c>
      <c r="W235" s="15" t="str">
        <f t="shared" si="3"/>
        <v>Blacklisted</v>
      </c>
    </row>
    <row r="236" spans="1:23" x14ac:dyDescent="0.3">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8" t="s">
        <v>1147</v>
      </c>
      <c r="V236" s="15" t="s">
        <v>38</v>
      </c>
      <c r="W236" s="15" t="str">
        <f t="shared" si="3"/>
        <v>Silver</v>
      </c>
    </row>
    <row r="237" spans="1:23" x14ac:dyDescent="0.3">
      <c r="A237" s="19" t="s">
        <v>1148</v>
      </c>
      <c r="B237" s="19" t="s">
        <v>127</v>
      </c>
      <c r="C237" s="19" t="s">
        <v>40</v>
      </c>
      <c r="D237" s="19" t="s">
        <v>1149</v>
      </c>
      <c r="E237" s="19" t="s">
        <v>779</v>
      </c>
      <c r="F237" s="19" t="s">
        <v>200</v>
      </c>
      <c r="G237" s="19" t="s">
        <v>76</v>
      </c>
      <c r="H237" s="19" t="s">
        <v>1150</v>
      </c>
      <c r="I237" s="19" t="s">
        <v>44</v>
      </c>
      <c r="J237" s="19" t="s">
        <v>45</v>
      </c>
      <c r="K237" s="19" t="s">
        <v>46</v>
      </c>
      <c r="L237" s="19" t="s">
        <v>47</v>
      </c>
      <c r="M237" s="19">
        <v>8</v>
      </c>
      <c r="N237" s="19">
        <v>12000</v>
      </c>
      <c r="O237" s="19">
        <v>20</v>
      </c>
      <c r="P237" s="19">
        <v>76800</v>
      </c>
      <c r="Q237" s="19">
        <v>3</v>
      </c>
      <c r="R237" s="19" t="s">
        <v>79</v>
      </c>
      <c r="S237" s="19" t="s">
        <v>61</v>
      </c>
      <c r="T237" s="19" t="s">
        <v>132</v>
      </c>
      <c r="U237" s="21" t="s">
        <v>1151</v>
      </c>
      <c r="V237" s="19" t="s">
        <v>64</v>
      </c>
      <c r="W237" s="15" t="str">
        <f t="shared" si="3"/>
        <v>Pending</v>
      </c>
    </row>
    <row r="238" spans="1:23" x14ac:dyDescent="0.3">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8" t="s">
        <v>1155</v>
      </c>
      <c r="V238" s="15" t="s">
        <v>38</v>
      </c>
      <c r="W238" s="15" t="str">
        <f t="shared" si="3"/>
        <v>Blacklisted</v>
      </c>
    </row>
    <row r="239" spans="1:23" x14ac:dyDescent="0.3">
      <c r="A239" s="19" t="s">
        <v>1156</v>
      </c>
      <c r="B239" s="19" t="s">
        <v>221</v>
      </c>
      <c r="C239" s="19" t="s">
        <v>259</v>
      </c>
      <c r="D239" s="19" t="s">
        <v>628</v>
      </c>
      <c r="E239" s="19" t="s">
        <v>1157</v>
      </c>
      <c r="F239" s="19" t="s">
        <v>225</v>
      </c>
      <c r="G239" s="19" t="s">
        <v>76</v>
      </c>
      <c r="H239" s="19" t="s">
        <v>1158</v>
      </c>
      <c r="I239" s="19" t="s">
        <v>30</v>
      </c>
      <c r="J239" s="19" t="s">
        <v>31</v>
      </c>
      <c r="K239" s="19" t="s">
        <v>122</v>
      </c>
      <c r="L239" s="19" t="s">
        <v>263</v>
      </c>
      <c r="M239" s="19">
        <v>19</v>
      </c>
      <c r="N239" s="19">
        <v>45</v>
      </c>
      <c r="O239" s="19">
        <v>10</v>
      </c>
      <c r="P239" s="19">
        <v>769.5</v>
      </c>
      <c r="Q239" s="19">
        <v>1</v>
      </c>
      <c r="R239" s="19" t="s">
        <v>34</v>
      </c>
      <c r="S239" s="19" t="s">
        <v>115</v>
      </c>
      <c r="T239" s="19" t="s">
        <v>228</v>
      </c>
      <c r="U239" s="21" t="s">
        <v>1159</v>
      </c>
      <c r="V239" s="19" t="s">
        <v>38</v>
      </c>
      <c r="W239" s="15" t="str">
        <f t="shared" si="3"/>
        <v>Blacklisted</v>
      </c>
    </row>
    <row r="240" spans="1:23" x14ac:dyDescent="0.3">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8" t="s">
        <v>1163</v>
      </c>
      <c r="V240" s="15" t="s">
        <v>38</v>
      </c>
      <c r="W240" s="15" t="str">
        <f t="shared" si="3"/>
        <v>Silver</v>
      </c>
    </row>
    <row r="241" spans="1:23" x14ac:dyDescent="0.3">
      <c r="A241" s="19" t="s">
        <v>1164</v>
      </c>
      <c r="B241" s="19" t="s">
        <v>53</v>
      </c>
      <c r="C241" s="19" t="s">
        <v>259</v>
      </c>
      <c r="D241" s="19" t="s">
        <v>1165</v>
      </c>
      <c r="E241" s="19" t="s">
        <v>1039</v>
      </c>
      <c r="F241" s="19" t="s">
        <v>163</v>
      </c>
      <c r="G241" s="19" t="s">
        <v>28</v>
      </c>
      <c r="H241" s="19" t="s">
        <v>1166</v>
      </c>
      <c r="I241" s="19" t="s">
        <v>30</v>
      </c>
      <c r="J241" s="19" t="s">
        <v>31</v>
      </c>
      <c r="K241" s="19" t="s">
        <v>122</v>
      </c>
      <c r="L241" s="19" t="s">
        <v>263</v>
      </c>
      <c r="M241" s="19">
        <v>16</v>
      </c>
      <c r="N241" s="19">
        <v>45</v>
      </c>
      <c r="O241" s="19">
        <v>15</v>
      </c>
      <c r="P241" s="19">
        <v>612</v>
      </c>
      <c r="Q241" s="19">
        <v>3</v>
      </c>
      <c r="R241" s="19" t="s">
        <v>34</v>
      </c>
      <c r="S241" s="19" t="s">
        <v>115</v>
      </c>
      <c r="T241" s="19" t="s">
        <v>62</v>
      </c>
      <c r="U241" s="21" t="s">
        <v>1167</v>
      </c>
      <c r="V241" s="19" t="s">
        <v>69</v>
      </c>
      <c r="W241" s="15" t="str">
        <f t="shared" si="3"/>
        <v>Blacklisted</v>
      </c>
    </row>
    <row r="242" spans="1:23" x14ac:dyDescent="0.3">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8" t="s">
        <v>1170</v>
      </c>
      <c r="V242" s="15" t="s">
        <v>69</v>
      </c>
      <c r="W242" s="15" t="str">
        <f t="shared" si="3"/>
        <v>Blacklisted</v>
      </c>
    </row>
    <row r="243" spans="1:23" x14ac:dyDescent="0.3">
      <c r="A243" s="19" t="s">
        <v>1171</v>
      </c>
      <c r="B243" s="19" t="s">
        <v>168</v>
      </c>
      <c r="C243" s="19" t="s">
        <v>222</v>
      </c>
      <c r="D243" s="19" t="s">
        <v>445</v>
      </c>
      <c r="E243" s="19" t="s">
        <v>1172</v>
      </c>
      <c r="F243" s="19" t="s">
        <v>361</v>
      </c>
      <c r="G243" s="19" t="s">
        <v>28</v>
      </c>
      <c r="H243" s="19" t="s">
        <v>1173</v>
      </c>
      <c r="I243" s="19" t="s">
        <v>294</v>
      </c>
      <c r="J243" s="19" t="s">
        <v>295</v>
      </c>
      <c r="K243" s="19" t="s">
        <v>122</v>
      </c>
      <c r="L243" s="19" t="s">
        <v>227</v>
      </c>
      <c r="M243" s="19">
        <v>15</v>
      </c>
      <c r="N243" s="19">
        <v>20</v>
      </c>
      <c r="O243" s="19">
        <v>20</v>
      </c>
      <c r="P243" s="19">
        <v>240</v>
      </c>
      <c r="Q243" s="19">
        <v>3</v>
      </c>
      <c r="R243" s="19" t="s">
        <v>48</v>
      </c>
      <c r="S243" s="19" t="s">
        <v>49</v>
      </c>
      <c r="T243" s="19" t="s">
        <v>175</v>
      </c>
      <c r="U243" s="21" t="s">
        <v>1174</v>
      </c>
      <c r="V243" s="19" t="s">
        <v>69</v>
      </c>
      <c r="W243" s="15" t="str">
        <f t="shared" si="3"/>
        <v>Blacklisted</v>
      </c>
    </row>
    <row r="244" spans="1:23" x14ac:dyDescent="0.3">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8" t="s">
        <v>1178</v>
      </c>
      <c r="V244" s="15" t="s">
        <v>38</v>
      </c>
      <c r="W244" s="15" t="str">
        <f t="shared" si="3"/>
        <v>Silver</v>
      </c>
    </row>
    <row r="245" spans="1:23" x14ac:dyDescent="0.3">
      <c r="A245" s="19" t="s">
        <v>1179</v>
      </c>
      <c r="B245" s="19" t="s">
        <v>53</v>
      </c>
      <c r="C245" s="19" t="s">
        <v>72</v>
      </c>
      <c r="D245" s="19" t="s">
        <v>1180</v>
      </c>
      <c r="E245" s="19" t="s">
        <v>1181</v>
      </c>
      <c r="F245" s="19" t="s">
        <v>163</v>
      </c>
      <c r="G245" s="19" t="s">
        <v>28</v>
      </c>
      <c r="H245" s="19" t="s">
        <v>1182</v>
      </c>
      <c r="I245" s="19" t="s">
        <v>105</v>
      </c>
      <c r="J245" s="19" t="s">
        <v>106</v>
      </c>
      <c r="K245" s="19" t="s">
        <v>46</v>
      </c>
      <c r="L245" s="19" t="s">
        <v>78</v>
      </c>
      <c r="M245" s="19">
        <v>19</v>
      </c>
      <c r="N245" s="19">
        <v>1200</v>
      </c>
      <c r="O245" s="19">
        <v>20</v>
      </c>
      <c r="P245" s="19">
        <v>18240</v>
      </c>
      <c r="Q245" s="19">
        <v>2</v>
      </c>
      <c r="R245" s="19" t="s">
        <v>34</v>
      </c>
      <c r="S245" s="19" t="s">
        <v>115</v>
      </c>
      <c r="T245" s="19" t="s">
        <v>62</v>
      </c>
      <c r="U245" s="21" t="s">
        <v>1183</v>
      </c>
      <c r="V245" s="19" t="s">
        <v>69</v>
      </c>
      <c r="W245" s="15" t="str">
        <f t="shared" si="3"/>
        <v>Blacklisted</v>
      </c>
    </row>
    <row r="246" spans="1:23" x14ac:dyDescent="0.3">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8" t="s">
        <v>1186</v>
      </c>
      <c r="V246" s="15" t="s">
        <v>69</v>
      </c>
      <c r="W246" s="15" t="str">
        <f t="shared" si="3"/>
        <v>Blacklisted</v>
      </c>
    </row>
    <row r="247" spans="1:23" x14ac:dyDescent="0.3">
      <c r="A247" s="19" t="s">
        <v>1187</v>
      </c>
      <c r="B247" s="19" t="s">
        <v>327</v>
      </c>
      <c r="C247" s="19" t="s">
        <v>184</v>
      </c>
      <c r="D247" s="19" t="s">
        <v>237</v>
      </c>
      <c r="E247" s="19" t="s">
        <v>1188</v>
      </c>
      <c r="F247" s="19" t="s">
        <v>394</v>
      </c>
      <c r="G247" s="19" t="s">
        <v>76</v>
      </c>
      <c r="H247" s="19" t="s">
        <v>1189</v>
      </c>
      <c r="I247" s="19" t="s">
        <v>30</v>
      </c>
      <c r="J247" s="19" t="s">
        <v>31</v>
      </c>
      <c r="K247" s="19" t="s">
        <v>46</v>
      </c>
      <c r="L247" s="19" t="s">
        <v>189</v>
      </c>
      <c r="M247" s="19">
        <v>19</v>
      </c>
      <c r="N247" s="19">
        <v>700</v>
      </c>
      <c r="O247" s="19">
        <v>5</v>
      </c>
      <c r="P247" s="19">
        <v>12635</v>
      </c>
      <c r="Q247" s="19">
        <v>5</v>
      </c>
      <c r="R247" s="19" t="s">
        <v>88</v>
      </c>
      <c r="S247" s="19" t="s">
        <v>151</v>
      </c>
      <c r="T247" s="19" t="s">
        <v>332</v>
      </c>
      <c r="U247" s="21" t="s">
        <v>1190</v>
      </c>
      <c r="V247" s="19" t="s">
        <v>38</v>
      </c>
      <c r="W247" s="15" t="str">
        <f t="shared" si="3"/>
        <v>Silver</v>
      </c>
    </row>
    <row r="248" spans="1:23" x14ac:dyDescent="0.3">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8" t="s">
        <v>1193</v>
      </c>
      <c r="V248" s="15" t="s">
        <v>64</v>
      </c>
      <c r="W248" s="15" t="str">
        <f t="shared" si="3"/>
        <v>Pending</v>
      </c>
    </row>
    <row r="249" spans="1:23" x14ac:dyDescent="0.3">
      <c r="A249" s="19" t="s">
        <v>1194</v>
      </c>
      <c r="B249" s="19" t="s">
        <v>71</v>
      </c>
      <c r="C249" s="19" t="s">
        <v>24</v>
      </c>
      <c r="D249" s="19" t="s">
        <v>215</v>
      </c>
      <c r="E249" s="19" t="s">
        <v>711</v>
      </c>
      <c r="F249" s="19" t="s">
        <v>217</v>
      </c>
      <c r="G249" s="19" t="s">
        <v>76</v>
      </c>
      <c r="H249" s="19" t="s">
        <v>1195</v>
      </c>
      <c r="I249" s="19" t="s">
        <v>105</v>
      </c>
      <c r="J249" s="19" t="s">
        <v>106</v>
      </c>
      <c r="K249" s="19" t="s">
        <v>32</v>
      </c>
      <c r="L249" s="19" t="s">
        <v>33</v>
      </c>
      <c r="M249" s="19">
        <v>13</v>
      </c>
      <c r="N249" s="19">
        <v>2200</v>
      </c>
      <c r="O249" s="19">
        <v>10</v>
      </c>
      <c r="P249" s="19">
        <v>25740</v>
      </c>
      <c r="Q249" s="19">
        <v>1</v>
      </c>
      <c r="R249" s="19" t="s">
        <v>79</v>
      </c>
      <c r="S249" s="19" t="s">
        <v>151</v>
      </c>
      <c r="T249" s="19" t="s">
        <v>80</v>
      </c>
      <c r="U249" s="21" t="s">
        <v>1196</v>
      </c>
      <c r="V249" s="19" t="s">
        <v>38</v>
      </c>
      <c r="W249" s="15" t="str">
        <f t="shared" si="3"/>
        <v>Blacklisted</v>
      </c>
    </row>
    <row r="250" spans="1:23" x14ac:dyDescent="0.3">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8" t="s">
        <v>1202</v>
      </c>
      <c r="V250" s="15" t="s">
        <v>69</v>
      </c>
      <c r="W250" s="15" t="str">
        <f t="shared" si="3"/>
        <v>Blacklisted</v>
      </c>
    </row>
    <row r="251" spans="1:23" x14ac:dyDescent="0.3">
      <c r="A251" s="19" t="s">
        <v>1203</v>
      </c>
      <c r="B251" s="19" t="s">
        <v>327</v>
      </c>
      <c r="C251" s="19" t="s">
        <v>169</v>
      </c>
      <c r="D251" s="19" t="s">
        <v>944</v>
      </c>
      <c r="E251" s="19" t="s">
        <v>1204</v>
      </c>
      <c r="F251" s="19" t="s">
        <v>394</v>
      </c>
      <c r="G251" s="19" t="s">
        <v>76</v>
      </c>
      <c r="H251" s="19" t="s">
        <v>1205</v>
      </c>
      <c r="I251" s="19" t="s">
        <v>59</v>
      </c>
      <c r="J251" s="19" t="s">
        <v>31</v>
      </c>
      <c r="K251" s="19" t="s">
        <v>32</v>
      </c>
      <c r="L251" s="19" t="s">
        <v>174</v>
      </c>
      <c r="M251" s="19">
        <v>6</v>
      </c>
      <c r="N251" s="19">
        <v>8500</v>
      </c>
      <c r="O251" s="19">
        <v>15</v>
      </c>
      <c r="P251" s="19">
        <v>43350</v>
      </c>
      <c r="Q251" s="19">
        <v>2</v>
      </c>
      <c r="R251" s="19" t="s">
        <v>34</v>
      </c>
      <c r="S251" s="19" t="s">
        <v>151</v>
      </c>
      <c r="T251" s="19" t="s">
        <v>332</v>
      </c>
      <c r="U251" s="21" t="s">
        <v>1206</v>
      </c>
      <c r="V251" s="19" t="s">
        <v>69</v>
      </c>
      <c r="W251" s="15" t="str">
        <f t="shared" si="3"/>
        <v>Blacklisted</v>
      </c>
    </row>
    <row r="252" spans="1:23" x14ac:dyDescent="0.3">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8" t="s">
        <v>1209</v>
      </c>
      <c r="V252" s="15" t="s">
        <v>64</v>
      </c>
      <c r="W252" s="15" t="str">
        <f t="shared" si="3"/>
        <v>Pending</v>
      </c>
    </row>
    <row r="253" spans="1:23" x14ac:dyDescent="0.3">
      <c r="A253" s="19" t="s">
        <v>1210</v>
      </c>
      <c r="B253" s="19" t="s">
        <v>23</v>
      </c>
      <c r="C253" s="19" t="s">
        <v>169</v>
      </c>
      <c r="D253" s="19" t="s">
        <v>825</v>
      </c>
      <c r="E253" s="19" t="s">
        <v>876</v>
      </c>
      <c r="F253" s="19" t="s">
        <v>27</v>
      </c>
      <c r="G253" s="19" t="s">
        <v>28</v>
      </c>
      <c r="H253" s="19" t="s">
        <v>1211</v>
      </c>
      <c r="I253" s="19" t="s">
        <v>294</v>
      </c>
      <c r="J253" s="19" t="s">
        <v>295</v>
      </c>
      <c r="K253" s="19" t="s">
        <v>32</v>
      </c>
      <c r="L253" s="19" t="s">
        <v>174</v>
      </c>
      <c r="M253" s="19">
        <v>16</v>
      </c>
      <c r="N253" s="19">
        <v>8500</v>
      </c>
      <c r="O253" s="19">
        <v>0</v>
      </c>
      <c r="P253" s="19">
        <v>136000</v>
      </c>
      <c r="Q253" s="19">
        <v>5</v>
      </c>
      <c r="R253" s="19" t="s">
        <v>88</v>
      </c>
      <c r="S253" s="19" t="s">
        <v>115</v>
      </c>
      <c r="T253" s="19" t="s">
        <v>50</v>
      </c>
      <c r="U253" s="21" t="s">
        <v>1212</v>
      </c>
      <c r="V253" s="19" t="s">
        <v>69</v>
      </c>
      <c r="W253" s="15" t="str">
        <f t="shared" si="3"/>
        <v>Blacklisted</v>
      </c>
    </row>
    <row r="254" spans="1:23" x14ac:dyDescent="0.3">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8" t="s">
        <v>1216</v>
      </c>
      <c r="V254" s="15" t="s">
        <v>38</v>
      </c>
      <c r="W254" s="15" t="str">
        <f t="shared" si="3"/>
        <v>Silver</v>
      </c>
    </row>
    <row r="255" spans="1:23" x14ac:dyDescent="0.3">
      <c r="A255" s="19" t="s">
        <v>1217</v>
      </c>
      <c r="B255" s="19" t="s">
        <v>127</v>
      </c>
      <c r="C255" s="19" t="s">
        <v>40</v>
      </c>
      <c r="D255" s="19" t="s">
        <v>413</v>
      </c>
      <c r="E255" s="19" t="s">
        <v>136</v>
      </c>
      <c r="F255" s="19" t="s">
        <v>200</v>
      </c>
      <c r="G255" s="19" t="s">
        <v>76</v>
      </c>
      <c r="H255" s="19" t="s">
        <v>1218</v>
      </c>
      <c r="I255" s="19" t="s">
        <v>294</v>
      </c>
      <c r="J255" s="19" t="s">
        <v>295</v>
      </c>
      <c r="K255" s="19" t="s">
        <v>46</v>
      </c>
      <c r="L255" s="19" t="s">
        <v>47</v>
      </c>
      <c r="M255" s="19">
        <v>7</v>
      </c>
      <c r="N255" s="19">
        <v>12000</v>
      </c>
      <c r="O255" s="19">
        <v>0</v>
      </c>
      <c r="P255" s="19">
        <v>84000</v>
      </c>
      <c r="Q255" s="19">
        <v>1</v>
      </c>
      <c r="R255" s="19" t="s">
        <v>88</v>
      </c>
      <c r="S255" s="19" t="s">
        <v>151</v>
      </c>
      <c r="T255" s="19" t="s">
        <v>132</v>
      </c>
      <c r="U255" s="21" t="s">
        <v>1219</v>
      </c>
      <c r="V255" s="19" t="s">
        <v>64</v>
      </c>
      <c r="W255" s="15" t="str">
        <f t="shared" si="3"/>
        <v>Blacklisted</v>
      </c>
    </row>
    <row r="256" spans="1:23" x14ac:dyDescent="0.3">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8" t="s">
        <v>1223</v>
      </c>
      <c r="V256" s="15" t="s">
        <v>38</v>
      </c>
      <c r="W256" s="15" t="str">
        <f t="shared" si="3"/>
        <v>Silver</v>
      </c>
    </row>
    <row r="257" spans="1:23" x14ac:dyDescent="0.3">
      <c r="A257" s="19" t="s">
        <v>1224</v>
      </c>
      <c r="B257" s="19" t="s">
        <v>221</v>
      </c>
      <c r="C257" s="19" t="s">
        <v>40</v>
      </c>
      <c r="D257" s="19" t="s">
        <v>1225</v>
      </c>
      <c r="E257" s="19" t="s">
        <v>927</v>
      </c>
      <c r="F257" s="19" t="s">
        <v>225</v>
      </c>
      <c r="G257" s="19" t="s">
        <v>76</v>
      </c>
      <c r="H257" s="19" t="s">
        <v>1226</v>
      </c>
      <c r="I257" s="19" t="s">
        <v>30</v>
      </c>
      <c r="J257" s="19" t="s">
        <v>31</v>
      </c>
      <c r="K257" s="19" t="s">
        <v>46</v>
      </c>
      <c r="L257" s="19" t="s">
        <v>47</v>
      </c>
      <c r="M257" s="19">
        <v>4</v>
      </c>
      <c r="N257" s="19">
        <v>12000</v>
      </c>
      <c r="O257" s="19">
        <v>15</v>
      </c>
      <c r="P257" s="19">
        <v>40800</v>
      </c>
      <c r="Q257" s="19">
        <v>3</v>
      </c>
      <c r="R257" s="19" t="s">
        <v>79</v>
      </c>
      <c r="S257" s="19" t="s">
        <v>35</v>
      </c>
      <c r="T257" s="19" t="s">
        <v>228</v>
      </c>
      <c r="U257" s="21" t="s">
        <v>1227</v>
      </c>
      <c r="V257" s="19" t="s">
        <v>64</v>
      </c>
      <c r="W257" s="15" t="str">
        <f t="shared" si="3"/>
        <v>Pending</v>
      </c>
    </row>
    <row r="258" spans="1:23" x14ac:dyDescent="0.3">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8" t="s">
        <v>1230</v>
      </c>
      <c r="V258" s="15" t="s">
        <v>69</v>
      </c>
      <c r="W258" s="15" t="str">
        <f t="shared" si="3"/>
        <v>Blacklisted</v>
      </c>
    </row>
    <row r="259" spans="1:23" x14ac:dyDescent="0.3">
      <c r="A259" s="19" t="s">
        <v>1231</v>
      </c>
      <c r="B259" s="19" t="s">
        <v>23</v>
      </c>
      <c r="C259" s="19" t="s">
        <v>92</v>
      </c>
      <c r="D259" s="19" t="s">
        <v>318</v>
      </c>
      <c r="E259" s="19" t="s">
        <v>679</v>
      </c>
      <c r="F259" s="19" t="s">
        <v>27</v>
      </c>
      <c r="G259" s="19" t="s">
        <v>28</v>
      </c>
      <c r="H259" s="19" t="s">
        <v>1232</v>
      </c>
      <c r="I259" s="19" t="s">
        <v>59</v>
      </c>
      <c r="J259" s="19" t="s">
        <v>31</v>
      </c>
      <c r="K259" s="19" t="s">
        <v>32</v>
      </c>
      <c r="L259" s="19" t="s">
        <v>97</v>
      </c>
      <c r="M259" s="19">
        <v>19</v>
      </c>
      <c r="N259" s="19">
        <v>3500</v>
      </c>
      <c r="O259" s="19">
        <v>20</v>
      </c>
      <c r="P259" s="19">
        <v>53200</v>
      </c>
      <c r="Q259" s="19">
        <v>1</v>
      </c>
      <c r="R259" s="19" t="s">
        <v>34</v>
      </c>
      <c r="S259" s="19" t="s">
        <v>61</v>
      </c>
      <c r="T259" s="19" t="s">
        <v>50</v>
      </c>
      <c r="U259" s="21" t="s">
        <v>1233</v>
      </c>
      <c r="V259" s="19" t="s">
        <v>69</v>
      </c>
      <c r="W259" s="15" t="str">
        <f t="shared" ref="W259:W322" si="4">IF(OR(Q259&lt;=2, V259="Cancelled"), "Blacklisted", IF(AND(P259&gt;=100000, Q259&gt;=4, O259&lt;=10, V259="Completed"), "Platinum", IF(AND(P259&gt;=50000, P259&lt;=99999, Q259&gt;=3, V259="Completed"), "Gold", IF(AND(P259&lt;50000, V259="Completed"), "Silver", "Pending"))))</f>
        <v>Blacklisted</v>
      </c>
    </row>
    <row r="260" spans="1:23" x14ac:dyDescent="0.3">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8" t="s">
        <v>1236</v>
      </c>
      <c r="V260" s="15" t="s">
        <v>69</v>
      </c>
      <c r="W260" s="15" t="str">
        <f t="shared" si="4"/>
        <v>Blacklisted</v>
      </c>
    </row>
    <row r="261" spans="1:23" x14ac:dyDescent="0.3">
      <c r="A261" s="19" t="s">
        <v>1237</v>
      </c>
      <c r="B261" s="19" t="s">
        <v>83</v>
      </c>
      <c r="C261" s="19" t="s">
        <v>184</v>
      </c>
      <c r="D261" s="19" t="s">
        <v>1238</v>
      </c>
      <c r="E261" s="19" t="s">
        <v>426</v>
      </c>
      <c r="F261" s="19" t="s">
        <v>180</v>
      </c>
      <c r="G261" s="19" t="s">
        <v>76</v>
      </c>
      <c r="H261" s="19" t="s">
        <v>1239</v>
      </c>
      <c r="I261" s="19" t="s">
        <v>212</v>
      </c>
      <c r="J261" s="19" t="s">
        <v>45</v>
      </c>
      <c r="K261" s="19" t="s">
        <v>46</v>
      </c>
      <c r="L261" s="19" t="s">
        <v>189</v>
      </c>
      <c r="M261" s="19">
        <v>18</v>
      </c>
      <c r="N261" s="19">
        <v>700</v>
      </c>
      <c r="O261" s="19">
        <v>5</v>
      </c>
      <c r="P261" s="19">
        <v>11970</v>
      </c>
      <c r="Q261" s="19">
        <v>2</v>
      </c>
      <c r="R261" s="19" t="s">
        <v>88</v>
      </c>
      <c r="S261" s="19" t="s">
        <v>61</v>
      </c>
      <c r="T261" s="19" t="s">
        <v>89</v>
      </c>
      <c r="U261" s="21" t="s">
        <v>1240</v>
      </c>
      <c r="V261" s="19" t="s">
        <v>69</v>
      </c>
      <c r="W261" s="15" t="str">
        <f t="shared" si="4"/>
        <v>Blacklisted</v>
      </c>
    </row>
    <row r="262" spans="1:23" x14ac:dyDescent="0.3">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8" t="s">
        <v>1244</v>
      </c>
      <c r="V262" s="15" t="s">
        <v>69</v>
      </c>
      <c r="W262" s="15" t="str">
        <f t="shared" si="4"/>
        <v>Blacklisted</v>
      </c>
    </row>
    <row r="263" spans="1:23" x14ac:dyDescent="0.3">
      <c r="A263" s="19" t="s">
        <v>1245</v>
      </c>
      <c r="B263" s="19" t="s">
        <v>327</v>
      </c>
      <c r="C263" s="19" t="s">
        <v>40</v>
      </c>
      <c r="D263" s="19" t="s">
        <v>1069</v>
      </c>
      <c r="E263" s="19" t="s">
        <v>272</v>
      </c>
      <c r="F263" s="19" t="s">
        <v>394</v>
      </c>
      <c r="G263" s="19" t="s">
        <v>76</v>
      </c>
      <c r="H263" s="19" t="s">
        <v>1246</v>
      </c>
      <c r="I263" s="19" t="s">
        <v>114</v>
      </c>
      <c r="J263" s="19" t="s">
        <v>106</v>
      </c>
      <c r="K263" s="19" t="s">
        <v>46</v>
      </c>
      <c r="L263" s="19" t="s">
        <v>47</v>
      </c>
      <c r="M263" s="19">
        <v>17</v>
      </c>
      <c r="N263" s="19">
        <v>12000</v>
      </c>
      <c r="O263" s="19">
        <v>20</v>
      </c>
      <c r="P263" s="19">
        <v>163200</v>
      </c>
      <c r="Q263" s="19">
        <v>4</v>
      </c>
      <c r="R263" s="19" t="s">
        <v>88</v>
      </c>
      <c r="S263" s="19" t="s">
        <v>151</v>
      </c>
      <c r="T263" s="19" t="s">
        <v>332</v>
      </c>
      <c r="U263" s="21" t="s">
        <v>1247</v>
      </c>
      <c r="V263" s="19" t="s">
        <v>38</v>
      </c>
      <c r="W263" s="15" t="str">
        <f t="shared" si="4"/>
        <v>Pending</v>
      </c>
    </row>
    <row r="264" spans="1:23" x14ac:dyDescent="0.3">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8" t="s">
        <v>1251</v>
      </c>
      <c r="V264" s="15" t="s">
        <v>38</v>
      </c>
      <c r="W264" s="15" t="str">
        <f t="shared" si="4"/>
        <v>Blacklisted</v>
      </c>
    </row>
    <row r="265" spans="1:23" x14ac:dyDescent="0.3">
      <c r="A265" s="19" t="s">
        <v>1252</v>
      </c>
      <c r="B265" s="19" t="s">
        <v>23</v>
      </c>
      <c r="C265" s="19" t="s">
        <v>54</v>
      </c>
      <c r="D265" s="19" t="s">
        <v>1253</v>
      </c>
      <c r="E265" s="19" t="s">
        <v>455</v>
      </c>
      <c r="F265" s="19" t="s">
        <v>27</v>
      </c>
      <c r="G265" s="19" t="s">
        <v>28</v>
      </c>
      <c r="H265" s="19" t="s">
        <v>1254</v>
      </c>
      <c r="I265" s="19" t="s">
        <v>138</v>
      </c>
      <c r="J265" s="19" t="s">
        <v>106</v>
      </c>
      <c r="K265" s="19" t="s">
        <v>46</v>
      </c>
      <c r="L265" s="19" t="s">
        <v>60</v>
      </c>
      <c r="M265" s="19">
        <v>6</v>
      </c>
      <c r="N265" s="19">
        <v>55000</v>
      </c>
      <c r="O265" s="19">
        <v>20</v>
      </c>
      <c r="P265" s="19">
        <v>264000</v>
      </c>
      <c r="Q265" s="19">
        <v>2</v>
      </c>
      <c r="R265" s="19" t="s">
        <v>88</v>
      </c>
      <c r="S265" s="19" t="s">
        <v>151</v>
      </c>
      <c r="T265" s="19" t="s">
        <v>50</v>
      </c>
      <c r="U265" s="21" t="s">
        <v>1255</v>
      </c>
      <c r="V265" s="19" t="s">
        <v>69</v>
      </c>
      <c r="W265" s="15" t="str">
        <f t="shared" si="4"/>
        <v>Blacklisted</v>
      </c>
    </row>
    <row r="266" spans="1:23" x14ac:dyDescent="0.3">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8" t="s">
        <v>1258</v>
      </c>
      <c r="V266" s="15" t="s">
        <v>38</v>
      </c>
      <c r="W266" s="15" t="str">
        <f t="shared" si="4"/>
        <v>Silver</v>
      </c>
    </row>
    <row r="267" spans="1:23" x14ac:dyDescent="0.3">
      <c r="A267" s="19" t="s">
        <v>1259</v>
      </c>
      <c r="B267" s="19" t="s">
        <v>23</v>
      </c>
      <c r="C267" s="19" t="s">
        <v>222</v>
      </c>
      <c r="D267" s="19" t="s">
        <v>558</v>
      </c>
      <c r="E267" s="19" t="s">
        <v>371</v>
      </c>
      <c r="F267" s="19" t="s">
        <v>27</v>
      </c>
      <c r="G267" s="19" t="s">
        <v>28</v>
      </c>
      <c r="H267" s="19" t="s">
        <v>1260</v>
      </c>
      <c r="I267" s="19" t="s">
        <v>212</v>
      </c>
      <c r="J267" s="19" t="s">
        <v>45</v>
      </c>
      <c r="K267" s="19" t="s">
        <v>122</v>
      </c>
      <c r="L267" s="19" t="s">
        <v>227</v>
      </c>
      <c r="M267" s="19">
        <v>6</v>
      </c>
      <c r="N267" s="19">
        <v>20</v>
      </c>
      <c r="O267" s="19">
        <v>15</v>
      </c>
      <c r="P267" s="19">
        <v>102</v>
      </c>
      <c r="Q267" s="19">
        <v>2</v>
      </c>
      <c r="R267" s="19" t="s">
        <v>88</v>
      </c>
      <c r="S267" s="19" t="s">
        <v>49</v>
      </c>
      <c r="T267" s="19" t="s">
        <v>50</v>
      </c>
      <c r="U267" s="21" t="s">
        <v>1261</v>
      </c>
      <c r="V267" s="19" t="s">
        <v>69</v>
      </c>
      <c r="W267" s="15" t="str">
        <f t="shared" si="4"/>
        <v>Blacklisted</v>
      </c>
    </row>
    <row r="268" spans="1:23" x14ac:dyDescent="0.3">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8" t="s">
        <v>1265</v>
      </c>
      <c r="V268" s="15" t="s">
        <v>38</v>
      </c>
      <c r="W268" s="15" t="str">
        <f t="shared" si="4"/>
        <v>Blacklisted</v>
      </c>
    </row>
    <row r="269" spans="1:23" x14ac:dyDescent="0.3">
      <c r="A269" s="19" t="s">
        <v>1266</v>
      </c>
      <c r="B269" s="19" t="s">
        <v>127</v>
      </c>
      <c r="C269" s="19" t="s">
        <v>169</v>
      </c>
      <c r="D269" s="19" t="s">
        <v>1267</v>
      </c>
      <c r="E269" s="19" t="s">
        <v>1268</v>
      </c>
      <c r="F269" s="19" t="s">
        <v>200</v>
      </c>
      <c r="G269" s="19" t="s">
        <v>76</v>
      </c>
      <c r="H269" s="19" t="s">
        <v>1269</v>
      </c>
      <c r="I269" s="19" t="s">
        <v>30</v>
      </c>
      <c r="J269" s="19" t="s">
        <v>31</v>
      </c>
      <c r="K269" s="19" t="s">
        <v>32</v>
      </c>
      <c r="L269" s="19" t="s">
        <v>174</v>
      </c>
      <c r="M269" s="19">
        <v>19</v>
      </c>
      <c r="N269" s="19">
        <v>8500</v>
      </c>
      <c r="O269" s="19">
        <v>0</v>
      </c>
      <c r="P269" s="19">
        <v>161500</v>
      </c>
      <c r="Q269" s="19">
        <v>5</v>
      </c>
      <c r="R269" s="19" t="s">
        <v>88</v>
      </c>
      <c r="S269" s="19" t="s">
        <v>151</v>
      </c>
      <c r="T269" s="19" t="s">
        <v>132</v>
      </c>
      <c r="U269" s="21" t="s">
        <v>1270</v>
      </c>
      <c r="V269" s="19" t="s">
        <v>38</v>
      </c>
      <c r="W269" s="15" t="str">
        <f t="shared" si="4"/>
        <v>Platinum</v>
      </c>
    </row>
    <row r="270" spans="1:23" x14ac:dyDescent="0.3">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8" t="s">
        <v>1273</v>
      </c>
      <c r="V270" s="15" t="s">
        <v>64</v>
      </c>
      <c r="W270" s="15" t="str">
        <f t="shared" si="4"/>
        <v>Pending</v>
      </c>
    </row>
    <row r="271" spans="1:23" x14ac:dyDescent="0.3">
      <c r="A271" s="19" t="s">
        <v>1274</v>
      </c>
      <c r="B271" s="19" t="s">
        <v>71</v>
      </c>
      <c r="C271" s="19" t="s">
        <v>40</v>
      </c>
      <c r="D271" s="19" t="s">
        <v>1098</v>
      </c>
      <c r="E271" s="19" t="s">
        <v>583</v>
      </c>
      <c r="F271" s="19" t="s">
        <v>217</v>
      </c>
      <c r="G271" s="19" t="s">
        <v>76</v>
      </c>
      <c r="H271" s="19" t="s">
        <v>1275</v>
      </c>
      <c r="I271" s="19" t="s">
        <v>294</v>
      </c>
      <c r="J271" s="19" t="s">
        <v>295</v>
      </c>
      <c r="K271" s="19" t="s">
        <v>46</v>
      </c>
      <c r="L271" s="19" t="s">
        <v>47</v>
      </c>
      <c r="M271" s="19">
        <v>18</v>
      </c>
      <c r="N271" s="19">
        <v>12000</v>
      </c>
      <c r="O271" s="19">
        <v>20</v>
      </c>
      <c r="P271" s="19">
        <v>172800</v>
      </c>
      <c r="Q271" s="19">
        <v>5</v>
      </c>
      <c r="R271" s="19" t="s">
        <v>88</v>
      </c>
      <c r="S271" s="19" t="s">
        <v>61</v>
      </c>
      <c r="T271" s="19" t="s">
        <v>80</v>
      </c>
      <c r="U271" s="21" t="s">
        <v>1276</v>
      </c>
      <c r="V271" s="19" t="s">
        <v>69</v>
      </c>
      <c r="W271" s="15" t="str">
        <f t="shared" si="4"/>
        <v>Blacklisted</v>
      </c>
    </row>
    <row r="272" spans="1:23" x14ac:dyDescent="0.3">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8" t="s">
        <v>1280</v>
      </c>
      <c r="V272" s="15" t="s">
        <v>69</v>
      </c>
      <c r="W272" s="15" t="str">
        <f t="shared" si="4"/>
        <v>Blacklisted</v>
      </c>
    </row>
    <row r="273" spans="1:23" x14ac:dyDescent="0.3">
      <c r="A273" s="19" t="s">
        <v>1281</v>
      </c>
      <c r="B273" s="19" t="s">
        <v>23</v>
      </c>
      <c r="C273" s="19" t="s">
        <v>222</v>
      </c>
      <c r="D273" s="19" t="s">
        <v>1282</v>
      </c>
      <c r="E273" s="19" t="s">
        <v>724</v>
      </c>
      <c r="F273" s="19" t="s">
        <v>27</v>
      </c>
      <c r="G273" s="19" t="s">
        <v>28</v>
      </c>
      <c r="H273" s="19" t="s">
        <v>1283</v>
      </c>
      <c r="I273" s="19" t="s">
        <v>105</v>
      </c>
      <c r="J273" s="19" t="s">
        <v>106</v>
      </c>
      <c r="K273" s="19" t="s">
        <v>122</v>
      </c>
      <c r="L273" s="19" t="s">
        <v>227</v>
      </c>
      <c r="M273" s="19">
        <v>13</v>
      </c>
      <c r="N273" s="19">
        <v>20</v>
      </c>
      <c r="O273" s="19">
        <v>5</v>
      </c>
      <c r="P273" s="19">
        <v>247</v>
      </c>
      <c r="Q273" s="19">
        <v>3</v>
      </c>
      <c r="R273" s="19" t="s">
        <v>48</v>
      </c>
      <c r="S273" s="19" t="s">
        <v>115</v>
      </c>
      <c r="T273" s="19" t="s">
        <v>50</v>
      </c>
      <c r="U273" s="21" t="s">
        <v>1284</v>
      </c>
      <c r="V273" s="19" t="s">
        <v>64</v>
      </c>
      <c r="W273" s="15" t="str">
        <f t="shared" si="4"/>
        <v>Pending</v>
      </c>
    </row>
    <row r="274" spans="1:23" x14ac:dyDescent="0.3">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8" t="s">
        <v>1288</v>
      </c>
      <c r="V274" s="15" t="s">
        <v>69</v>
      </c>
      <c r="W274" s="15" t="str">
        <f t="shared" si="4"/>
        <v>Blacklisted</v>
      </c>
    </row>
    <row r="275" spans="1:23" x14ac:dyDescent="0.3">
      <c r="A275" s="19" t="s">
        <v>1289</v>
      </c>
      <c r="B275" s="19" t="s">
        <v>53</v>
      </c>
      <c r="C275" s="19" t="s">
        <v>222</v>
      </c>
      <c r="D275" s="19" t="s">
        <v>1290</v>
      </c>
      <c r="E275" s="19" t="s">
        <v>965</v>
      </c>
      <c r="F275" s="19" t="s">
        <v>163</v>
      </c>
      <c r="G275" s="19" t="s">
        <v>28</v>
      </c>
      <c r="H275" s="19" t="s">
        <v>1291</v>
      </c>
      <c r="I275" s="19" t="s">
        <v>114</v>
      </c>
      <c r="J275" s="19" t="s">
        <v>106</v>
      </c>
      <c r="K275" s="19" t="s">
        <v>122</v>
      </c>
      <c r="L275" s="19" t="s">
        <v>227</v>
      </c>
      <c r="M275" s="19">
        <v>5</v>
      </c>
      <c r="N275" s="19">
        <v>20</v>
      </c>
      <c r="O275" s="19">
        <v>5</v>
      </c>
      <c r="P275" s="19">
        <v>95</v>
      </c>
      <c r="Q275" s="19">
        <v>2</v>
      </c>
      <c r="R275" s="19" t="s">
        <v>48</v>
      </c>
      <c r="S275" s="19" t="s">
        <v>49</v>
      </c>
      <c r="T275" s="19" t="s">
        <v>62</v>
      </c>
      <c r="U275" s="21" t="s">
        <v>1292</v>
      </c>
      <c r="V275" s="19" t="s">
        <v>64</v>
      </c>
      <c r="W275" s="15" t="str">
        <f t="shared" si="4"/>
        <v>Blacklisted</v>
      </c>
    </row>
    <row r="276" spans="1:23" x14ac:dyDescent="0.3">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8" t="s">
        <v>1296</v>
      </c>
      <c r="V276" s="15" t="s">
        <v>69</v>
      </c>
      <c r="W276" s="15" t="str">
        <f t="shared" si="4"/>
        <v>Blacklisted</v>
      </c>
    </row>
    <row r="277" spans="1:23" x14ac:dyDescent="0.3">
      <c r="A277" s="19" t="s">
        <v>1297</v>
      </c>
      <c r="B277" s="19" t="s">
        <v>100</v>
      </c>
      <c r="C277" s="19" t="s">
        <v>259</v>
      </c>
      <c r="D277" s="19" t="s">
        <v>1298</v>
      </c>
      <c r="E277" s="19" t="s">
        <v>366</v>
      </c>
      <c r="F277" s="19" t="s">
        <v>103</v>
      </c>
      <c r="G277" s="19" t="s">
        <v>28</v>
      </c>
      <c r="H277" s="19" t="s">
        <v>1299</v>
      </c>
      <c r="I277" s="19" t="s">
        <v>138</v>
      </c>
      <c r="J277" s="19" t="s">
        <v>106</v>
      </c>
      <c r="K277" s="19" t="s">
        <v>122</v>
      </c>
      <c r="L277" s="19" t="s">
        <v>263</v>
      </c>
      <c r="M277" s="19">
        <v>17</v>
      </c>
      <c r="N277" s="19">
        <v>45</v>
      </c>
      <c r="O277" s="19">
        <v>5</v>
      </c>
      <c r="P277" s="19">
        <v>726.75</v>
      </c>
      <c r="Q277" s="19">
        <v>4</v>
      </c>
      <c r="R277" s="19" t="s">
        <v>34</v>
      </c>
      <c r="S277" s="19" t="s">
        <v>115</v>
      </c>
      <c r="T277" s="19" t="s">
        <v>144</v>
      </c>
      <c r="U277" s="21" t="s">
        <v>1300</v>
      </c>
      <c r="V277" s="19" t="s">
        <v>64</v>
      </c>
      <c r="W277" s="15" t="str">
        <f t="shared" si="4"/>
        <v>Pending</v>
      </c>
    </row>
    <row r="278" spans="1:23" x14ac:dyDescent="0.3">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8" t="s">
        <v>1304</v>
      </c>
      <c r="V278" s="15" t="s">
        <v>64</v>
      </c>
      <c r="W278" s="15" t="str">
        <f t="shared" si="4"/>
        <v>Pending</v>
      </c>
    </row>
    <row r="279" spans="1:23" x14ac:dyDescent="0.3">
      <c r="A279" s="19" t="s">
        <v>1305</v>
      </c>
      <c r="B279" s="19" t="s">
        <v>168</v>
      </c>
      <c r="C279" s="19" t="s">
        <v>24</v>
      </c>
      <c r="D279" s="19" t="s">
        <v>1306</v>
      </c>
      <c r="E279" s="19" t="s">
        <v>1307</v>
      </c>
      <c r="F279" s="19" t="s">
        <v>361</v>
      </c>
      <c r="G279" s="19" t="s">
        <v>28</v>
      </c>
      <c r="H279" s="19" t="s">
        <v>1308</v>
      </c>
      <c r="I279" s="19" t="s">
        <v>105</v>
      </c>
      <c r="J279" s="19" t="s">
        <v>106</v>
      </c>
      <c r="K279" s="19" t="s">
        <v>32</v>
      </c>
      <c r="L279" s="19" t="s">
        <v>33</v>
      </c>
      <c r="M279" s="19">
        <v>15</v>
      </c>
      <c r="N279" s="19">
        <v>2200</v>
      </c>
      <c r="O279" s="19">
        <v>10</v>
      </c>
      <c r="P279" s="19">
        <v>29700</v>
      </c>
      <c r="Q279" s="19">
        <v>5</v>
      </c>
      <c r="R279" s="19" t="s">
        <v>88</v>
      </c>
      <c r="S279" s="19" t="s">
        <v>151</v>
      </c>
      <c r="T279" s="19" t="s">
        <v>175</v>
      </c>
      <c r="U279" s="21" t="s">
        <v>1309</v>
      </c>
      <c r="V279" s="19" t="s">
        <v>38</v>
      </c>
      <c r="W279" s="15" t="str">
        <f t="shared" si="4"/>
        <v>Silver</v>
      </c>
    </row>
    <row r="280" spans="1:23" x14ac:dyDescent="0.3">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8" t="s">
        <v>1313</v>
      </c>
      <c r="V280" s="15" t="s">
        <v>69</v>
      </c>
      <c r="W280" s="15" t="str">
        <f t="shared" si="4"/>
        <v>Blacklisted</v>
      </c>
    </row>
    <row r="281" spans="1:23" x14ac:dyDescent="0.3">
      <c r="A281" s="19" t="s">
        <v>1314</v>
      </c>
      <c r="B281" s="19" t="s">
        <v>251</v>
      </c>
      <c r="C281" s="19" t="s">
        <v>92</v>
      </c>
      <c r="D281" s="19" t="s">
        <v>872</v>
      </c>
      <c r="E281" s="19" t="s">
        <v>1315</v>
      </c>
      <c r="F281" s="19" t="s">
        <v>254</v>
      </c>
      <c r="G281" s="19" t="s">
        <v>28</v>
      </c>
      <c r="H281" s="19" t="s">
        <v>1316</v>
      </c>
      <c r="I281" s="19" t="s">
        <v>138</v>
      </c>
      <c r="J281" s="19" t="s">
        <v>106</v>
      </c>
      <c r="K281" s="19" t="s">
        <v>32</v>
      </c>
      <c r="L281" s="19" t="s">
        <v>97</v>
      </c>
      <c r="M281" s="19">
        <v>10</v>
      </c>
      <c r="N281" s="19">
        <v>3500</v>
      </c>
      <c r="O281" s="19">
        <v>10</v>
      </c>
      <c r="P281" s="19">
        <v>31500</v>
      </c>
      <c r="Q281" s="19">
        <v>4</v>
      </c>
      <c r="R281" s="19" t="s">
        <v>48</v>
      </c>
      <c r="S281" s="19" t="s">
        <v>35</v>
      </c>
      <c r="T281" s="19" t="s">
        <v>256</v>
      </c>
      <c r="U281" s="21" t="s">
        <v>1317</v>
      </c>
      <c r="V281" s="19" t="s">
        <v>69</v>
      </c>
      <c r="W281" s="15" t="str">
        <f t="shared" si="4"/>
        <v>Blacklisted</v>
      </c>
    </row>
    <row r="282" spans="1:23" x14ac:dyDescent="0.3">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8" t="s">
        <v>1322</v>
      </c>
      <c r="V282" s="15" t="s">
        <v>64</v>
      </c>
      <c r="W282" s="15" t="str">
        <f t="shared" si="4"/>
        <v>Blacklisted</v>
      </c>
    </row>
    <row r="283" spans="1:23" x14ac:dyDescent="0.3">
      <c r="A283" s="19" t="s">
        <v>1323</v>
      </c>
      <c r="B283" s="19" t="s">
        <v>251</v>
      </c>
      <c r="C283" s="19" t="s">
        <v>40</v>
      </c>
      <c r="D283" s="19" t="s">
        <v>1324</v>
      </c>
      <c r="E283" s="19" t="s">
        <v>25</v>
      </c>
      <c r="F283" s="19" t="s">
        <v>254</v>
      </c>
      <c r="G283" s="19" t="s">
        <v>28</v>
      </c>
      <c r="H283" s="19" t="s">
        <v>1325</v>
      </c>
      <c r="I283" s="19" t="s">
        <v>212</v>
      </c>
      <c r="J283" s="19" t="s">
        <v>45</v>
      </c>
      <c r="K283" s="19" t="s">
        <v>46</v>
      </c>
      <c r="L283" s="19" t="s">
        <v>47</v>
      </c>
      <c r="M283" s="19">
        <v>1</v>
      </c>
      <c r="N283" s="19">
        <v>12000</v>
      </c>
      <c r="O283" s="19">
        <v>0</v>
      </c>
      <c r="P283" s="19">
        <v>12000</v>
      </c>
      <c r="Q283" s="19">
        <v>4</v>
      </c>
      <c r="R283" s="19" t="s">
        <v>48</v>
      </c>
      <c r="S283" s="19" t="s">
        <v>115</v>
      </c>
      <c r="T283" s="19" t="s">
        <v>256</v>
      </c>
      <c r="U283" s="21" t="s">
        <v>1326</v>
      </c>
      <c r="V283" s="19" t="s">
        <v>69</v>
      </c>
      <c r="W283" s="15" t="str">
        <f t="shared" si="4"/>
        <v>Blacklisted</v>
      </c>
    </row>
    <row r="284" spans="1:23" x14ac:dyDescent="0.3">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8" t="s">
        <v>1330</v>
      </c>
      <c r="V284" s="15" t="s">
        <v>64</v>
      </c>
      <c r="W284" s="15" t="str">
        <f t="shared" si="4"/>
        <v>Blacklisted</v>
      </c>
    </row>
    <row r="285" spans="1:23" x14ac:dyDescent="0.3">
      <c r="A285" s="19" t="s">
        <v>1331</v>
      </c>
      <c r="B285" s="19" t="s">
        <v>71</v>
      </c>
      <c r="C285" s="19" t="s">
        <v>24</v>
      </c>
      <c r="D285" s="19" t="s">
        <v>923</v>
      </c>
      <c r="E285" s="19" t="s">
        <v>1332</v>
      </c>
      <c r="F285" s="19" t="s">
        <v>217</v>
      </c>
      <c r="G285" s="19" t="s">
        <v>76</v>
      </c>
      <c r="H285" s="19" t="s">
        <v>1333</v>
      </c>
      <c r="I285" s="19" t="s">
        <v>138</v>
      </c>
      <c r="J285" s="19" t="s">
        <v>106</v>
      </c>
      <c r="K285" s="19" t="s">
        <v>32</v>
      </c>
      <c r="L285" s="19" t="s">
        <v>33</v>
      </c>
      <c r="M285" s="19">
        <v>3</v>
      </c>
      <c r="N285" s="19">
        <v>2200</v>
      </c>
      <c r="O285" s="19">
        <v>0</v>
      </c>
      <c r="P285" s="19">
        <v>6600</v>
      </c>
      <c r="Q285" s="19">
        <v>4</v>
      </c>
      <c r="R285" s="19" t="s">
        <v>79</v>
      </c>
      <c r="S285" s="19" t="s">
        <v>35</v>
      </c>
      <c r="T285" s="19" t="s">
        <v>80</v>
      </c>
      <c r="U285" s="21" t="s">
        <v>1334</v>
      </c>
      <c r="V285" s="19" t="s">
        <v>38</v>
      </c>
      <c r="W285" s="15" t="str">
        <f t="shared" si="4"/>
        <v>Silver</v>
      </c>
    </row>
    <row r="286" spans="1:23" x14ac:dyDescent="0.3">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8" t="s">
        <v>1337</v>
      </c>
      <c r="V286" s="15" t="s">
        <v>38</v>
      </c>
      <c r="W286" s="15" t="str">
        <f t="shared" si="4"/>
        <v>Blacklisted</v>
      </c>
    </row>
    <row r="287" spans="1:23" x14ac:dyDescent="0.3">
      <c r="A287" s="19" t="s">
        <v>1338</v>
      </c>
      <c r="B287" s="19" t="s">
        <v>251</v>
      </c>
      <c r="C287" s="19" t="s">
        <v>72</v>
      </c>
      <c r="D287" s="19" t="s">
        <v>26</v>
      </c>
      <c r="E287" s="19" t="s">
        <v>1339</v>
      </c>
      <c r="F287" s="19" t="s">
        <v>254</v>
      </c>
      <c r="G287" s="19" t="s">
        <v>28</v>
      </c>
      <c r="H287" s="19" t="s">
        <v>1340</v>
      </c>
      <c r="I287" s="19" t="s">
        <v>59</v>
      </c>
      <c r="J287" s="19" t="s">
        <v>31</v>
      </c>
      <c r="K287" s="19" t="s">
        <v>46</v>
      </c>
      <c r="L287" s="19" t="s">
        <v>78</v>
      </c>
      <c r="M287" s="19">
        <v>2</v>
      </c>
      <c r="N287" s="19">
        <v>1200</v>
      </c>
      <c r="O287" s="19">
        <v>0</v>
      </c>
      <c r="P287" s="19">
        <v>2400</v>
      </c>
      <c r="Q287" s="19">
        <v>1</v>
      </c>
      <c r="R287" s="19" t="s">
        <v>34</v>
      </c>
      <c r="S287" s="19" t="s">
        <v>151</v>
      </c>
      <c r="T287" s="19" t="s">
        <v>256</v>
      </c>
      <c r="U287" s="21" t="s">
        <v>1341</v>
      </c>
      <c r="V287" s="19" t="s">
        <v>69</v>
      </c>
      <c r="W287" s="15" t="str">
        <f t="shared" si="4"/>
        <v>Blacklisted</v>
      </c>
    </row>
    <row r="288" spans="1:23" x14ac:dyDescent="0.3">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8" t="s">
        <v>1346</v>
      </c>
      <c r="V288" s="15" t="s">
        <v>64</v>
      </c>
      <c r="W288" s="15" t="str">
        <f t="shared" si="4"/>
        <v>Pending</v>
      </c>
    </row>
    <row r="289" spans="1:23" x14ac:dyDescent="0.3">
      <c r="A289" s="19" t="s">
        <v>1347</v>
      </c>
      <c r="B289" s="19" t="s">
        <v>100</v>
      </c>
      <c r="C289" s="19" t="s">
        <v>222</v>
      </c>
      <c r="D289" s="19" t="s">
        <v>291</v>
      </c>
      <c r="E289" s="19" t="s">
        <v>507</v>
      </c>
      <c r="F289" s="19" t="s">
        <v>103</v>
      </c>
      <c r="G289" s="19" t="s">
        <v>28</v>
      </c>
      <c r="H289" s="19" t="s">
        <v>1348</v>
      </c>
      <c r="I289" s="19" t="s">
        <v>105</v>
      </c>
      <c r="J289" s="19" t="s">
        <v>106</v>
      </c>
      <c r="K289" s="19" t="s">
        <v>122</v>
      </c>
      <c r="L289" s="19" t="s">
        <v>227</v>
      </c>
      <c r="M289" s="19">
        <v>13</v>
      </c>
      <c r="N289" s="19">
        <v>20</v>
      </c>
      <c r="O289" s="19">
        <v>5</v>
      </c>
      <c r="P289" s="19">
        <v>247</v>
      </c>
      <c r="Q289" s="19">
        <v>1</v>
      </c>
      <c r="R289" s="19" t="s">
        <v>79</v>
      </c>
      <c r="S289" s="19" t="s">
        <v>35</v>
      </c>
      <c r="T289" s="19" t="s">
        <v>1349</v>
      </c>
      <c r="U289" s="21" t="s">
        <v>1350</v>
      </c>
      <c r="V289" s="19" t="s">
        <v>64</v>
      </c>
      <c r="W289" s="15" t="str">
        <f t="shared" si="4"/>
        <v>Blacklisted</v>
      </c>
    </row>
    <row r="290" spans="1:23" x14ac:dyDescent="0.3">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8" t="s">
        <v>1353</v>
      </c>
      <c r="V290" s="15" t="s">
        <v>69</v>
      </c>
      <c r="W290" s="15" t="str">
        <f t="shared" si="4"/>
        <v>Blacklisted</v>
      </c>
    </row>
    <row r="291" spans="1:23" x14ac:dyDescent="0.3">
      <c r="A291" s="19" t="s">
        <v>1354</v>
      </c>
      <c r="B291" s="19" t="s">
        <v>71</v>
      </c>
      <c r="C291" s="19" t="s">
        <v>118</v>
      </c>
      <c r="D291" s="19" t="s">
        <v>450</v>
      </c>
      <c r="E291" s="19" t="s">
        <v>923</v>
      </c>
      <c r="F291" s="19" t="s">
        <v>217</v>
      </c>
      <c r="G291" s="19" t="s">
        <v>76</v>
      </c>
      <c r="H291" s="19" t="s">
        <v>1355</v>
      </c>
      <c r="I291" s="19" t="s">
        <v>114</v>
      </c>
      <c r="J291" s="19" t="s">
        <v>106</v>
      </c>
      <c r="K291" s="19" t="s">
        <v>122</v>
      </c>
      <c r="L291" s="19" t="s">
        <v>123</v>
      </c>
      <c r="M291" s="19">
        <v>3</v>
      </c>
      <c r="N291" s="19">
        <v>60</v>
      </c>
      <c r="O291" s="19">
        <v>15</v>
      </c>
      <c r="P291" s="19">
        <v>153</v>
      </c>
      <c r="Q291" s="19">
        <v>4</v>
      </c>
      <c r="R291" s="19" t="s">
        <v>88</v>
      </c>
      <c r="S291" s="19" t="s">
        <v>115</v>
      </c>
      <c r="T291" s="19" t="s">
        <v>80</v>
      </c>
      <c r="U291" s="21" t="s">
        <v>1356</v>
      </c>
      <c r="V291" s="19" t="s">
        <v>38</v>
      </c>
      <c r="W291" s="15" t="str">
        <f t="shared" si="4"/>
        <v>Silver</v>
      </c>
    </row>
    <row r="292" spans="1:23" x14ac:dyDescent="0.3">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8" t="s">
        <v>1358</v>
      </c>
      <c r="V292" s="15" t="s">
        <v>64</v>
      </c>
      <c r="W292" s="15" t="str">
        <f t="shared" si="4"/>
        <v>Blacklisted</v>
      </c>
    </row>
    <row r="293" spans="1:23" x14ac:dyDescent="0.3">
      <c r="A293" s="19" t="s">
        <v>1359</v>
      </c>
      <c r="B293" s="19" t="s">
        <v>327</v>
      </c>
      <c r="C293" s="19" t="s">
        <v>72</v>
      </c>
      <c r="D293" s="19" t="s">
        <v>120</v>
      </c>
      <c r="E293" s="19" t="s">
        <v>1360</v>
      </c>
      <c r="F293" s="19" t="s">
        <v>394</v>
      </c>
      <c r="G293" s="19" t="s">
        <v>76</v>
      </c>
      <c r="H293" s="19" t="s">
        <v>1361</v>
      </c>
      <c r="I293" s="19" t="s">
        <v>212</v>
      </c>
      <c r="J293" s="19" t="s">
        <v>45</v>
      </c>
      <c r="K293" s="19" t="s">
        <v>46</v>
      </c>
      <c r="L293" s="19" t="s">
        <v>78</v>
      </c>
      <c r="M293" s="19">
        <v>5</v>
      </c>
      <c r="N293" s="19">
        <v>1200</v>
      </c>
      <c r="O293" s="19">
        <v>20</v>
      </c>
      <c r="P293" s="19">
        <v>4800</v>
      </c>
      <c r="Q293" s="19">
        <v>2</v>
      </c>
      <c r="R293" s="19" t="s">
        <v>88</v>
      </c>
      <c r="S293" s="19" t="s">
        <v>115</v>
      </c>
      <c r="T293" s="19" t="s">
        <v>332</v>
      </c>
      <c r="U293" s="21" t="s">
        <v>1362</v>
      </c>
      <c r="V293" s="19" t="s">
        <v>64</v>
      </c>
      <c r="W293" s="15" t="str">
        <f t="shared" si="4"/>
        <v>Blacklisted</v>
      </c>
    </row>
    <row r="294" spans="1:23" x14ac:dyDescent="0.3">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7" t="s">
        <v>1365</v>
      </c>
      <c r="U294" s="18" t="s">
        <v>1366</v>
      </c>
      <c r="V294" s="15" t="s">
        <v>38</v>
      </c>
      <c r="W294" s="15" t="str">
        <f t="shared" si="4"/>
        <v>Silver</v>
      </c>
    </row>
    <row r="295" spans="1:23" x14ac:dyDescent="0.3">
      <c r="A295" s="19" t="s">
        <v>1367</v>
      </c>
      <c r="B295" s="19" t="s">
        <v>23</v>
      </c>
      <c r="C295" s="19" t="s">
        <v>72</v>
      </c>
      <c r="D295" s="19" t="s">
        <v>1368</v>
      </c>
      <c r="E295" s="19" t="s">
        <v>1369</v>
      </c>
      <c r="F295" s="19" t="s">
        <v>27</v>
      </c>
      <c r="G295" s="19" t="s">
        <v>28</v>
      </c>
      <c r="H295" s="19" t="s">
        <v>1370</v>
      </c>
      <c r="I295" s="19" t="s">
        <v>138</v>
      </c>
      <c r="J295" s="19" t="s">
        <v>106</v>
      </c>
      <c r="K295" s="19" t="s">
        <v>46</v>
      </c>
      <c r="L295" s="19" t="s">
        <v>78</v>
      </c>
      <c r="M295" s="19">
        <v>5</v>
      </c>
      <c r="N295" s="19">
        <v>1200</v>
      </c>
      <c r="O295" s="19">
        <v>20</v>
      </c>
      <c r="P295" s="19">
        <v>4800</v>
      </c>
      <c r="Q295" s="19">
        <v>3</v>
      </c>
      <c r="R295" s="19" t="s">
        <v>48</v>
      </c>
      <c r="S295" s="19" t="s">
        <v>151</v>
      </c>
      <c r="T295" s="19" t="s">
        <v>50</v>
      </c>
      <c r="U295" s="21" t="s">
        <v>1371</v>
      </c>
      <c r="V295" s="19" t="s">
        <v>38</v>
      </c>
      <c r="W295" s="15" t="str">
        <f t="shared" si="4"/>
        <v>Silver</v>
      </c>
    </row>
    <row r="296" spans="1:23" x14ac:dyDescent="0.3">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8" t="s">
        <v>1376</v>
      </c>
      <c r="V296" s="15" t="s">
        <v>64</v>
      </c>
      <c r="W296" s="15" t="str">
        <f t="shared" si="4"/>
        <v>Pending</v>
      </c>
    </row>
    <row r="297" spans="1:23" x14ac:dyDescent="0.3">
      <c r="A297" s="19" t="s">
        <v>1377</v>
      </c>
      <c r="B297" s="19" t="s">
        <v>100</v>
      </c>
      <c r="C297" s="19" t="s">
        <v>118</v>
      </c>
      <c r="D297" s="19" t="s">
        <v>1378</v>
      </c>
      <c r="E297" s="19" t="s">
        <v>1379</v>
      </c>
      <c r="F297" s="19" t="s">
        <v>103</v>
      </c>
      <c r="G297" s="19" t="s">
        <v>28</v>
      </c>
      <c r="H297" s="19" t="s">
        <v>1380</v>
      </c>
      <c r="I297" s="19" t="s">
        <v>44</v>
      </c>
      <c r="J297" s="19" t="s">
        <v>45</v>
      </c>
      <c r="K297" s="19" t="s">
        <v>122</v>
      </c>
      <c r="L297" s="19" t="s">
        <v>123</v>
      </c>
      <c r="M297" s="19">
        <v>20</v>
      </c>
      <c r="N297" s="19">
        <v>60</v>
      </c>
      <c r="O297" s="19">
        <v>15</v>
      </c>
      <c r="P297" s="19">
        <v>1020</v>
      </c>
      <c r="Q297" s="19">
        <v>5</v>
      </c>
      <c r="R297" s="19" t="s">
        <v>79</v>
      </c>
      <c r="S297" s="19" t="s">
        <v>35</v>
      </c>
      <c r="T297" s="19" t="s">
        <v>144</v>
      </c>
      <c r="U297" s="21" t="s">
        <v>1381</v>
      </c>
      <c r="V297" s="19" t="s">
        <v>64</v>
      </c>
      <c r="W297" s="15" t="str">
        <f t="shared" si="4"/>
        <v>Pending</v>
      </c>
    </row>
    <row r="298" spans="1:23" x14ac:dyDescent="0.3">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8" t="s">
        <v>1384</v>
      </c>
      <c r="V298" s="15" t="s">
        <v>69</v>
      </c>
      <c r="W298" s="15" t="str">
        <f t="shared" si="4"/>
        <v>Blacklisted</v>
      </c>
    </row>
    <row r="299" spans="1:23" x14ac:dyDescent="0.3">
      <c r="A299" s="19" t="s">
        <v>1385</v>
      </c>
      <c r="B299" s="19" t="s">
        <v>127</v>
      </c>
      <c r="C299" s="19" t="s">
        <v>54</v>
      </c>
      <c r="D299" s="19" t="s">
        <v>619</v>
      </c>
      <c r="E299" s="19" t="s">
        <v>760</v>
      </c>
      <c r="F299" s="19" t="s">
        <v>200</v>
      </c>
      <c r="G299" s="19" t="s">
        <v>76</v>
      </c>
      <c r="H299" s="19" t="s">
        <v>1386</v>
      </c>
      <c r="I299" s="19" t="s">
        <v>30</v>
      </c>
      <c r="J299" s="19" t="s">
        <v>31</v>
      </c>
      <c r="K299" s="19" t="s">
        <v>46</v>
      </c>
      <c r="L299" s="19" t="s">
        <v>60</v>
      </c>
      <c r="M299" s="19">
        <v>11</v>
      </c>
      <c r="N299" s="19">
        <v>55000</v>
      </c>
      <c r="O299" s="19">
        <v>5</v>
      </c>
      <c r="P299" s="19">
        <v>574750</v>
      </c>
      <c r="Q299" s="19">
        <v>1</v>
      </c>
      <c r="R299" s="19" t="s">
        <v>88</v>
      </c>
      <c r="S299" s="19" t="s">
        <v>35</v>
      </c>
      <c r="T299" s="19" t="s">
        <v>132</v>
      </c>
      <c r="U299" s="21" t="s">
        <v>1387</v>
      </c>
      <c r="V299" s="19" t="s">
        <v>69</v>
      </c>
      <c r="W299" s="15" t="str">
        <f t="shared" si="4"/>
        <v>Blacklisted</v>
      </c>
    </row>
    <row r="300" spans="1:23" x14ac:dyDescent="0.3">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8" t="s">
        <v>1391</v>
      </c>
      <c r="V300" s="15" t="s">
        <v>64</v>
      </c>
      <c r="W300" s="15" t="str">
        <f t="shared" si="4"/>
        <v>Blacklisted</v>
      </c>
    </row>
    <row r="301" spans="1:23" x14ac:dyDescent="0.3">
      <c r="A301" s="19" t="s">
        <v>1392</v>
      </c>
      <c r="B301" s="19" t="s">
        <v>71</v>
      </c>
      <c r="C301" s="19" t="s">
        <v>259</v>
      </c>
      <c r="D301" s="19" t="s">
        <v>94</v>
      </c>
      <c r="E301" s="19" t="s">
        <v>298</v>
      </c>
      <c r="F301" s="19" t="s">
        <v>217</v>
      </c>
      <c r="G301" s="19" t="s">
        <v>76</v>
      </c>
      <c r="H301" s="19" t="s">
        <v>1393</v>
      </c>
      <c r="I301" s="19" t="s">
        <v>30</v>
      </c>
      <c r="J301" s="19" t="s">
        <v>31</v>
      </c>
      <c r="K301" s="19" t="s">
        <v>122</v>
      </c>
      <c r="L301" s="19" t="s">
        <v>263</v>
      </c>
      <c r="M301" s="19">
        <v>15</v>
      </c>
      <c r="N301" s="19">
        <v>45</v>
      </c>
      <c r="O301" s="19">
        <v>10</v>
      </c>
      <c r="P301" s="19">
        <v>607.5</v>
      </c>
      <c r="Q301" s="19">
        <v>2</v>
      </c>
      <c r="R301" s="19" t="s">
        <v>34</v>
      </c>
      <c r="S301" s="19" t="s">
        <v>151</v>
      </c>
      <c r="T301" s="19" t="s">
        <v>80</v>
      </c>
      <c r="U301" s="21" t="s">
        <v>1394</v>
      </c>
      <c r="V301" s="19" t="s">
        <v>64</v>
      </c>
      <c r="W301" s="15" t="str">
        <f t="shared" si="4"/>
        <v>Blacklisted</v>
      </c>
    </row>
    <row r="302" spans="1:23" x14ac:dyDescent="0.3">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8" t="s">
        <v>1397</v>
      </c>
      <c r="V302" s="15" t="s">
        <v>64</v>
      </c>
      <c r="W302" s="15" t="str">
        <f t="shared" si="4"/>
        <v>Pending</v>
      </c>
    </row>
    <row r="303" spans="1:23" x14ac:dyDescent="0.3">
      <c r="A303" s="19" t="s">
        <v>1398</v>
      </c>
      <c r="B303" s="19" t="s">
        <v>127</v>
      </c>
      <c r="C303" s="19" t="s">
        <v>54</v>
      </c>
      <c r="D303" s="19" t="s">
        <v>711</v>
      </c>
      <c r="E303" s="19" t="s">
        <v>1199</v>
      </c>
      <c r="F303" s="19" t="s">
        <v>200</v>
      </c>
      <c r="G303" s="19" t="s">
        <v>76</v>
      </c>
      <c r="H303" s="19" t="s">
        <v>1399</v>
      </c>
      <c r="I303" s="19" t="s">
        <v>59</v>
      </c>
      <c r="J303" s="19" t="s">
        <v>31</v>
      </c>
      <c r="K303" s="19" t="s">
        <v>46</v>
      </c>
      <c r="L303" s="19" t="s">
        <v>60</v>
      </c>
      <c r="M303" s="19">
        <v>8</v>
      </c>
      <c r="N303" s="19">
        <v>55000</v>
      </c>
      <c r="O303" s="19">
        <v>0</v>
      </c>
      <c r="P303" s="19">
        <v>440000</v>
      </c>
      <c r="Q303" s="19">
        <v>2</v>
      </c>
      <c r="R303" s="19" t="s">
        <v>88</v>
      </c>
      <c r="S303" s="19" t="s">
        <v>151</v>
      </c>
      <c r="T303" s="19" t="s">
        <v>132</v>
      </c>
      <c r="U303" s="21" t="s">
        <v>1400</v>
      </c>
      <c r="V303" s="19" t="s">
        <v>69</v>
      </c>
      <c r="W303" s="15" t="str">
        <f t="shared" si="4"/>
        <v>Blacklisted</v>
      </c>
    </row>
    <row r="304" spans="1:23" x14ac:dyDescent="0.3">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8" t="s">
        <v>1403</v>
      </c>
      <c r="V304" s="15" t="s">
        <v>64</v>
      </c>
      <c r="W304" s="15" t="str">
        <f t="shared" si="4"/>
        <v>Pending</v>
      </c>
    </row>
    <row r="305" spans="1:23" x14ac:dyDescent="0.3">
      <c r="A305" s="19" t="s">
        <v>1404</v>
      </c>
      <c r="B305" s="19" t="s">
        <v>23</v>
      </c>
      <c r="C305" s="19" t="s">
        <v>92</v>
      </c>
      <c r="D305" s="19" t="s">
        <v>1405</v>
      </c>
      <c r="E305" s="19" t="s">
        <v>716</v>
      </c>
      <c r="F305" s="19" t="s">
        <v>27</v>
      </c>
      <c r="G305" s="19" t="s">
        <v>28</v>
      </c>
      <c r="H305" s="19" t="s">
        <v>1406</v>
      </c>
      <c r="I305" s="19" t="s">
        <v>138</v>
      </c>
      <c r="J305" s="19" t="s">
        <v>106</v>
      </c>
      <c r="K305" s="19" t="s">
        <v>32</v>
      </c>
      <c r="L305" s="19" t="s">
        <v>97</v>
      </c>
      <c r="M305" s="19">
        <v>19</v>
      </c>
      <c r="N305" s="19">
        <v>3500</v>
      </c>
      <c r="O305" s="19">
        <v>5</v>
      </c>
      <c r="P305" s="19">
        <v>63175</v>
      </c>
      <c r="Q305" s="19">
        <v>1</v>
      </c>
      <c r="R305" s="19" t="s">
        <v>79</v>
      </c>
      <c r="S305" s="19" t="s">
        <v>115</v>
      </c>
      <c r="T305" s="19" t="s">
        <v>50</v>
      </c>
      <c r="U305" s="21" t="s">
        <v>1407</v>
      </c>
      <c r="V305" s="19" t="s">
        <v>38</v>
      </c>
      <c r="W305" s="15" t="str">
        <f t="shared" si="4"/>
        <v>Blacklisted</v>
      </c>
    </row>
    <row r="306" spans="1:23" x14ac:dyDescent="0.3">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8" t="s">
        <v>1411</v>
      </c>
      <c r="V306" s="15" t="s">
        <v>38</v>
      </c>
      <c r="W306" s="15" t="str">
        <f t="shared" si="4"/>
        <v>Blacklisted</v>
      </c>
    </row>
    <row r="307" spans="1:23" x14ac:dyDescent="0.3">
      <c r="A307" s="19" t="s">
        <v>1412</v>
      </c>
      <c r="B307" s="19" t="s">
        <v>23</v>
      </c>
      <c r="C307" s="19" t="s">
        <v>24</v>
      </c>
      <c r="D307" s="19" t="s">
        <v>450</v>
      </c>
      <c r="E307" s="19" t="s">
        <v>736</v>
      </c>
      <c r="F307" s="19" t="s">
        <v>27</v>
      </c>
      <c r="G307" s="19" t="s">
        <v>28</v>
      </c>
      <c r="H307" s="19" t="s">
        <v>1413</v>
      </c>
      <c r="I307" s="19" t="s">
        <v>30</v>
      </c>
      <c r="J307" s="19" t="s">
        <v>31</v>
      </c>
      <c r="K307" s="19" t="s">
        <v>32</v>
      </c>
      <c r="L307" s="19" t="s">
        <v>33</v>
      </c>
      <c r="M307" s="19">
        <v>8</v>
      </c>
      <c r="N307" s="19">
        <v>2200</v>
      </c>
      <c r="O307" s="19">
        <v>5</v>
      </c>
      <c r="P307" s="19">
        <v>16720</v>
      </c>
      <c r="Q307" s="19">
        <v>3</v>
      </c>
      <c r="R307" s="19" t="s">
        <v>79</v>
      </c>
      <c r="S307" s="19" t="s">
        <v>115</v>
      </c>
      <c r="T307" s="19" t="s">
        <v>50</v>
      </c>
      <c r="U307" s="21" t="s">
        <v>1414</v>
      </c>
      <c r="V307" s="19" t="s">
        <v>64</v>
      </c>
      <c r="W307" s="15" t="str">
        <f t="shared" si="4"/>
        <v>Pending</v>
      </c>
    </row>
    <row r="308" spans="1:23" x14ac:dyDescent="0.3">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8" t="s">
        <v>1416</v>
      </c>
      <c r="V308" s="15" t="s">
        <v>38</v>
      </c>
      <c r="W308" s="15" t="str">
        <f t="shared" si="4"/>
        <v>Silver</v>
      </c>
    </row>
    <row r="309" spans="1:23" x14ac:dyDescent="0.3">
      <c r="A309" s="19" t="s">
        <v>1417</v>
      </c>
      <c r="B309" s="19" t="s">
        <v>251</v>
      </c>
      <c r="C309" s="19" t="s">
        <v>169</v>
      </c>
      <c r="D309" s="19" t="s">
        <v>372</v>
      </c>
      <c r="E309" s="19" t="s">
        <v>246</v>
      </c>
      <c r="F309" s="19" t="s">
        <v>254</v>
      </c>
      <c r="G309" s="19" t="s">
        <v>28</v>
      </c>
      <c r="H309" s="19" t="s">
        <v>1215</v>
      </c>
      <c r="I309" s="19" t="s">
        <v>114</v>
      </c>
      <c r="J309" s="19" t="s">
        <v>106</v>
      </c>
      <c r="K309" s="19" t="s">
        <v>32</v>
      </c>
      <c r="L309" s="19" t="s">
        <v>174</v>
      </c>
      <c r="M309" s="19">
        <v>6</v>
      </c>
      <c r="N309" s="19">
        <v>8500</v>
      </c>
      <c r="O309" s="19">
        <v>15</v>
      </c>
      <c r="P309" s="19">
        <v>43350</v>
      </c>
      <c r="Q309" s="19">
        <v>1</v>
      </c>
      <c r="R309" s="19" t="s">
        <v>34</v>
      </c>
      <c r="S309" s="19" t="s">
        <v>61</v>
      </c>
      <c r="T309" s="19" t="s">
        <v>256</v>
      </c>
      <c r="U309" s="21" t="s">
        <v>1418</v>
      </c>
      <c r="V309" s="19" t="s">
        <v>38</v>
      </c>
      <c r="W309" s="15" t="str">
        <f t="shared" si="4"/>
        <v>Blacklisted</v>
      </c>
    </row>
    <row r="310" spans="1:23" x14ac:dyDescent="0.3">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8" t="s">
        <v>1421</v>
      </c>
      <c r="V310" s="15" t="s">
        <v>38</v>
      </c>
      <c r="W310" s="15" t="str">
        <f t="shared" si="4"/>
        <v>Blacklisted</v>
      </c>
    </row>
    <row r="311" spans="1:23" x14ac:dyDescent="0.3">
      <c r="A311" s="19" t="s">
        <v>1422</v>
      </c>
      <c r="B311" s="19" t="s">
        <v>71</v>
      </c>
      <c r="C311" s="19" t="s">
        <v>40</v>
      </c>
      <c r="D311" s="19" t="s">
        <v>1378</v>
      </c>
      <c r="E311" s="19" t="s">
        <v>783</v>
      </c>
      <c r="F311" s="19" t="s">
        <v>217</v>
      </c>
      <c r="G311" s="19" t="s">
        <v>76</v>
      </c>
      <c r="H311" s="19" t="s">
        <v>1423</v>
      </c>
      <c r="I311" s="19" t="s">
        <v>138</v>
      </c>
      <c r="J311" s="19" t="s">
        <v>106</v>
      </c>
      <c r="K311" s="19" t="s">
        <v>46</v>
      </c>
      <c r="L311" s="19" t="s">
        <v>47</v>
      </c>
      <c r="M311" s="19">
        <v>2</v>
      </c>
      <c r="N311" s="19">
        <v>12000</v>
      </c>
      <c r="O311" s="19">
        <v>20</v>
      </c>
      <c r="P311" s="19">
        <v>19200</v>
      </c>
      <c r="Q311" s="19">
        <v>1</v>
      </c>
      <c r="R311" s="19" t="s">
        <v>79</v>
      </c>
      <c r="S311" s="19" t="s">
        <v>61</v>
      </c>
      <c r="T311" s="19" t="s">
        <v>80</v>
      </c>
      <c r="U311" s="21" t="s">
        <v>1424</v>
      </c>
      <c r="V311" s="19" t="s">
        <v>38</v>
      </c>
      <c r="W311" s="15" t="str">
        <f t="shared" si="4"/>
        <v>Blacklisted</v>
      </c>
    </row>
    <row r="312" spans="1:23" x14ac:dyDescent="0.3">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8" t="s">
        <v>1428</v>
      </c>
      <c r="V312" s="15" t="s">
        <v>38</v>
      </c>
      <c r="W312" s="15" t="str">
        <f t="shared" si="4"/>
        <v>Blacklisted</v>
      </c>
    </row>
    <row r="313" spans="1:23" x14ac:dyDescent="0.3">
      <c r="A313" s="19" t="s">
        <v>1429</v>
      </c>
      <c r="B313" s="19" t="s">
        <v>100</v>
      </c>
      <c r="C313" s="19" t="s">
        <v>40</v>
      </c>
      <c r="D313" s="19" t="s">
        <v>716</v>
      </c>
      <c r="E313" s="19" t="s">
        <v>1430</v>
      </c>
      <c r="F313" s="19" t="s">
        <v>103</v>
      </c>
      <c r="G313" s="19" t="s">
        <v>28</v>
      </c>
      <c r="H313" s="19" t="s">
        <v>1431</v>
      </c>
      <c r="I313" s="19" t="s">
        <v>294</v>
      </c>
      <c r="J313" s="19" t="s">
        <v>295</v>
      </c>
      <c r="K313" s="19" t="s">
        <v>46</v>
      </c>
      <c r="L313" s="19" t="s">
        <v>47</v>
      </c>
      <c r="M313" s="19">
        <v>20</v>
      </c>
      <c r="N313" s="19">
        <v>12000</v>
      </c>
      <c r="O313" s="19">
        <v>15</v>
      </c>
      <c r="P313" s="19">
        <v>204000</v>
      </c>
      <c r="Q313" s="19">
        <v>3</v>
      </c>
      <c r="R313" s="19" t="s">
        <v>34</v>
      </c>
      <c r="S313" s="19" t="s">
        <v>35</v>
      </c>
      <c r="T313" s="19" t="s">
        <v>144</v>
      </c>
      <c r="U313" s="21" t="s">
        <v>1432</v>
      </c>
      <c r="V313" s="19" t="s">
        <v>64</v>
      </c>
      <c r="W313" s="15" t="str">
        <f t="shared" si="4"/>
        <v>Pending</v>
      </c>
    </row>
    <row r="314" spans="1:23" x14ac:dyDescent="0.3">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8" t="s">
        <v>1435</v>
      </c>
      <c r="V314" s="15" t="s">
        <v>64</v>
      </c>
      <c r="W314" s="15" t="str">
        <f t="shared" si="4"/>
        <v>Pending</v>
      </c>
    </row>
    <row r="315" spans="1:23" x14ac:dyDescent="0.3">
      <c r="A315" s="19" t="s">
        <v>1436</v>
      </c>
      <c r="B315" s="19" t="s">
        <v>71</v>
      </c>
      <c r="C315" s="19" t="s">
        <v>54</v>
      </c>
      <c r="D315" s="19" t="s">
        <v>1437</v>
      </c>
      <c r="E315" s="19" t="s">
        <v>1294</v>
      </c>
      <c r="F315" s="19" t="s">
        <v>217</v>
      </c>
      <c r="G315" s="19" t="s">
        <v>76</v>
      </c>
      <c r="H315" s="19" t="s">
        <v>1438</v>
      </c>
      <c r="I315" s="19" t="s">
        <v>114</v>
      </c>
      <c r="J315" s="19" t="s">
        <v>106</v>
      </c>
      <c r="K315" s="19" t="s">
        <v>46</v>
      </c>
      <c r="L315" s="19" t="s">
        <v>60</v>
      </c>
      <c r="M315" s="19">
        <v>13</v>
      </c>
      <c r="N315" s="19">
        <v>55000</v>
      </c>
      <c r="O315" s="19">
        <v>5</v>
      </c>
      <c r="P315" s="19">
        <v>679250</v>
      </c>
      <c r="Q315" s="19">
        <v>1</v>
      </c>
      <c r="R315" s="19" t="s">
        <v>88</v>
      </c>
      <c r="S315" s="19" t="s">
        <v>151</v>
      </c>
      <c r="T315" s="19" t="s">
        <v>80</v>
      </c>
      <c r="U315" s="21" t="s">
        <v>1439</v>
      </c>
      <c r="V315" s="19" t="s">
        <v>64</v>
      </c>
      <c r="W315" s="15" t="str">
        <f t="shared" si="4"/>
        <v>Blacklisted</v>
      </c>
    </row>
    <row r="316" spans="1:23" x14ac:dyDescent="0.3">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8" t="s">
        <v>1442</v>
      </c>
      <c r="V316" s="15" t="s">
        <v>64</v>
      </c>
      <c r="W316" s="15" t="str">
        <f t="shared" si="4"/>
        <v>Pending</v>
      </c>
    </row>
    <row r="317" spans="1:23" x14ac:dyDescent="0.3">
      <c r="A317" s="19" t="s">
        <v>1443</v>
      </c>
      <c r="B317" s="19" t="s">
        <v>83</v>
      </c>
      <c r="C317" s="19" t="s">
        <v>40</v>
      </c>
      <c r="D317" s="19" t="s">
        <v>961</v>
      </c>
      <c r="E317" s="19" t="s">
        <v>1444</v>
      </c>
      <c r="F317" s="19" t="s">
        <v>180</v>
      </c>
      <c r="G317" s="19" t="s">
        <v>76</v>
      </c>
      <c r="H317" s="19" t="s">
        <v>1445</v>
      </c>
      <c r="I317" s="19" t="s">
        <v>212</v>
      </c>
      <c r="J317" s="19" t="s">
        <v>45</v>
      </c>
      <c r="K317" s="19" t="s">
        <v>46</v>
      </c>
      <c r="L317" s="19" t="s">
        <v>47</v>
      </c>
      <c r="M317" s="19">
        <v>17</v>
      </c>
      <c r="N317" s="19">
        <v>12000</v>
      </c>
      <c r="O317" s="19">
        <v>5</v>
      </c>
      <c r="P317" s="19">
        <v>193800</v>
      </c>
      <c r="Q317" s="19">
        <v>1</v>
      </c>
      <c r="R317" s="19" t="s">
        <v>34</v>
      </c>
      <c r="S317" s="19" t="s">
        <v>61</v>
      </c>
      <c r="T317" s="19" t="s">
        <v>89</v>
      </c>
      <c r="U317" s="21" t="s">
        <v>1446</v>
      </c>
      <c r="V317" s="19" t="s">
        <v>69</v>
      </c>
      <c r="W317" s="15" t="str">
        <f t="shared" si="4"/>
        <v>Blacklisted</v>
      </c>
    </row>
    <row r="318" spans="1:23" x14ac:dyDescent="0.3">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8" t="s">
        <v>1449</v>
      </c>
      <c r="V318" s="15" t="s">
        <v>69</v>
      </c>
      <c r="W318" s="15" t="str">
        <f t="shared" si="4"/>
        <v>Blacklisted</v>
      </c>
    </row>
    <row r="319" spans="1:23" x14ac:dyDescent="0.3">
      <c r="A319" s="19" t="s">
        <v>1450</v>
      </c>
      <c r="B319" s="19" t="s">
        <v>168</v>
      </c>
      <c r="C319" s="19" t="s">
        <v>24</v>
      </c>
      <c r="D319" s="19" t="s">
        <v>291</v>
      </c>
      <c r="E319" s="19" t="s">
        <v>1451</v>
      </c>
      <c r="F319" s="19" t="s">
        <v>361</v>
      </c>
      <c r="G319" s="19" t="s">
        <v>28</v>
      </c>
      <c r="H319" s="19" t="s">
        <v>1452</v>
      </c>
      <c r="I319" s="19" t="s">
        <v>44</v>
      </c>
      <c r="J319" s="19" t="s">
        <v>45</v>
      </c>
      <c r="K319" s="19" t="s">
        <v>32</v>
      </c>
      <c r="L319" s="19" t="s">
        <v>33</v>
      </c>
      <c r="M319" s="19">
        <v>11</v>
      </c>
      <c r="N319" s="19">
        <v>2200</v>
      </c>
      <c r="O319" s="19">
        <v>5</v>
      </c>
      <c r="P319" s="19">
        <v>22990</v>
      </c>
      <c r="Q319" s="19">
        <v>5</v>
      </c>
      <c r="R319" s="19" t="s">
        <v>79</v>
      </c>
      <c r="S319" s="19" t="s">
        <v>49</v>
      </c>
      <c r="T319" s="19" t="s">
        <v>175</v>
      </c>
      <c r="U319" s="21" t="s">
        <v>1453</v>
      </c>
      <c r="V319" s="19" t="s">
        <v>64</v>
      </c>
      <c r="W319" s="15" t="str">
        <f t="shared" si="4"/>
        <v>Pending</v>
      </c>
    </row>
    <row r="320" spans="1:23" x14ac:dyDescent="0.3">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8" t="s">
        <v>1456</v>
      </c>
      <c r="V320" s="15" t="s">
        <v>64</v>
      </c>
      <c r="W320" s="15" t="str">
        <f t="shared" si="4"/>
        <v>Pending</v>
      </c>
    </row>
    <row r="321" spans="1:23" x14ac:dyDescent="0.3">
      <c r="A321" s="19" t="s">
        <v>1457</v>
      </c>
      <c r="B321" s="19" t="s">
        <v>221</v>
      </c>
      <c r="C321" s="19" t="s">
        <v>259</v>
      </c>
      <c r="D321" s="19" t="s">
        <v>825</v>
      </c>
      <c r="E321" s="19" t="s">
        <v>119</v>
      </c>
      <c r="F321" s="19" t="s">
        <v>225</v>
      </c>
      <c r="G321" s="19" t="s">
        <v>76</v>
      </c>
      <c r="H321" s="19" t="s">
        <v>1458</v>
      </c>
      <c r="I321" s="19" t="s">
        <v>44</v>
      </c>
      <c r="J321" s="19" t="s">
        <v>45</v>
      </c>
      <c r="K321" s="19" t="s">
        <v>122</v>
      </c>
      <c r="L321" s="19" t="s">
        <v>263</v>
      </c>
      <c r="M321" s="19">
        <v>17</v>
      </c>
      <c r="N321" s="19">
        <v>45</v>
      </c>
      <c r="O321" s="19">
        <v>15</v>
      </c>
      <c r="P321" s="19">
        <v>650.25</v>
      </c>
      <c r="Q321" s="19">
        <v>2</v>
      </c>
      <c r="R321" s="19" t="s">
        <v>88</v>
      </c>
      <c r="S321" s="19" t="s">
        <v>151</v>
      </c>
      <c r="T321" s="19" t="s">
        <v>228</v>
      </c>
      <c r="U321" s="21" t="s">
        <v>1459</v>
      </c>
      <c r="V321" s="19" t="s">
        <v>38</v>
      </c>
      <c r="W321" s="15" t="str">
        <f t="shared" si="4"/>
        <v>Blacklisted</v>
      </c>
    </row>
    <row r="322" spans="1:23" x14ac:dyDescent="0.3">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8" t="s">
        <v>1463</v>
      </c>
      <c r="V322" s="15" t="s">
        <v>38</v>
      </c>
      <c r="W322" s="15" t="str">
        <f t="shared" si="4"/>
        <v>Blacklisted</v>
      </c>
    </row>
    <row r="323" spans="1:23" x14ac:dyDescent="0.3">
      <c r="A323" s="19" t="s">
        <v>1464</v>
      </c>
      <c r="B323" s="19" t="s">
        <v>83</v>
      </c>
      <c r="C323" s="19" t="s">
        <v>72</v>
      </c>
      <c r="D323" s="19" t="s">
        <v>1465</v>
      </c>
      <c r="E323" s="19" t="s">
        <v>948</v>
      </c>
      <c r="F323" s="19" t="s">
        <v>180</v>
      </c>
      <c r="G323" s="19" t="s">
        <v>76</v>
      </c>
      <c r="H323" s="19" t="s">
        <v>1466</v>
      </c>
      <c r="I323" s="19" t="s">
        <v>114</v>
      </c>
      <c r="J323" s="19" t="s">
        <v>106</v>
      </c>
      <c r="K323" s="19" t="s">
        <v>46</v>
      </c>
      <c r="L323" s="19" t="s">
        <v>78</v>
      </c>
      <c r="M323" s="19">
        <v>3</v>
      </c>
      <c r="N323" s="19">
        <v>1200</v>
      </c>
      <c r="O323" s="19">
        <v>5</v>
      </c>
      <c r="P323" s="19">
        <v>3420</v>
      </c>
      <c r="Q323" s="19">
        <v>3</v>
      </c>
      <c r="R323" s="19" t="s">
        <v>48</v>
      </c>
      <c r="S323" s="19" t="s">
        <v>151</v>
      </c>
      <c r="T323" s="19" t="s">
        <v>89</v>
      </c>
      <c r="U323" s="21" t="s">
        <v>1467</v>
      </c>
      <c r="V323" s="19" t="s">
        <v>38</v>
      </c>
      <c r="W323" s="15" t="str">
        <f t="shared" ref="W323:W386" si="5">IF(OR(Q323&lt;=2, V323="Cancelled"), "Blacklisted", IF(AND(P323&gt;=100000, Q323&gt;=4, O323&lt;=10, V323="Completed"), "Platinum", IF(AND(P323&gt;=50000, P323&lt;=99999, Q323&gt;=3, V323="Completed"), "Gold", IF(AND(P323&lt;50000, V323="Completed"), "Silver", "Pending"))))</f>
        <v>Silver</v>
      </c>
    </row>
    <row r="324" spans="1:23" x14ac:dyDescent="0.3">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8" t="s">
        <v>1470</v>
      </c>
      <c r="V324" s="15" t="s">
        <v>38</v>
      </c>
      <c r="W324" s="15" t="str">
        <f t="shared" si="5"/>
        <v>Silver</v>
      </c>
    </row>
    <row r="325" spans="1:23" x14ac:dyDescent="0.3">
      <c r="A325" s="19" t="s">
        <v>1471</v>
      </c>
      <c r="B325" s="19" t="s">
        <v>251</v>
      </c>
      <c r="C325" s="19" t="s">
        <v>222</v>
      </c>
      <c r="D325" s="19" t="s">
        <v>224</v>
      </c>
      <c r="E325" s="19" t="s">
        <v>360</v>
      </c>
      <c r="F325" s="19" t="s">
        <v>254</v>
      </c>
      <c r="G325" s="19" t="s">
        <v>28</v>
      </c>
      <c r="H325" s="19" t="s">
        <v>1472</v>
      </c>
      <c r="I325" s="19" t="s">
        <v>105</v>
      </c>
      <c r="J325" s="19" t="s">
        <v>106</v>
      </c>
      <c r="K325" s="19" t="s">
        <v>122</v>
      </c>
      <c r="L325" s="19" t="s">
        <v>227</v>
      </c>
      <c r="M325" s="19">
        <v>5</v>
      </c>
      <c r="N325" s="19">
        <v>20</v>
      </c>
      <c r="O325" s="19">
        <v>5</v>
      </c>
      <c r="P325" s="19">
        <v>95</v>
      </c>
      <c r="Q325" s="19">
        <v>4</v>
      </c>
      <c r="R325" s="19" t="s">
        <v>34</v>
      </c>
      <c r="S325" s="19" t="s">
        <v>151</v>
      </c>
      <c r="T325" s="19" t="s">
        <v>256</v>
      </c>
      <c r="U325" s="21" t="s">
        <v>1473</v>
      </c>
      <c r="V325" s="19" t="s">
        <v>38</v>
      </c>
      <c r="W325" s="15" t="str">
        <f t="shared" si="5"/>
        <v>Silver</v>
      </c>
    </row>
    <row r="326" spans="1:23" x14ac:dyDescent="0.3">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8" t="s">
        <v>1478</v>
      </c>
      <c r="V326" s="15" t="s">
        <v>69</v>
      </c>
      <c r="W326" s="15" t="str">
        <f t="shared" si="5"/>
        <v>Blacklisted</v>
      </c>
    </row>
    <row r="327" spans="1:23" x14ac:dyDescent="0.3">
      <c r="A327" s="19" t="s">
        <v>1479</v>
      </c>
      <c r="B327" s="19" t="s">
        <v>251</v>
      </c>
      <c r="C327" s="19" t="s">
        <v>184</v>
      </c>
      <c r="D327" s="19" t="s">
        <v>298</v>
      </c>
      <c r="E327" s="19" t="s">
        <v>1480</v>
      </c>
      <c r="F327" s="19" t="s">
        <v>254</v>
      </c>
      <c r="G327" s="19" t="s">
        <v>28</v>
      </c>
      <c r="H327" s="19" t="s">
        <v>1481</v>
      </c>
      <c r="I327" s="19" t="s">
        <v>105</v>
      </c>
      <c r="J327" s="19" t="s">
        <v>106</v>
      </c>
      <c r="K327" s="19" t="s">
        <v>46</v>
      </c>
      <c r="L327" s="19" t="s">
        <v>189</v>
      </c>
      <c r="M327" s="19">
        <v>10</v>
      </c>
      <c r="N327" s="19">
        <v>700</v>
      </c>
      <c r="O327" s="19">
        <v>20</v>
      </c>
      <c r="P327" s="19">
        <v>5600</v>
      </c>
      <c r="Q327" s="19">
        <v>1</v>
      </c>
      <c r="R327" s="19" t="s">
        <v>88</v>
      </c>
      <c r="S327" s="19" t="s">
        <v>115</v>
      </c>
      <c r="T327" s="19" t="s">
        <v>256</v>
      </c>
      <c r="U327" s="21" t="s">
        <v>1482</v>
      </c>
      <c r="V327" s="19" t="s">
        <v>38</v>
      </c>
      <c r="W327" s="15" t="str">
        <f t="shared" si="5"/>
        <v>Blacklisted</v>
      </c>
    </row>
    <row r="328" spans="1:23" x14ac:dyDescent="0.3">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8" t="s">
        <v>1487</v>
      </c>
      <c r="V328" s="15" t="s">
        <v>64</v>
      </c>
      <c r="W328" s="15" t="str">
        <f t="shared" si="5"/>
        <v>Blacklisted</v>
      </c>
    </row>
    <row r="329" spans="1:23" x14ac:dyDescent="0.3">
      <c r="A329" s="19" t="s">
        <v>1488</v>
      </c>
      <c r="B329" s="19" t="s">
        <v>221</v>
      </c>
      <c r="C329" s="19" t="s">
        <v>92</v>
      </c>
      <c r="D329" s="19" t="s">
        <v>872</v>
      </c>
      <c r="E329" s="19" t="s">
        <v>965</v>
      </c>
      <c r="F329" s="19" t="s">
        <v>225</v>
      </c>
      <c r="G329" s="19" t="s">
        <v>76</v>
      </c>
      <c r="H329" s="19" t="s">
        <v>1489</v>
      </c>
      <c r="I329" s="19" t="s">
        <v>114</v>
      </c>
      <c r="J329" s="19" t="s">
        <v>106</v>
      </c>
      <c r="K329" s="19" t="s">
        <v>32</v>
      </c>
      <c r="L329" s="19" t="s">
        <v>97</v>
      </c>
      <c r="M329" s="19">
        <v>16</v>
      </c>
      <c r="N329" s="19">
        <v>3500</v>
      </c>
      <c r="O329" s="19">
        <v>20</v>
      </c>
      <c r="P329" s="19">
        <v>44800</v>
      </c>
      <c r="Q329" s="19">
        <v>2</v>
      </c>
      <c r="R329" s="19" t="s">
        <v>88</v>
      </c>
      <c r="S329" s="19" t="s">
        <v>35</v>
      </c>
      <c r="T329" s="19" t="s">
        <v>228</v>
      </c>
      <c r="U329" s="21" t="s">
        <v>1490</v>
      </c>
      <c r="V329" s="19" t="s">
        <v>64</v>
      </c>
      <c r="W329" s="15" t="str">
        <f t="shared" si="5"/>
        <v>Blacklisted</v>
      </c>
    </row>
    <row r="330" spans="1:23" x14ac:dyDescent="0.3">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8" t="s">
        <v>1493</v>
      </c>
      <c r="V330" s="15" t="s">
        <v>69</v>
      </c>
      <c r="W330" s="15" t="str">
        <f t="shared" si="5"/>
        <v>Blacklisted</v>
      </c>
    </row>
    <row r="331" spans="1:23" x14ac:dyDescent="0.3">
      <c r="A331" s="19" t="s">
        <v>1494</v>
      </c>
      <c r="B331" s="19" t="s">
        <v>127</v>
      </c>
      <c r="C331" s="19" t="s">
        <v>184</v>
      </c>
      <c r="D331" s="19" t="s">
        <v>896</v>
      </c>
      <c r="E331" s="19" t="s">
        <v>530</v>
      </c>
      <c r="F331" s="19" t="s">
        <v>200</v>
      </c>
      <c r="G331" s="19" t="s">
        <v>76</v>
      </c>
      <c r="H331" s="19" t="s">
        <v>1495</v>
      </c>
      <c r="I331" s="19" t="s">
        <v>30</v>
      </c>
      <c r="J331" s="19" t="s">
        <v>31</v>
      </c>
      <c r="K331" s="19" t="s">
        <v>46</v>
      </c>
      <c r="L331" s="19" t="s">
        <v>189</v>
      </c>
      <c r="M331" s="19">
        <v>15</v>
      </c>
      <c r="N331" s="19">
        <v>700</v>
      </c>
      <c r="O331" s="19">
        <v>5</v>
      </c>
      <c r="P331" s="19">
        <v>9975</v>
      </c>
      <c r="Q331" s="19">
        <v>1</v>
      </c>
      <c r="R331" s="19" t="s">
        <v>34</v>
      </c>
      <c r="S331" s="19" t="s">
        <v>49</v>
      </c>
      <c r="T331" s="19" t="s">
        <v>132</v>
      </c>
      <c r="U331" s="21" t="s">
        <v>1496</v>
      </c>
      <c r="V331" s="19" t="s">
        <v>69</v>
      </c>
      <c r="W331" s="15" t="str">
        <f t="shared" si="5"/>
        <v>Blacklisted</v>
      </c>
    </row>
    <row r="332" spans="1:23" x14ac:dyDescent="0.3">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8" t="s">
        <v>1499</v>
      </c>
      <c r="V332" s="15" t="s">
        <v>69</v>
      </c>
      <c r="W332" s="15" t="str">
        <f t="shared" si="5"/>
        <v>Blacklisted</v>
      </c>
    </row>
    <row r="333" spans="1:23" x14ac:dyDescent="0.3">
      <c r="A333" s="19" t="s">
        <v>1500</v>
      </c>
      <c r="B333" s="19" t="s">
        <v>327</v>
      </c>
      <c r="C333" s="19" t="s">
        <v>40</v>
      </c>
      <c r="D333" s="19" t="s">
        <v>1501</v>
      </c>
      <c r="E333" s="19" t="s">
        <v>1502</v>
      </c>
      <c r="F333" s="19" t="s">
        <v>394</v>
      </c>
      <c r="G333" s="19" t="s">
        <v>76</v>
      </c>
      <c r="H333" s="19" t="s">
        <v>1503</v>
      </c>
      <c r="I333" s="19" t="s">
        <v>44</v>
      </c>
      <c r="J333" s="19" t="s">
        <v>45</v>
      </c>
      <c r="K333" s="19" t="s">
        <v>46</v>
      </c>
      <c r="L333" s="19" t="s">
        <v>47</v>
      </c>
      <c r="M333" s="19">
        <v>5</v>
      </c>
      <c r="N333" s="19">
        <v>12000</v>
      </c>
      <c r="O333" s="19">
        <v>10</v>
      </c>
      <c r="P333" s="19">
        <v>54000</v>
      </c>
      <c r="Q333" s="19">
        <v>3</v>
      </c>
      <c r="R333" s="19" t="s">
        <v>88</v>
      </c>
      <c r="S333" s="19" t="s">
        <v>49</v>
      </c>
      <c r="T333" s="19" t="s">
        <v>332</v>
      </c>
      <c r="U333" s="21" t="s">
        <v>1504</v>
      </c>
      <c r="V333" s="19" t="s">
        <v>38</v>
      </c>
      <c r="W333" s="15" t="str">
        <f t="shared" si="5"/>
        <v>Gold</v>
      </c>
    </row>
    <row r="334" spans="1:23" x14ac:dyDescent="0.3">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8" t="s">
        <v>1509</v>
      </c>
      <c r="V334" s="15" t="s">
        <v>38</v>
      </c>
      <c r="W334" s="15" t="str">
        <f t="shared" si="5"/>
        <v>Silver</v>
      </c>
    </row>
    <row r="335" spans="1:23" x14ac:dyDescent="0.3">
      <c r="A335" s="19" t="s">
        <v>1510</v>
      </c>
      <c r="B335" s="19" t="s">
        <v>23</v>
      </c>
      <c r="C335" s="19" t="s">
        <v>92</v>
      </c>
      <c r="D335" s="19" t="s">
        <v>652</v>
      </c>
      <c r="E335" s="19" t="s">
        <v>666</v>
      </c>
      <c r="F335" s="19" t="s">
        <v>27</v>
      </c>
      <c r="G335" s="19" t="s">
        <v>28</v>
      </c>
      <c r="H335" s="19" t="s">
        <v>1511</v>
      </c>
      <c r="I335" s="19" t="s">
        <v>59</v>
      </c>
      <c r="J335" s="19" t="s">
        <v>31</v>
      </c>
      <c r="K335" s="19" t="s">
        <v>32</v>
      </c>
      <c r="L335" s="19" t="s">
        <v>97</v>
      </c>
      <c r="M335" s="19">
        <v>2</v>
      </c>
      <c r="N335" s="19">
        <v>3500</v>
      </c>
      <c r="O335" s="19">
        <v>0</v>
      </c>
      <c r="P335" s="19">
        <v>7000</v>
      </c>
      <c r="Q335" s="19">
        <v>1</v>
      </c>
      <c r="R335" s="19" t="s">
        <v>48</v>
      </c>
      <c r="S335" s="19" t="s">
        <v>115</v>
      </c>
      <c r="T335" s="19" t="s">
        <v>50</v>
      </c>
      <c r="U335" s="21" t="s">
        <v>1512</v>
      </c>
      <c r="V335" s="19" t="s">
        <v>64</v>
      </c>
      <c r="W335" s="15" t="str">
        <f t="shared" si="5"/>
        <v>Blacklisted</v>
      </c>
    </row>
    <row r="336" spans="1:23" x14ac:dyDescent="0.3">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8" t="s">
        <v>1515</v>
      </c>
      <c r="V336" s="15" t="s">
        <v>64</v>
      </c>
      <c r="W336" s="15" t="str">
        <f t="shared" si="5"/>
        <v>Blacklisted</v>
      </c>
    </row>
    <row r="337" spans="1:23" x14ac:dyDescent="0.3">
      <c r="A337" s="19" t="s">
        <v>1516</v>
      </c>
      <c r="B337" s="19" t="s">
        <v>100</v>
      </c>
      <c r="C337" s="19" t="s">
        <v>222</v>
      </c>
      <c r="D337" s="19" t="s">
        <v>186</v>
      </c>
      <c r="E337" s="19" t="s">
        <v>1253</v>
      </c>
      <c r="F337" s="19" t="s">
        <v>103</v>
      </c>
      <c r="G337" s="19" t="s">
        <v>28</v>
      </c>
      <c r="H337" s="19" t="s">
        <v>1517</v>
      </c>
      <c r="I337" s="19" t="s">
        <v>138</v>
      </c>
      <c r="J337" s="19" t="s">
        <v>106</v>
      </c>
      <c r="K337" s="19" t="s">
        <v>122</v>
      </c>
      <c r="L337" s="19" t="s">
        <v>227</v>
      </c>
      <c r="M337" s="19">
        <v>8</v>
      </c>
      <c r="N337" s="19">
        <v>20</v>
      </c>
      <c r="O337" s="19">
        <v>20</v>
      </c>
      <c r="P337" s="19">
        <v>128</v>
      </c>
      <c r="Q337" s="19">
        <v>5</v>
      </c>
      <c r="R337" s="19" t="s">
        <v>88</v>
      </c>
      <c r="S337" s="19" t="s">
        <v>49</v>
      </c>
      <c r="T337" s="19" t="s">
        <v>144</v>
      </c>
      <c r="U337" s="21" t="s">
        <v>1518</v>
      </c>
      <c r="V337" s="19" t="s">
        <v>38</v>
      </c>
      <c r="W337" s="15" t="str">
        <f t="shared" si="5"/>
        <v>Silver</v>
      </c>
    </row>
    <row r="338" spans="1:23" x14ac:dyDescent="0.3">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8" t="s">
        <v>1521</v>
      </c>
      <c r="V338" s="15" t="s">
        <v>38</v>
      </c>
      <c r="W338" s="15" t="str">
        <f t="shared" si="5"/>
        <v>Silver</v>
      </c>
    </row>
    <row r="339" spans="1:23" x14ac:dyDescent="0.3">
      <c r="A339" s="19" t="s">
        <v>1522</v>
      </c>
      <c r="B339" s="19" t="s">
        <v>23</v>
      </c>
      <c r="C339" s="19" t="s">
        <v>184</v>
      </c>
      <c r="D339" s="19" t="s">
        <v>1199</v>
      </c>
      <c r="E339" s="19" t="s">
        <v>253</v>
      </c>
      <c r="F339" s="19" t="s">
        <v>27</v>
      </c>
      <c r="G339" s="19" t="s">
        <v>28</v>
      </c>
      <c r="H339" s="19" t="s">
        <v>1523</v>
      </c>
      <c r="I339" s="19" t="s">
        <v>212</v>
      </c>
      <c r="J339" s="19" t="s">
        <v>45</v>
      </c>
      <c r="K339" s="19" t="s">
        <v>46</v>
      </c>
      <c r="L339" s="19" t="s">
        <v>189</v>
      </c>
      <c r="M339" s="19">
        <v>15</v>
      </c>
      <c r="N339" s="19">
        <v>700</v>
      </c>
      <c r="O339" s="19">
        <v>0</v>
      </c>
      <c r="P339" s="19">
        <v>10500</v>
      </c>
      <c r="Q339" s="19">
        <v>2</v>
      </c>
      <c r="R339" s="19" t="s">
        <v>88</v>
      </c>
      <c r="S339" s="19" t="s">
        <v>49</v>
      </c>
      <c r="T339" s="19" t="s">
        <v>50</v>
      </c>
      <c r="U339" s="21" t="s">
        <v>1524</v>
      </c>
      <c r="V339" s="19" t="s">
        <v>38</v>
      </c>
      <c r="W339" s="15" t="str">
        <f t="shared" si="5"/>
        <v>Blacklisted</v>
      </c>
    </row>
    <row r="340" spans="1:23" x14ac:dyDescent="0.3">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8" t="s">
        <v>1528</v>
      </c>
      <c r="V340" s="15" t="s">
        <v>64</v>
      </c>
      <c r="W340" s="15" t="str">
        <f t="shared" si="5"/>
        <v>Pending</v>
      </c>
    </row>
    <row r="341" spans="1:23" x14ac:dyDescent="0.3">
      <c r="A341" s="19" t="s">
        <v>1529</v>
      </c>
      <c r="B341" s="19" t="s">
        <v>23</v>
      </c>
      <c r="C341" s="19" t="s">
        <v>118</v>
      </c>
      <c r="D341" s="19" t="s">
        <v>1530</v>
      </c>
      <c r="E341" s="19" t="s">
        <v>156</v>
      </c>
      <c r="F341" s="19" t="s">
        <v>27</v>
      </c>
      <c r="G341" s="19" t="s">
        <v>28</v>
      </c>
      <c r="H341" s="19" t="s">
        <v>1531</v>
      </c>
      <c r="I341" s="19" t="s">
        <v>294</v>
      </c>
      <c r="J341" s="19" t="s">
        <v>295</v>
      </c>
      <c r="K341" s="19" t="s">
        <v>122</v>
      </c>
      <c r="L341" s="19" t="s">
        <v>123</v>
      </c>
      <c r="M341" s="19">
        <v>16</v>
      </c>
      <c r="N341" s="19">
        <v>60</v>
      </c>
      <c r="O341" s="19">
        <v>10</v>
      </c>
      <c r="P341" s="19">
        <v>864</v>
      </c>
      <c r="Q341" s="19">
        <v>4</v>
      </c>
      <c r="R341" s="19" t="s">
        <v>79</v>
      </c>
      <c r="S341" s="19" t="s">
        <v>61</v>
      </c>
      <c r="T341" s="19" t="s">
        <v>50</v>
      </c>
      <c r="U341" s="21" t="s">
        <v>1532</v>
      </c>
      <c r="V341" s="19" t="s">
        <v>38</v>
      </c>
      <c r="W341" s="15" t="str">
        <f t="shared" si="5"/>
        <v>Silver</v>
      </c>
    </row>
    <row r="342" spans="1:23" x14ac:dyDescent="0.3">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8" t="s">
        <v>1535</v>
      </c>
      <c r="V342" s="15" t="s">
        <v>69</v>
      </c>
      <c r="W342" s="15" t="str">
        <f t="shared" si="5"/>
        <v>Blacklisted</v>
      </c>
    </row>
    <row r="343" spans="1:23" x14ac:dyDescent="0.3">
      <c r="A343" s="19" t="s">
        <v>1536</v>
      </c>
      <c r="B343" s="19" t="s">
        <v>168</v>
      </c>
      <c r="C343" s="19" t="s">
        <v>118</v>
      </c>
      <c r="D343" s="19" t="s">
        <v>1537</v>
      </c>
      <c r="E343" s="19" t="s">
        <v>1214</v>
      </c>
      <c r="F343" s="19" t="s">
        <v>361</v>
      </c>
      <c r="G343" s="19" t="s">
        <v>28</v>
      </c>
      <c r="H343" s="19" t="s">
        <v>1538</v>
      </c>
      <c r="I343" s="19" t="s">
        <v>44</v>
      </c>
      <c r="J343" s="19" t="s">
        <v>45</v>
      </c>
      <c r="K343" s="19" t="s">
        <v>122</v>
      </c>
      <c r="L343" s="19" t="s">
        <v>123</v>
      </c>
      <c r="M343" s="19">
        <v>13</v>
      </c>
      <c r="N343" s="19">
        <v>60</v>
      </c>
      <c r="O343" s="19">
        <v>15</v>
      </c>
      <c r="P343" s="19">
        <v>663</v>
      </c>
      <c r="Q343" s="19">
        <v>2</v>
      </c>
      <c r="R343" s="19" t="s">
        <v>48</v>
      </c>
      <c r="S343" s="19" t="s">
        <v>61</v>
      </c>
      <c r="T343" s="19" t="s">
        <v>175</v>
      </c>
      <c r="U343" s="21" t="s">
        <v>1539</v>
      </c>
      <c r="V343" s="19" t="s">
        <v>69</v>
      </c>
      <c r="W343" s="15" t="str">
        <f t="shared" si="5"/>
        <v>Blacklisted</v>
      </c>
    </row>
    <row r="344" spans="1:23" x14ac:dyDescent="0.3">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8" t="s">
        <v>1542</v>
      </c>
      <c r="V344" s="15" t="s">
        <v>69</v>
      </c>
      <c r="W344" s="15" t="str">
        <f t="shared" si="5"/>
        <v>Blacklisted</v>
      </c>
    </row>
    <row r="345" spans="1:23" x14ac:dyDescent="0.3">
      <c r="A345" s="19" t="s">
        <v>1543</v>
      </c>
      <c r="B345" s="19" t="s">
        <v>327</v>
      </c>
      <c r="C345" s="19" t="s">
        <v>222</v>
      </c>
      <c r="D345" s="19" t="s">
        <v>755</v>
      </c>
      <c r="E345" s="19" t="s">
        <v>1544</v>
      </c>
      <c r="F345" s="19" t="s">
        <v>394</v>
      </c>
      <c r="G345" s="19" t="s">
        <v>76</v>
      </c>
      <c r="H345" s="19" t="s">
        <v>1545</v>
      </c>
      <c r="I345" s="19" t="s">
        <v>44</v>
      </c>
      <c r="J345" s="19" t="s">
        <v>45</v>
      </c>
      <c r="K345" s="19" t="s">
        <v>122</v>
      </c>
      <c r="L345" s="19" t="s">
        <v>227</v>
      </c>
      <c r="M345" s="19">
        <v>2</v>
      </c>
      <c r="N345" s="19">
        <v>20</v>
      </c>
      <c r="O345" s="19">
        <v>20</v>
      </c>
      <c r="P345" s="19">
        <v>32</v>
      </c>
      <c r="Q345" s="19">
        <v>4</v>
      </c>
      <c r="R345" s="19" t="s">
        <v>34</v>
      </c>
      <c r="S345" s="19" t="s">
        <v>35</v>
      </c>
      <c r="T345" s="19" t="s">
        <v>332</v>
      </c>
      <c r="U345" s="21" t="s">
        <v>1546</v>
      </c>
      <c r="V345" s="19" t="s">
        <v>64</v>
      </c>
      <c r="W345" s="15" t="str">
        <f t="shared" si="5"/>
        <v>Pending</v>
      </c>
    </row>
    <row r="346" spans="1:23" x14ac:dyDescent="0.3">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8" t="s">
        <v>1550</v>
      </c>
      <c r="V346" s="15" t="s">
        <v>38</v>
      </c>
      <c r="W346" s="15" t="str">
        <f t="shared" si="5"/>
        <v>Gold</v>
      </c>
    </row>
    <row r="347" spans="1:23" x14ac:dyDescent="0.3">
      <c r="A347" s="19" t="s">
        <v>1551</v>
      </c>
      <c r="B347" s="19" t="s">
        <v>53</v>
      </c>
      <c r="C347" s="19" t="s">
        <v>92</v>
      </c>
      <c r="D347" s="19" t="s">
        <v>1302</v>
      </c>
      <c r="E347" s="19" t="s">
        <v>94</v>
      </c>
      <c r="F347" s="19" t="s">
        <v>163</v>
      </c>
      <c r="G347" s="19" t="s">
        <v>28</v>
      </c>
      <c r="H347" s="19" t="s">
        <v>1552</v>
      </c>
      <c r="I347" s="19" t="s">
        <v>138</v>
      </c>
      <c r="J347" s="19" t="s">
        <v>106</v>
      </c>
      <c r="K347" s="19" t="s">
        <v>32</v>
      </c>
      <c r="L347" s="19" t="s">
        <v>97</v>
      </c>
      <c r="M347" s="19">
        <v>18</v>
      </c>
      <c r="N347" s="19">
        <v>3500</v>
      </c>
      <c r="O347" s="19">
        <v>15</v>
      </c>
      <c r="P347" s="19">
        <v>53550</v>
      </c>
      <c r="Q347" s="19">
        <v>5</v>
      </c>
      <c r="R347" s="19" t="s">
        <v>34</v>
      </c>
      <c r="S347" s="19" t="s">
        <v>151</v>
      </c>
      <c r="T347" s="19" t="s">
        <v>62</v>
      </c>
      <c r="U347" s="21" t="s">
        <v>1553</v>
      </c>
      <c r="V347" s="19" t="s">
        <v>69</v>
      </c>
      <c r="W347" s="15" t="str">
        <f t="shared" si="5"/>
        <v>Blacklisted</v>
      </c>
    </row>
    <row r="348" spans="1:23" x14ac:dyDescent="0.3">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8" t="s">
        <v>1556</v>
      </c>
      <c r="V348" s="15" t="s">
        <v>69</v>
      </c>
      <c r="W348" s="15" t="str">
        <f t="shared" si="5"/>
        <v>Blacklisted</v>
      </c>
    </row>
    <row r="349" spans="1:23" x14ac:dyDescent="0.3">
      <c r="A349" s="19" t="s">
        <v>1557</v>
      </c>
      <c r="B349" s="19" t="s">
        <v>251</v>
      </c>
      <c r="C349" s="19" t="s">
        <v>24</v>
      </c>
      <c r="D349" s="19" t="s">
        <v>1286</v>
      </c>
      <c r="E349" s="19" t="s">
        <v>356</v>
      </c>
      <c r="F349" s="19" t="s">
        <v>254</v>
      </c>
      <c r="G349" s="19" t="s">
        <v>28</v>
      </c>
      <c r="H349" s="19" t="s">
        <v>1558</v>
      </c>
      <c r="I349" s="19" t="s">
        <v>44</v>
      </c>
      <c r="J349" s="19" t="s">
        <v>45</v>
      </c>
      <c r="K349" s="19" t="s">
        <v>32</v>
      </c>
      <c r="L349" s="19" t="s">
        <v>33</v>
      </c>
      <c r="M349" s="19">
        <v>13</v>
      </c>
      <c r="N349" s="19">
        <v>2200</v>
      </c>
      <c r="O349" s="19">
        <v>15</v>
      </c>
      <c r="P349" s="19">
        <v>24310</v>
      </c>
      <c r="Q349" s="19">
        <v>2</v>
      </c>
      <c r="R349" s="19" t="s">
        <v>48</v>
      </c>
      <c r="S349" s="19" t="s">
        <v>115</v>
      </c>
      <c r="T349" s="19" t="s">
        <v>256</v>
      </c>
      <c r="U349" s="21" t="s">
        <v>1559</v>
      </c>
      <c r="V349" s="19" t="s">
        <v>64</v>
      </c>
      <c r="W349" s="15" t="str">
        <f t="shared" si="5"/>
        <v>Blacklisted</v>
      </c>
    </row>
    <row r="350" spans="1:23" x14ac:dyDescent="0.3">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8" t="s">
        <v>1563</v>
      </c>
      <c r="V350" s="15" t="s">
        <v>69</v>
      </c>
      <c r="W350" s="15" t="str">
        <f t="shared" si="5"/>
        <v>Blacklisted</v>
      </c>
    </row>
    <row r="351" spans="1:23" x14ac:dyDescent="0.3">
      <c r="A351" s="19" t="s">
        <v>1564</v>
      </c>
      <c r="B351" s="19" t="s">
        <v>53</v>
      </c>
      <c r="C351" s="19" t="s">
        <v>24</v>
      </c>
      <c r="D351" s="19" t="s">
        <v>1565</v>
      </c>
      <c r="E351" s="19" t="s">
        <v>1475</v>
      </c>
      <c r="F351" s="19" t="s">
        <v>163</v>
      </c>
      <c r="G351" s="19" t="s">
        <v>28</v>
      </c>
      <c r="H351" s="19" t="s">
        <v>1566</v>
      </c>
      <c r="I351" s="19" t="s">
        <v>212</v>
      </c>
      <c r="J351" s="19" t="s">
        <v>45</v>
      </c>
      <c r="K351" s="19" t="s">
        <v>32</v>
      </c>
      <c r="L351" s="19" t="s">
        <v>33</v>
      </c>
      <c r="M351" s="19">
        <v>2</v>
      </c>
      <c r="N351" s="19">
        <v>2200</v>
      </c>
      <c r="O351" s="19">
        <v>0</v>
      </c>
      <c r="P351" s="19">
        <v>4400</v>
      </c>
      <c r="Q351" s="19">
        <v>4</v>
      </c>
      <c r="R351" s="19" t="s">
        <v>88</v>
      </c>
      <c r="S351" s="19" t="s">
        <v>151</v>
      </c>
      <c r="T351" s="19" t="s">
        <v>62</v>
      </c>
      <c r="U351" s="21" t="s">
        <v>1567</v>
      </c>
      <c r="V351" s="19" t="s">
        <v>64</v>
      </c>
      <c r="W351" s="15" t="str">
        <f t="shared" si="5"/>
        <v>Pending</v>
      </c>
    </row>
    <row r="352" spans="1:23" x14ac:dyDescent="0.3">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8" t="s">
        <v>1570</v>
      </c>
      <c r="V352" s="15" t="s">
        <v>38</v>
      </c>
      <c r="W352" s="15" t="str">
        <f t="shared" si="5"/>
        <v>Silver</v>
      </c>
    </row>
    <row r="353" spans="1:23" x14ac:dyDescent="0.3">
      <c r="A353" s="19" t="s">
        <v>1571</v>
      </c>
      <c r="B353" s="19" t="s">
        <v>127</v>
      </c>
      <c r="C353" s="19" t="s">
        <v>24</v>
      </c>
      <c r="D353" s="19" t="s">
        <v>1572</v>
      </c>
      <c r="E353" s="19" t="s">
        <v>835</v>
      </c>
      <c r="F353" s="19" t="s">
        <v>200</v>
      </c>
      <c r="G353" s="19" t="s">
        <v>76</v>
      </c>
      <c r="H353" s="19" t="s">
        <v>1573</v>
      </c>
      <c r="I353" s="19" t="s">
        <v>138</v>
      </c>
      <c r="J353" s="19" t="s">
        <v>106</v>
      </c>
      <c r="K353" s="19" t="s">
        <v>32</v>
      </c>
      <c r="L353" s="19" t="s">
        <v>33</v>
      </c>
      <c r="M353" s="19">
        <v>5</v>
      </c>
      <c r="N353" s="19">
        <v>2200</v>
      </c>
      <c r="O353" s="19">
        <v>15</v>
      </c>
      <c r="P353" s="19">
        <v>9350</v>
      </c>
      <c r="Q353" s="19">
        <v>1</v>
      </c>
      <c r="R353" s="19" t="s">
        <v>48</v>
      </c>
      <c r="S353" s="19" t="s">
        <v>115</v>
      </c>
      <c r="T353" s="19" t="s">
        <v>132</v>
      </c>
      <c r="U353" s="21" t="s">
        <v>1574</v>
      </c>
      <c r="V353" s="19" t="s">
        <v>64</v>
      </c>
      <c r="W353" s="15" t="str">
        <f t="shared" si="5"/>
        <v>Blacklisted</v>
      </c>
    </row>
    <row r="354" spans="1:23" x14ac:dyDescent="0.3">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8" t="s">
        <v>1577</v>
      </c>
      <c r="V354" s="15" t="s">
        <v>69</v>
      </c>
      <c r="W354" s="15" t="str">
        <f t="shared" si="5"/>
        <v>Blacklisted</v>
      </c>
    </row>
    <row r="355" spans="1:23" x14ac:dyDescent="0.3">
      <c r="A355" s="19" t="s">
        <v>1578</v>
      </c>
      <c r="B355" s="19" t="s">
        <v>251</v>
      </c>
      <c r="C355" s="19" t="s">
        <v>72</v>
      </c>
      <c r="D355" s="19" t="s">
        <v>161</v>
      </c>
      <c r="E355" s="19" t="s">
        <v>657</v>
      </c>
      <c r="F355" s="19" t="s">
        <v>254</v>
      </c>
      <c r="G355" s="19" t="s">
        <v>28</v>
      </c>
      <c r="H355" s="19" t="s">
        <v>1579</v>
      </c>
      <c r="I355" s="19" t="s">
        <v>105</v>
      </c>
      <c r="J355" s="19" t="s">
        <v>106</v>
      </c>
      <c r="K355" s="19" t="s">
        <v>46</v>
      </c>
      <c r="L355" s="19" t="s">
        <v>78</v>
      </c>
      <c r="M355" s="19">
        <v>19</v>
      </c>
      <c r="N355" s="19">
        <v>1200</v>
      </c>
      <c r="O355" s="19">
        <v>0</v>
      </c>
      <c r="P355" s="19">
        <v>22800</v>
      </c>
      <c r="Q355" s="19">
        <v>1</v>
      </c>
      <c r="R355" s="19" t="s">
        <v>34</v>
      </c>
      <c r="S355" s="19" t="s">
        <v>49</v>
      </c>
      <c r="T355" s="19" t="s">
        <v>256</v>
      </c>
      <c r="U355" s="21" t="s">
        <v>1580</v>
      </c>
      <c r="V355" s="19" t="s">
        <v>69</v>
      </c>
      <c r="W355" s="15" t="str">
        <f t="shared" si="5"/>
        <v>Blacklisted</v>
      </c>
    </row>
    <row r="356" spans="1:23" x14ac:dyDescent="0.3">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8" t="s">
        <v>1584</v>
      </c>
      <c r="V356" s="15" t="s">
        <v>69</v>
      </c>
      <c r="W356" s="15" t="str">
        <f t="shared" si="5"/>
        <v>Blacklisted</v>
      </c>
    </row>
    <row r="357" spans="1:23" x14ac:dyDescent="0.3">
      <c r="A357" s="19" t="s">
        <v>1585</v>
      </c>
      <c r="B357" s="19" t="s">
        <v>23</v>
      </c>
      <c r="C357" s="19" t="s">
        <v>259</v>
      </c>
      <c r="D357" s="19" t="s">
        <v>345</v>
      </c>
      <c r="E357" s="19" t="s">
        <v>793</v>
      </c>
      <c r="F357" s="19" t="s">
        <v>27</v>
      </c>
      <c r="G357" s="19" t="s">
        <v>28</v>
      </c>
      <c r="H357" s="19" t="s">
        <v>1586</v>
      </c>
      <c r="I357" s="19" t="s">
        <v>212</v>
      </c>
      <c r="J357" s="19" t="s">
        <v>45</v>
      </c>
      <c r="K357" s="19" t="s">
        <v>122</v>
      </c>
      <c r="L357" s="19" t="s">
        <v>263</v>
      </c>
      <c r="M357" s="19">
        <v>5</v>
      </c>
      <c r="N357" s="19">
        <v>45</v>
      </c>
      <c r="O357" s="19">
        <v>5</v>
      </c>
      <c r="P357" s="19">
        <v>213.75</v>
      </c>
      <c r="Q357" s="19">
        <v>1</v>
      </c>
      <c r="R357" s="19" t="s">
        <v>79</v>
      </c>
      <c r="S357" s="19" t="s">
        <v>115</v>
      </c>
      <c r="T357" s="19" t="s">
        <v>50</v>
      </c>
      <c r="U357" s="21" t="s">
        <v>1587</v>
      </c>
      <c r="V357" s="19" t="s">
        <v>38</v>
      </c>
      <c r="W357" s="15" t="str">
        <f t="shared" si="5"/>
        <v>Blacklisted</v>
      </c>
    </row>
    <row r="358" spans="1:23" x14ac:dyDescent="0.3">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8" t="s">
        <v>1591</v>
      </c>
      <c r="V358" s="15" t="s">
        <v>38</v>
      </c>
      <c r="W358" s="15" t="str">
        <f t="shared" si="5"/>
        <v>Silver</v>
      </c>
    </row>
    <row r="359" spans="1:23" x14ac:dyDescent="0.3">
      <c r="A359" s="19" t="s">
        <v>1592</v>
      </c>
      <c r="B359" s="19" t="s">
        <v>71</v>
      </c>
      <c r="C359" s="19" t="s">
        <v>169</v>
      </c>
      <c r="D359" s="19" t="s">
        <v>454</v>
      </c>
      <c r="E359" s="19" t="s">
        <v>961</v>
      </c>
      <c r="F359" s="19" t="s">
        <v>217</v>
      </c>
      <c r="G359" s="19" t="s">
        <v>76</v>
      </c>
      <c r="H359" s="19" t="s">
        <v>1593</v>
      </c>
      <c r="I359" s="19" t="s">
        <v>212</v>
      </c>
      <c r="J359" s="19" t="s">
        <v>45</v>
      </c>
      <c r="K359" s="19" t="s">
        <v>32</v>
      </c>
      <c r="L359" s="19" t="s">
        <v>174</v>
      </c>
      <c r="M359" s="19">
        <v>12</v>
      </c>
      <c r="N359" s="19">
        <v>8500</v>
      </c>
      <c r="O359" s="19">
        <v>5</v>
      </c>
      <c r="P359" s="19">
        <v>96900</v>
      </c>
      <c r="Q359" s="19">
        <v>3</v>
      </c>
      <c r="R359" s="19" t="s">
        <v>79</v>
      </c>
      <c r="S359" s="19" t="s">
        <v>61</v>
      </c>
      <c r="T359" s="19" t="s">
        <v>80</v>
      </c>
      <c r="U359" s="21" t="s">
        <v>1594</v>
      </c>
      <c r="V359" s="19" t="s">
        <v>64</v>
      </c>
      <c r="W359" s="15" t="str">
        <f t="shared" si="5"/>
        <v>Pending</v>
      </c>
    </row>
    <row r="360" spans="1:23" x14ac:dyDescent="0.3">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8" t="s">
        <v>1597</v>
      </c>
      <c r="V360" s="15" t="s">
        <v>64</v>
      </c>
      <c r="W360" s="15" t="str">
        <f t="shared" si="5"/>
        <v>Pending</v>
      </c>
    </row>
    <row r="361" spans="1:23" x14ac:dyDescent="0.3">
      <c r="A361" s="19" t="s">
        <v>1598</v>
      </c>
      <c r="B361" s="19" t="s">
        <v>127</v>
      </c>
      <c r="C361" s="19" t="s">
        <v>222</v>
      </c>
      <c r="D361" s="19" t="s">
        <v>102</v>
      </c>
      <c r="E361" s="19" t="s">
        <v>953</v>
      </c>
      <c r="F361" s="19" t="s">
        <v>200</v>
      </c>
      <c r="G361" s="19" t="s">
        <v>76</v>
      </c>
      <c r="H361" s="19" t="s">
        <v>1599</v>
      </c>
      <c r="I361" s="19" t="s">
        <v>212</v>
      </c>
      <c r="J361" s="19" t="s">
        <v>45</v>
      </c>
      <c r="K361" s="19" t="s">
        <v>122</v>
      </c>
      <c r="L361" s="19" t="s">
        <v>227</v>
      </c>
      <c r="M361" s="19">
        <v>16</v>
      </c>
      <c r="N361" s="19">
        <v>20</v>
      </c>
      <c r="O361" s="19">
        <v>10</v>
      </c>
      <c r="P361" s="19">
        <v>288</v>
      </c>
      <c r="Q361" s="19">
        <v>4</v>
      </c>
      <c r="R361" s="19" t="s">
        <v>34</v>
      </c>
      <c r="S361" s="19" t="s">
        <v>115</v>
      </c>
      <c r="T361" s="19" t="s">
        <v>132</v>
      </c>
      <c r="U361" s="21" t="s">
        <v>1600</v>
      </c>
      <c r="V361" s="19" t="s">
        <v>69</v>
      </c>
      <c r="W361" s="15" t="str">
        <f t="shared" si="5"/>
        <v>Blacklisted</v>
      </c>
    </row>
    <row r="362" spans="1:23" x14ac:dyDescent="0.3">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8" t="s">
        <v>1604</v>
      </c>
      <c r="V362" s="15" t="s">
        <v>64</v>
      </c>
      <c r="W362" s="15" t="str">
        <f t="shared" si="5"/>
        <v>Pending</v>
      </c>
    </row>
    <row r="363" spans="1:23" x14ac:dyDescent="0.3">
      <c r="A363" s="19" t="s">
        <v>1605</v>
      </c>
      <c r="B363" s="19" t="s">
        <v>71</v>
      </c>
      <c r="C363" s="19" t="s">
        <v>24</v>
      </c>
      <c r="D363" s="19" t="s">
        <v>1106</v>
      </c>
      <c r="E363" s="19" t="s">
        <v>155</v>
      </c>
      <c r="F363" s="19" t="s">
        <v>217</v>
      </c>
      <c r="G363" s="19" t="s">
        <v>76</v>
      </c>
      <c r="H363" s="19" t="s">
        <v>1606</v>
      </c>
      <c r="I363" s="19" t="s">
        <v>105</v>
      </c>
      <c r="J363" s="19" t="s">
        <v>106</v>
      </c>
      <c r="K363" s="19" t="s">
        <v>32</v>
      </c>
      <c r="L363" s="19" t="s">
        <v>33</v>
      </c>
      <c r="M363" s="19">
        <v>19</v>
      </c>
      <c r="N363" s="19">
        <v>2200</v>
      </c>
      <c r="O363" s="19">
        <v>10</v>
      </c>
      <c r="P363" s="19">
        <v>37620</v>
      </c>
      <c r="Q363" s="19">
        <v>2</v>
      </c>
      <c r="R363" s="19" t="s">
        <v>34</v>
      </c>
      <c r="S363" s="19" t="s">
        <v>151</v>
      </c>
      <c r="T363" s="19" t="s">
        <v>80</v>
      </c>
      <c r="U363" s="21" t="s">
        <v>1607</v>
      </c>
      <c r="V363" s="19" t="s">
        <v>64</v>
      </c>
      <c r="W363" s="15" t="str">
        <f t="shared" si="5"/>
        <v>Blacklisted</v>
      </c>
    </row>
    <row r="364" spans="1:23" x14ac:dyDescent="0.3">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8" t="s">
        <v>1611</v>
      </c>
      <c r="V364" s="15" t="s">
        <v>69</v>
      </c>
      <c r="W364" s="15" t="str">
        <f t="shared" si="5"/>
        <v>Blacklisted</v>
      </c>
    </row>
    <row r="365" spans="1:23" x14ac:dyDescent="0.3">
      <c r="A365" s="19" t="s">
        <v>1612</v>
      </c>
      <c r="B365" s="19" t="s">
        <v>53</v>
      </c>
      <c r="C365" s="19" t="s">
        <v>222</v>
      </c>
      <c r="D365" s="19" t="s">
        <v>543</v>
      </c>
      <c r="E365" s="19" t="s">
        <v>65</v>
      </c>
      <c r="F365" s="19" t="s">
        <v>163</v>
      </c>
      <c r="G365" s="19" t="s">
        <v>28</v>
      </c>
      <c r="H365" s="19" t="s">
        <v>1613</v>
      </c>
      <c r="I365" s="19" t="s">
        <v>59</v>
      </c>
      <c r="J365" s="19" t="s">
        <v>31</v>
      </c>
      <c r="K365" s="19" t="s">
        <v>122</v>
      </c>
      <c r="L365" s="19" t="s">
        <v>227</v>
      </c>
      <c r="M365" s="19">
        <v>20</v>
      </c>
      <c r="N365" s="19">
        <v>20</v>
      </c>
      <c r="O365" s="19">
        <v>20</v>
      </c>
      <c r="P365" s="19">
        <v>320</v>
      </c>
      <c r="Q365" s="19">
        <v>5</v>
      </c>
      <c r="R365" s="19" t="s">
        <v>79</v>
      </c>
      <c r="S365" s="19" t="s">
        <v>115</v>
      </c>
      <c r="T365" s="19" t="s">
        <v>62</v>
      </c>
      <c r="U365" s="21" t="s">
        <v>1614</v>
      </c>
      <c r="V365" s="19" t="s">
        <v>64</v>
      </c>
      <c r="W365" s="15" t="str">
        <f t="shared" si="5"/>
        <v>Pending</v>
      </c>
    </row>
    <row r="366" spans="1:23" x14ac:dyDescent="0.3">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8" t="s">
        <v>1618</v>
      </c>
      <c r="V366" s="15" t="s">
        <v>64</v>
      </c>
      <c r="W366" s="15" t="str">
        <f t="shared" si="5"/>
        <v>Pending</v>
      </c>
    </row>
    <row r="367" spans="1:23" x14ac:dyDescent="0.3">
      <c r="A367" s="19" t="s">
        <v>1619</v>
      </c>
      <c r="B367" s="19" t="s">
        <v>53</v>
      </c>
      <c r="C367" s="19" t="s">
        <v>222</v>
      </c>
      <c r="D367" s="19" t="s">
        <v>1620</v>
      </c>
      <c r="E367" s="19" t="s">
        <v>302</v>
      </c>
      <c r="F367" s="19" t="s">
        <v>163</v>
      </c>
      <c r="G367" s="19" t="s">
        <v>28</v>
      </c>
      <c r="H367" s="19" t="s">
        <v>1621</v>
      </c>
      <c r="I367" s="19" t="s">
        <v>30</v>
      </c>
      <c r="J367" s="19" t="s">
        <v>31</v>
      </c>
      <c r="K367" s="19" t="s">
        <v>122</v>
      </c>
      <c r="L367" s="19" t="s">
        <v>227</v>
      </c>
      <c r="M367" s="19">
        <v>5</v>
      </c>
      <c r="N367" s="19">
        <v>20</v>
      </c>
      <c r="O367" s="19">
        <v>0</v>
      </c>
      <c r="P367" s="19">
        <v>100</v>
      </c>
      <c r="Q367" s="19">
        <v>2</v>
      </c>
      <c r="R367" s="19" t="s">
        <v>88</v>
      </c>
      <c r="S367" s="19" t="s">
        <v>49</v>
      </c>
      <c r="T367" s="19" t="s">
        <v>62</v>
      </c>
      <c r="U367" s="21" t="s">
        <v>1622</v>
      </c>
      <c r="V367" s="19" t="s">
        <v>64</v>
      </c>
      <c r="W367" s="15" t="str">
        <f t="shared" si="5"/>
        <v>Blacklisted</v>
      </c>
    </row>
    <row r="368" spans="1:23" x14ac:dyDescent="0.3">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8" t="s">
        <v>1625</v>
      </c>
      <c r="V368" s="15" t="s">
        <v>69</v>
      </c>
      <c r="W368" s="15" t="str">
        <f t="shared" si="5"/>
        <v>Blacklisted</v>
      </c>
    </row>
    <row r="369" spans="1:23" x14ac:dyDescent="0.3">
      <c r="A369" s="19" t="s">
        <v>1626</v>
      </c>
      <c r="B369" s="19" t="s">
        <v>23</v>
      </c>
      <c r="C369" s="19" t="s">
        <v>24</v>
      </c>
      <c r="D369" s="19" t="s">
        <v>1263</v>
      </c>
      <c r="E369" s="19" t="s">
        <v>944</v>
      </c>
      <c r="F369" s="19" t="s">
        <v>27</v>
      </c>
      <c r="G369" s="19" t="s">
        <v>28</v>
      </c>
      <c r="H369" s="19" t="s">
        <v>1627</v>
      </c>
      <c r="I369" s="19" t="s">
        <v>212</v>
      </c>
      <c r="J369" s="19" t="s">
        <v>45</v>
      </c>
      <c r="K369" s="19" t="s">
        <v>32</v>
      </c>
      <c r="L369" s="19" t="s">
        <v>33</v>
      </c>
      <c r="M369" s="19">
        <v>1</v>
      </c>
      <c r="N369" s="19">
        <v>2200</v>
      </c>
      <c r="O369" s="19">
        <v>10</v>
      </c>
      <c r="P369" s="19">
        <v>1980</v>
      </c>
      <c r="Q369" s="19">
        <v>5</v>
      </c>
      <c r="R369" s="19" t="s">
        <v>79</v>
      </c>
      <c r="S369" s="19" t="s">
        <v>49</v>
      </c>
      <c r="T369" s="19" t="s">
        <v>50</v>
      </c>
      <c r="U369" s="21" t="s">
        <v>1628</v>
      </c>
      <c r="V369" s="19" t="s">
        <v>38</v>
      </c>
      <c r="W369" s="15" t="str">
        <f t="shared" si="5"/>
        <v>Silver</v>
      </c>
    </row>
    <row r="370" spans="1:23" x14ac:dyDescent="0.3">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8" t="s">
        <v>1632</v>
      </c>
      <c r="V370" s="15" t="s">
        <v>69</v>
      </c>
      <c r="W370" s="15" t="str">
        <f t="shared" si="5"/>
        <v>Blacklisted</v>
      </c>
    </row>
    <row r="371" spans="1:23" x14ac:dyDescent="0.3">
      <c r="A371" s="19" t="s">
        <v>1633</v>
      </c>
      <c r="B371" s="19" t="s">
        <v>327</v>
      </c>
      <c r="C371" s="19" t="s">
        <v>54</v>
      </c>
      <c r="D371" s="19"/>
      <c r="E371" s="19" t="s">
        <v>1634</v>
      </c>
      <c r="F371" s="19" t="s">
        <v>394</v>
      </c>
      <c r="G371" s="19" t="s">
        <v>76</v>
      </c>
      <c r="H371" s="19" t="s">
        <v>1635</v>
      </c>
      <c r="I371" s="19" t="s">
        <v>44</v>
      </c>
      <c r="J371" s="19" t="s">
        <v>45</v>
      </c>
      <c r="K371" s="19" t="s">
        <v>46</v>
      </c>
      <c r="L371" s="19" t="s">
        <v>60</v>
      </c>
      <c r="M371" s="19">
        <v>15</v>
      </c>
      <c r="N371" s="19">
        <v>55000</v>
      </c>
      <c r="O371" s="19">
        <v>0</v>
      </c>
      <c r="P371" s="19">
        <v>825000</v>
      </c>
      <c r="Q371" s="19">
        <v>5</v>
      </c>
      <c r="R371" s="19" t="s">
        <v>79</v>
      </c>
      <c r="S371" s="19" t="s">
        <v>115</v>
      </c>
      <c r="T371" s="19" t="s">
        <v>332</v>
      </c>
      <c r="U371" s="21" t="s">
        <v>1636</v>
      </c>
      <c r="V371" s="19" t="s">
        <v>69</v>
      </c>
      <c r="W371" s="15" t="str">
        <f t="shared" si="5"/>
        <v>Blacklisted</v>
      </c>
    </row>
    <row r="372" spans="1:23" x14ac:dyDescent="0.3">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8" t="s">
        <v>1640</v>
      </c>
      <c r="V372" s="15" t="s">
        <v>38</v>
      </c>
      <c r="W372" s="15" t="str">
        <f t="shared" si="5"/>
        <v>Silver</v>
      </c>
    </row>
    <row r="373" spans="1:23" x14ac:dyDescent="0.3">
      <c r="A373" s="19" t="s">
        <v>1641</v>
      </c>
      <c r="B373" s="19" t="s">
        <v>251</v>
      </c>
      <c r="C373" s="19" t="s">
        <v>222</v>
      </c>
      <c r="D373" s="19" t="s">
        <v>1642</v>
      </c>
      <c r="E373" s="19" t="s">
        <v>1643</v>
      </c>
      <c r="F373" s="19" t="s">
        <v>254</v>
      </c>
      <c r="G373" s="19" t="s">
        <v>28</v>
      </c>
      <c r="H373" s="19" t="s">
        <v>1644</v>
      </c>
      <c r="I373" s="19" t="s">
        <v>212</v>
      </c>
      <c r="J373" s="19" t="s">
        <v>45</v>
      </c>
      <c r="K373" s="19" t="s">
        <v>122</v>
      </c>
      <c r="L373" s="19" t="s">
        <v>227</v>
      </c>
      <c r="M373" s="19">
        <v>9</v>
      </c>
      <c r="N373" s="19">
        <v>20</v>
      </c>
      <c r="O373" s="19">
        <v>10</v>
      </c>
      <c r="P373" s="19">
        <v>162</v>
      </c>
      <c r="Q373" s="19">
        <v>1</v>
      </c>
      <c r="R373" s="19" t="s">
        <v>79</v>
      </c>
      <c r="S373" s="19" t="s">
        <v>49</v>
      </c>
      <c r="T373" s="19" t="s">
        <v>256</v>
      </c>
      <c r="U373" s="21" t="s">
        <v>1645</v>
      </c>
      <c r="V373" s="19" t="s">
        <v>69</v>
      </c>
      <c r="W373" s="15" t="str">
        <f t="shared" si="5"/>
        <v>Blacklisted</v>
      </c>
    </row>
    <row r="374" spans="1:23" x14ac:dyDescent="0.3">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8" t="s">
        <v>1648</v>
      </c>
      <c r="V374" s="15" t="s">
        <v>64</v>
      </c>
      <c r="W374" s="15" t="str">
        <f t="shared" si="5"/>
        <v>Pending</v>
      </c>
    </row>
    <row r="375" spans="1:23" x14ac:dyDescent="0.3">
      <c r="A375" s="19" t="s">
        <v>1649</v>
      </c>
      <c r="B375" s="19" t="s">
        <v>83</v>
      </c>
      <c r="C375" s="19" t="s">
        <v>184</v>
      </c>
      <c r="D375" s="19" t="s">
        <v>1650</v>
      </c>
      <c r="E375" s="19" t="s">
        <v>1102</v>
      </c>
      <c r="F375" s="19" t="s">
        <v>180</v>
      </c>
      <c r="G375" s="19" t="s">
        <v>76</v>
      </c>
      <c r="H375" s="19" t="s">
        <v>1651</v>
      </c>
      <c r="I375" s="19" t="s">
        <v>30</v>
      </c>
      <c r="J375" s="19" t="s">
        <v>31</v>
      </c>
      <c r="K375" s="19" t="s">
        <v>46</v>
      </c>
      <c r="L375" s="19" t="s">
        <v>189</v>
      </c>
      <c r="M375" s="19">
        <v>5</v>
      </c>
      <c r="N375" s="19">
        <v>700</v>
      </c>
      <c r="O375" s="19">
        <v>10</v>
      </c>
      <c r="P375" s="19">
        <v>3150</v>
      </c>
      <c r="Q375" s="19">
        <v>2</v>
      </c>
      <c r="R375" s="19" t="s">
        <v>88</v>
      </c>
      <c r="S375" s="19" t="s">
        <v>49</v>
      </c>
      <c r="T375" s="19" t="s">
        <v>89</v>
      </c>
      <c r="U375" s="21" t="s">
        <v>1652</v>
      </c>
      <c r="V375" s="19" t="s">
        <v>38</v>
      </c>
      <c r="W375" s="15" t="str">
        <f t="shared" si="5"/>
        <v>Blacklisted</v>
      </c>
    </row>
    <row r="376" spans="1:23" x14ac:dyDescent="0.3">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8" t="s">
        <v>1656</v>
      </c>
      <c r="V376" s="15" t="s">
        <v>38</v>
      </c>
      <c r="W376" s="15" t="str">
        <f t="shared" si="5"/>
        <v>Blacklisted</v>
      </c>
    </row>
    <row r="377" spans="1:23" x14ac:dyDescent="0.3">
      <c r="A377" s="19" t="s">
        <v>1657</v>
      </c>
      <c r="B377" s="19" t="s">
        <v>23</v>
      </c>
      <c r="C377" s="19" t="s">
        <v>184</v>
      </c>
      <c r="D377" s="19" t="s">
        <v>1368</v>
      </c>
      <c r="E377" s="19" t="s">
        <v>923</v>
      </c>
      <c r="F377" s="19" t="s">
        <v>27</v>
      </c>
      <c r="G377" s="19" t="s">
        <v>28</v>
      </c>
      <c r="H377" s="19" t="s">
        <v>1658</v>
      </c>
      <c r="I377" s="19" t="s">
        <v>105</v>
      </c>
      <c r="J377" s="19" t="s">
        <v>106</v>
      </c>
      <c r="K377" s="19" t="s">
        <v>46</v>
      </c>
      <c r="L377" s="19" t="s">
        <v>189</v>
      </c>
      <c r="M377" s="19">
        <v>13</v>
      </c>
      <c r="N377" s="19">
        <v>700</v>
      </c>
      <c r="O377" s="19">
        <v>20</v>
      </c>
      <c r="P377" s="19">
        <v>7280</v>
      </c>
      <c r="Q377" s="19">
        <v>2</v>
      </c>
      <c r="R377" s="19" t="s">
        <v>79</v>
      </c>
      <c r="S377" s="19" t="s">
        <v>35</v>
      </c>
      <c r="T377" s="19" t="s">
        <v>50</v>
      </c>
      <c r="U377" s="21" t="s">
        <v>1659</v>
      </c>
      <c r="V377" s="19" t="s">
        <v>38</v>
      </c>
      <c r="W377" s="15" t="str">
        <f t="shared" si="5"/>
        <v>Blacklisted</v>
      </c>
    </row>
    <row r="378" spans="1:23" x14ac:dyDescent="0.3">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8" t="s">
        <v>1662</v>
      </c>
      <c r="V378" s="15" t="s">
        <v>38</v>
      </c>
      <c r="W378" s="15" t="str">
        <f t="shared" si="5"/>
        <v>Blacklisted</v>
      </c>
    </row>
    <row r="379" spans="1:23" x14ac:dyDescent="0.3">
      <c r="A379" s="19" t="s">
        <v>1663</v>
      </c>
      <c r="B379" s="19" t="s">
        <v>83</v>
      </c>
      <c r="C379" s="19" t="s">
        <v>72</v>
      </c>
      <c r="D379" s="19" t="s">
        <v>1198</v>
      </c>
      <c r="E379" s="19" t="s">
        <v>712</v>
      </c>
      <c r="F379" s="19" t="s">
        <v>180</v>
      </c>
      <c r="G379" s="19" t="s">
        <v>76</v>
      </c>
      <c r="H379" s="19" t="s">
        <v>1664</v>
      </c>
      <c r="I379" s="19" t="s">
        <v>294</v>
      </c>
      <c r="J379" s="19" t="s">
        <v>295</v>
      </c>
      <c r="K379" s="19" t="s">
        <v>46</v>
      </c>
      <c r="L379" s="19" t="s">
        <v>78</v>
      </c>
      <c r="M379" s="19">
        <v>9</v>
      </c>
      <c r="N379" s="19">
        <v>1200</v>
      </c>
      <c r="O379" s="19">
        <v>15</v>
      </c>
      <c r="P379" s="19">
        <v>9180</v>
      </c>
      <c r="Q379" s="19">
        <v>1</v>
      </c>
      <c r="R379" s="19" t="s">
        <v>88</v>
      </c>
      <c r="S379" s="19" t="s">
        <v>35</v>
      </c>
      <c r="T379" s="19" t="s">
        <v>89</v>
      </c>
      <c r="U379" s="21" t="s">
        <v>1665</v>
      </c>
      <c r="V379" s="19" t="s">
        <v>64</v>
      </c>
      <c r="W379" s="15" t="str">
        <f t="shared" si="5"/>
        <v>Blacklisted</v>
      </c>
    </row>
    <row r="380" spans="1:23" x14ac:dyDescent="0.3">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8" t="s">
        <v>1669</v>
      </c>
      <c r="V380" s="15" t="s">
        <v>64</v>
      </c>
      <c r="W380" s="15" t="str">
        <f t="shared" si="5"/>
        <v>Pending</v>
      </c>
    </row>
    <row r="381" spans="1:23" x14ac:dyDescent="0.3">
      <c r="A381" s="19" t="s">
        <v>1670</v>
      </c>
      <c r="B381" s="19" t="s">
        <v>251</v>
      </c>
      <c r="C381" s="19" t="s">
        <v>54</v>
      </c>
      <c r="D381" s="19" t="s">
        <v>788</v>
      </c>
      <c r="E381" s="19" t="s">
        <v>455</v>
      </c>
      <c r="F381" s="19" t="s">
        <v>254</v>
      </c>
      <c r="G381" s="19" t="s">
        <v>28</v>
      </c>
      <c r="H381" s="19" t="s">
        <v>1671</v>
      </c>
      <c r="I381" s="19" t="s">
        <v>44</v>
      </c>
      <c r="J381" s="19" t="s">
        <v>45</v>
      </c>
      <c r="K381" s="19" t="s">
        <v>46</v>
      </c>
      <c r="L381" s="19" t="s">
        <v>60</v>
      </c>
      <c r="M381" s="19">
        <v>8</v>
      </c>
      <c r="N381" s="19">
        <v>55000</v>
      </c>
      <c r="O381" s="19">
        <v>20</v>
      </c>
      <c r="P381" s="19">
        <v>352000</v>
      </c>
      <c r="Q381" s="19">
        <v>5</v>
      </c>
      <c r="R381" s="19" t="s">
        <v>79</v>
      </c>
      <c r="S381" s="19" t="s">
        <v>151</v>
      </c>
      <c r="T381" s="19" t="s">
        <v>256</v>
      </c>
      <c r="U381" s="21" t="s">
        <v>1672</v>
      </c>
      <c r="V381" s="19" t="s">
        <v>64</v>
      </c>
      <c r="W381" s="15" t="str">
        <f t="shared" si="5"/>
        <v>Pending</v>
      </c>
    </row>
    <row r="382" spans="1:23" x14ac:dyDescent="0.3">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8" t="s">
        <v>1675</v>
      </c>
      <c r="V382" s="15" t="s">
        <v>64</v>
      </c>
      <c r="W382" s="15" t="str">
        <f t="shared" si="5"/>
        <v>Blacklisted</v>
      </c>
    </row>
    <row r="383" spans="1:23" x14ac:dyDescent="0.3">
      <c r="A383" s="19" t="s">
        <v>1676</v>
      </c>
      <c r="B383" s="19" t="s">
        <v>127</v>
      </c>
      <c r="C383" s="19" t="s">
        <v>222</v>
      </c>
      <c r="D383" s="19" t="s">
        <v>1677</v>
      </c>
      <c r="E383" s="19" t="s">
        <v>236</v>
      </c>
      <c r="F383" s="19" t="s">
        <v>200</v>
      </c>
      <c r="G383" s="19" t="s">
        <v>76</v>
      </c>
      <c r="H383" s="19" t="s">
        <v>1678</v>
      </c>
      <c r="I383" s="19" t="s">
        <v>59</v>
      </c>
      <c r="J383" s="19" t="s">
        <v>31</v>
      </c>
      <c r="K383" s="19" t="s">
        <v>122</v>
      </c>
      <c r="L383" s="19" t="s">
        <v>227</v>
      </c>
      <c r="M383" s="19">
        <v>4</v>
      </c>
      <c r="N383" s="19">
        <v>20</v>
      </c>
      <c r="O383" s="19">
        <v>15</v>
      </c>
      <c r="P383" s="19">
        <v>68</v>
      </c>
      <c r="Q383" s="19">
        <v>3</v>
      </c>
      <c r="R383" s="19" t="s">
        <v>48</v>
      </c>
      <c r="S383" s="19" t="s">
        <v>61</v>
      </c>
      <c r="T383" s="19" t="s">
        <v>132</v>
      </c>
      <c r="U383" s="21" t="s">
        <v>1679</v>
      </c>
      <c r="V383" s="19" t="s">
        <v>64</v>
      </c>
      <c r="W383" s="15" t="str">
        <f t="shared" si="5"/>
        <v>Pending</v>
      </c>
    </row>
    <row r="384" spans="1:23" x14ac:dyDescent="0.3">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8" t="s">
        <v>1683</v>
      </c>
      <c r="V384" s="15" t="s">
        <v>64</v>
      </c>
      <c r="W384" s="15" t="str">
        <f t="shared" si="5"/>
        <v>Blacklisted</v>
      </c>
    </row>
    <row r="385" spans="1:23" x14ac:dyDescent="0.3">
      <c r="A385" s="19" t="s">
        <v>1684</v>
      </c>
      <c r="B385" s="19" t="s">
        <v>221</v>
      </c>
      <c r="C385" s="19" t="s">
        <v>118</v>
      </c>
      <c r="D385" s="19" t="s">
        <v>366</v>
      </c>
      <c r="E385" s="19" t="s">
        <v>539</v>
      </c>
      <c r="F385" s="19" t="s">
        <v>225</v>
      </c>
      <c r="G385" s="19" t="s">
        <v>76</v>
      </c>
      <c r="H385" s="19" t="s">
        <v>1685</v>
      </c>
      <c r="I385" s="19" t="s">
        <v>59</v>
      </c>
      <c r="J385" s="19" t="s">
        <v>31</v>
      </c>
      <c r="K385" s="19" t="s">
        <v>122</v>
      </c>
      <c r="L385" s="19" t="s">
        <v>123</v>
      </c>
      <c r="M385" s="19">
        <v>5</v>
      </c>
      <c r="N385" s="19">
        <v>60</v>
      </c>
      <c r="O385" s="19">
        <v>5</v>
      </c>
      <c r="P385" s="19">
        <v>285</v>
      </c>
      <c r="Q385" s="19">
        <v>1</v>
      </c>
      <c r="R385" s="19" t="s">
        <v>88</v>
      </c>
      <c r="S385" s="19" t="s">
        <v>35</v>
      </c>
      <c r="T385" s="19" t="s">
        <v>228</v>
      </c>
      <c r="U385" s="21" t="s">
        <v>1686</v>
      </c>
      <c r="V385" s="19" t="s">
        <v>69</v>
      </c>
      <c r="W385" s="15" t="str">
        <f t="shared" si="5"/>
        <v>Blacklisted</v>
      </c>
    </row>
    <row r="386" spans="1:23" x14ac:dyDescent="0.3">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8" t="s">
        <v>1691</v>
      </c>
      <c r="V386" s="15" t="s">
        <v>69</v>
      </c>
      <c r="W386" s="15" t="str">
        <f t="shared" si="5"/>
        <v>Blacklisted</v>
      </c>
    </row>
    <row r="387" spans="1:23" x14ac:dyDescent="0.3">
      <c r="A387" s="19" t="s">
        <v>1692</v>
      </c>
      <c r="B387" s="19" t="s">
        <v>168</v>
      </c>
      <c r="C387" s="19" t="s">
        <v>118</v>
      </c>
      <c r="D387" s="19" t="s">
        <v>186</v>
      </c>
      <c r="E387" s="19" t="s">
        <v>610</v>
      </c>
      <c r="F387" s="19" t="s">
        <v>361</v>
      </c>
      <c r="G387" s="19" t="s">
        <v>28</v>
      </c>
      <c r="H387" s="19" t="s">
        <v>1693</v>
      </c>
      <c r="I387" s="19" t="s">
        <v>138</v>
      </c>
      <c r="J387" s="19" t="s">
        <v>106</v>
      </c>
      <c r="K387" s="19" t="s">
        <v>122</v>
      </c>
      <c r="L387" s="19" t="s">
        <v>123</v>
      </c>
      <c r="M387" s="19">
        <v>7</v>
      </c>
      <c r="N387" s="19">
        <v>60</v>
      </c>
      <c r="O387" s="19">
        <v>0</v>
      </c>
      <c r="P387" s="19">
        <v>420</v>
      </c>
      <c r="Q387" s="19">
        <v>2</v>
      </c>
      <c r="R387" s="19" t="s">
        <v>88</v>
      </c>
      <c r="S387" s="19" t="s">
        <v>61</v>
      </c>
      <c r="T387" s="19" t="s">
        <v>175</v>
      </c>
      <c r="U387" s="21" t="s">
        <v>1694</v>
      </c>
      <c r="V387" s="19" t="s">
        <v>64</v>
      </c>
      <c r="W387" s="15" t="str">
        <f t="shared" ref="W387:W450" si="6">IF(OR(Q387&lt;=2, V387="Cancelled"), "Blacklisted", IF(AND(P387&gt;=100000, Q387&gt;=4, O387&lt;=10, V387="Completed"), "Platinum", IF(AND(P387&gt;=50000, P387&lt;=99999, Q387&gt;=3, V387="Completed"), "Gold", IF(AND(P387&lt;50000, V387="Completed"), "Silver", "Pending"))))</f>
        <v>Blacklisted</v>
      </c>
    </row>
    <row r="388" spans="1:23" x14ac:dyDescent="0.3">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8" t="s">
        <v>1698</v>
      </c>
      <c r="V388" s="15" t="s">
        <v>38</v>
      </c>
      <c r="W388" s="15" t="str">
        <f t="shared" si="6"/>
        <v>Platinum</v>
      </c>
    </row>
    <row r="389" spans="1:23" x14ac:dyDescent="0.3">
      <c r="A389" s="19" t="s">
        <v>1699</v>
      </c>
      <c r="B389" s="19" t="s">
        <v>71</v>
      </c>
      <c r="C389" s="19" t="s">
        <v>222</v>
      </c>
      <c r="D389" s="19" t="s">
        <v>1306</v>
      </c>
      <c r="E389" s="19" t="s">
        <v>1700</v>
      </c>
      <c r="F389" s="19" t="s">
        <v>217</v>
      </c>
      <c r="G389" s="19" t="s">
        <v>76</v>
      </c>
      <c r="H389" s="19" t="s">
        <v>1701</v>
      </c>
      <c r="I389" s="19" t="s">
        <v>30</v>
      </c>
      <c r="J389" s="19" t="s">
        <v>31</v>
      </c>
      <c r="K389" s="19" t="s">
        <v>122</v>
      </c>
      <c r="L389" s="19" t="s">
        <v>227</v>
      </c>
      <c r="M389" s="19">
        <v>16</v>
      </c>
      <c r="N389" s="19">
        <v>20</v>
      </c>
      <c r="O389" s="19">
        <v>5</v>
      </c>
      <c r="P389" s="19">
        <v>304</v>
      </c>
      <c r="Q389" s="19">
        <v>1</v>
      </c>
      <c r="R389" s="19" t="s">
        <v>79</v>
      </c>
      <c r="S389" s="19" t="s">
        <v>49</v>
      </c>
      <c r="T389" s="19" t="s">
        <v>80</v>
      </c>
      <c r="U389" s="21" t="s">
        <v>1702</v>
      </c>
      <c r="V389" s="19" t="s">
        <v>38</v>
      </c>
      <c r="W389" s="15" t="str">
        <f t="shared" si="6"/>
        <v>Blacklisted</v>
      </c>
    </row>
    <row r="390" spans="1:23" x14ac:dyDescent="0.3">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8" t="s">
        <v>1707</v>
      </c>
      <c r="V390" s="15" t="s">
        <v>69</v>
      </c>
      <c r="W390" s="15" t="str">
        <f t="shared" si="6"/>
        <v>Blacklisted</v>
      </c>
    </row>
    <row r="391" spans="1:23" x14ac:dyDescent="0.3">
      <c r="A391" s="19" t="s">
        <v>1708</v>
      </c>
      <c r="B391" s="19" t="s">
        <v>100</v>
      </c>
      <c r="C391" s="19" t="s">
        <v>222</v>
      </c>
      <c r="D391" s="19" t="s">
        <v>1069</v>
      </c>
      <c r="E391" s="19" t="s">
        <v>1409</v>
      </c>
      <c r="F391" s="19" t="s">
        <v>103</v>
      </c>
      <c r="G391" s="19" t="s">
        <v>28</v>
      </c>
      <c r="H391" s="19" t="s">
        <v>1709</v>
      </c>
      <c r="I391" s="19" t="s">
        <v>114</v>
      </c>
      <c r="J391" s="19" t="s">
        <v>106</v>
      </c>
      <c r="K391" s="19" t="s">
        <v>122</v>
      </c>
      <c r="L391" s="19" t="s">
        <v>227</v>
      </c>
      <c r="M391" s="19">
        <v>19</v>
      </c>
      <c r="N391" s="19">
        <v>20</v>
      </c>
      <c r="O391" s="19">
        <v>5</v>
      </c>
      <c r="P391" s="19">
        <v>361</v>
      </c>
      <c r="Q391" s="19">
        <v>4</v>
      </c>
      <c r="R391" s="19" t="s">
        <v>88</v>
      </c>
      <c r="S391" s="19" t="s">
        <v>35</v>
      </c>
      <c r="T391" s="19" t="s">
        <v>144</v>
      </c>
      <c r="U391" s="21" t="s">
        <v>1710</v>
      </c>
      <c r="V391" s="19" t="s">
        <v>64</v>
      </c>
      <c r="W391" s="15" t="str">
        <f t="shared" si="6"/>
        <v>Pending</v>
      </c>
    </row>
    <row r="392" spans="1:23" x14ac:dyDescent="0.3">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8" t="s">
        <v>1715</v>
      </c>
      <c r="V392" s="15" t="s">
        <v>64</v>
      </c>
      <c r="W392" s="15" t="str">
        <f t="shared" si="6"/>
        <v>Pending</v>
      </c>
    </row>
    <row r="393" spans="1:23" x14ac:dyDescent="0.3">
      <c r="A393" s="19" t="s">
        <v>1716</v>
      </c>
      <c r="B393" s="19" t="s">
        <v>53</v>
      </c>
      <c r="C393" s="19" t="s">
        <v>222</v>
      </c>
      <c r="D393" s="19" t="s">
        <v>1717</v>
      </c>
      <c r="E393" s="19" t="s">
        <v>1718</v>
      </c>
      <c r="F393" s="19" t="s">
        <v>163</v>
      </c>
      <c r="G393" s="19" t="s">
        <v>28</v>
      </c>
      <c r="H393" s="19" t="s">
        <v>1719</v>
      </c>
      <c r="I393" s="19" t="s">
        <v>30</v>
      </c>
      <c r="J393" s="19" t="s">
        <v>31</v>
      </c>
      <c r="K393" s="19" t="s">
        <v>122</v>
      </c>
      <c r="L393" s="19" t="s">
        <v>227</v>
      </c>
      <c r="M393" s="19">
        <v>13</v>
      </c>
      <c r="N393" s="19">
        <v>20</v>
      </c>
      <c r="O393" s="19">
        <v>15</v>
      </c>
      <c r="P393" s="19">
        <v>221</v>
      </c>
      <c r="Q393" s="19">
        <v>4</v>
      </c>
      <c r="R393" s="19" t="s">
        <v>34</v>
      </c>
      <c r="S393" s="19" t="s">
        <v>35</v>
      </c>
      <c r="T393" s="19" t="s">
        <v>62</v>
      </c>
      <c r="U393" s="21" t="s">
        <v>1720</v>
      </c>
      <c r="V393" s="19" t="s">
        <v>64</v>
      </c>
      <c r="W393" s="15" t="str">
        <f t="shared" si="6"/>
        <v>Pending</v>
      </c>
    </row>
    <row r="394" spans="1:23" x14ac:dyDescent="0.3">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8" t="s">
        <v>1723</v>
      </c>
      <c r="V394" s="15" t="s">
        <v>64</v>
      </c>
      <c r="W394" s="15" t="str">
        <f t="shared" si="6"/>
        <v>Pending</v>
      </c>
    </row>
    <row r="395" spans="1:23" x14ac:dyDescent="0.3">
      <c r="A395" s="19" t="s">
        <v>1724</v>
      </c>
      <c r="B395" s="19" t="s">
        <v>100</v>
      </c>
      <c r="C395" s="19" t="s">
        <v>169</v>
      </c>
      <c r="D395" s="19" t="s">
        <v>1705</v>
      </c>
      <c r="E395" s="19" t="s">
        <v>783</v>
      </c>
      <c r="F395" s="19" t="s">
        <v>103</v>
      </c>
      <c r="G395" s="19" t="s">
        <v>28</v>
      </c>
      <c r="H395" s="19" t="s">
        <v>1725</v>
      </c>
      <c r="I395" s="19" t="s">
        <v>294</v>
      </c>
      <c r="J395" s="19" t="s">
        <v>295</v>
      </c>
      <c r="K395" s="19" t="s">
        <v>32</v>
      </c>
      <c r="L395" s="19" t="s">
        <v>174</v>
      </c>
      <c r="M395" s="19">
        <v>6</v>
      </c>
      <c r="N395" s="19">
        <v>8500</v>
      </c>
      <c r="O395" s="19">
        <v>5</v>
      </c>
      <c r="P395" s="19">
        <v>48450</v>
      </c>
      <c r="Q395" s="19">
        <v>5</v>
      </c>
      <c r="R395" s="19" t="s">
        <v>34</v>
      </c>
      <c r="S395" s="19" t="s">
        <v>115</v>
      </c>
      <c r="T395" s="19" t="s">
        <v>144</v>
      </c>
      <c r="U395" s="21" t="s">
        <v>1726</v>
      </c>
      <c r="V395" s="19" t="s">
        <v>69</v>
      </c>
      <c r="W395" s="15" t="str">
        <f t="shared" si="6"/>
        <v>Blacklisted</v>
      </c>
    </row>
    <row r="396" spans="1:23" x14ac:dyDescent="0.3">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8" t="s">
        <v>1730</v>
      </c>
      <c r="V396" s="15" t="s">
        <v>38</v>
      </c>
      <c r="W396" s="15" t="str">
        <f t="shared" si="6"/>
        <v>Blacklisted</v>
      </c>
    </row>
    <row r="397" spans="1:23" x14ac:dyDescent="0.3">
      <c r="A397" s="19" t="s">
        <v>1731</v>
      </c>
      <c r="B397" s="19" t="s">
        <v>127</v>
      </c>
      <c r="C397" s="19" t="s">
        <v>40</v>
      </c>
      <c r="D397" s="19" t="s">
        <v>1732</v>
      </c>
      <c r="E397" s="19" t="s">
        <v>1733</v>
      </c>
      <c r="F397" s="19" t="s">
        <v>200</v>
      </c>
      <c r="G397" s="19" t="s">
        <v>76</v>
      </c>
      <c r="H397" s="19" t="s">
        <v>1734</v>
      </c>
      <c r="I397" s="19" t="s">
        <v>30</v>
      </c>
      <c r="J397" s="19" t="s">
        <v>31</v>
      </c>
      <c r="K397" s="19" t="s">
        <v>46</v>
      </c>
      <c r="L397" s="19" t="s">
        <v>47</v>
      </c>
      <c r="M397" s="19">
        <v>19</v>
      </c>
      <c r="N397" s="19">
        <v>12000</v>
      </c>
      <c r="O397" s="19">
        <v>20</v>
      </c>
      <c r="P397" s="19">
        <v>182400</v>
      </c>
      <c r="Q397" s="19">
        <v>5</v>
      </c>
      <c r="R397" s="19" t="s">
        <v>34</v>
      </c>
      <c r="S397" s="19" t="s">
        <v>115</v>
      </c>
      <c r="T397" s="19" t="s">
        <v>132</v>
      </c>
      <c r="U397" s="21" t="s">
        <v>1735</v>
      </c>
      <c r="V397" s="19" t="s">
        <v>38</v>
      </c>
      <c r="W397" s="15" t="str">
        <f t="shared" si="6"/>
        <v>Pending</v>
      </c>
    </row>
    <row r="398" spans="1:23" x14ac:dyDescent="0.3">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8" t="s">
        <v>1739</v>
      </c>
      <c r="V398" s="15" t="s">
        <v>69</v>
      </c>
      <c r="W398" s="15" t="str">
        <f t="shared" si="6"/>
        <v>Blacklisted</v>
      </c>
    </row>
    <row r="399" spans="1:23" x14ac:dyDescent="0.3">
      <c r="A399" s="19" t="s">
        <v>1740</v>
      </c>
      <c r="B399" s="19" t="s">
        <v>83</v>
      </c>
      <c r="C399" s="19" t="s">
        <v>40</v>
      </c>
      <c r="D399" s="19" t="s">
        <v>1654</v>
      </c>
      <c r="E399" s="19" t="s">
        <v>765</v>
      </c>
      <c r="F399" s="19" t="s">
        <v>180</v>
      </c>
      <c r="G399" s="19" t="s">
        <v>76</v>
      </c>
      <c r="H399" s="19" t="s">
        <v>1741</v>
      </c>
      <c r="I399" s="19" t="s">
        <v>294</v>
      </c>
      <c r="J399" s="19" t="s">
        <v>295</v>
      </c>
      <c r="K399" s="19" t="s">
        <v>46</v>
      </c>
      <c r="L399" s="19" t="s">
        <v>47</v>
      </c>
      <c r="M399" s="19">
        <v>19</v>
      </c>
      <c r="N399" s="19">
        <v>12000</v>
      </c>
      <c r="O399" s="19">
        <v>0</v>
      </c>
      <c r="P399" s="19">
        <v>228000</v>
      </c>
      <c r="Q399" s="19">
        <v>4</v>
      </c>
      <c r="R399" s="19" t="s">
        <v>88</v>
      </c>
      <c r="S399" s="19" t="s">
        <v>61</v>
      </c>
      <c r="T399" s="19" t="s">
        <v>89</v>
      </c>
      <c r="U399" s="21" t="s">
        <v>1742</v>
      </c>
      <c r="V399" s="19" t="s">
        <v>64</v>
      </c>
      <c r="W399" s="15" t="str">
        <f t="shared" si="6"/>
        <v>Pending</v>
      </c>
    </row>
    <row r="400" spans="1:23" x14ac:dyDescent="0.3">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8" t="s">
        <v>1745</v>
      </c>
      <c r="V400" s="15" t="s">
        <v>38</v>
      </c>
      <c r="W400" s="15" t="str">
        <f t="shared" si="6"/>
        <v>Silver</v>
      </c>
    </row>
    <row r="401" spans="1:23" x14ac:dyDescent="0.3">
      <c r="A401" s="19" t="s">
        <v>1746</v>
      </c>
      <c r="B401" s="19" t="s">
        <v>23</v>
      </c>
      <c r="C401" s="19" t="s">
        <v>72</v>
      </c>
      <c r="D401" s="19" t="s">
        <v>1747</v>
      </c>
      <c r="E401" s="19" t="s">
        <v>707</v>
      </c>
      <c r="F401" s="19" t="s">
        <v>27</v>
      </c>
      <c r="G401" s="19" t="s">
        <v>28</v>
      </c>
      <c r="H401" s="19" t="s">
        <v>1748</v>
      </c>
      <c r="I401" s="19" t="s">
        <v>44</v>
      </c>
      <c r="J401" s="19" t="s">
        <v>45</v>
      </c>
      <c r="K401" s="19" t="s">
        <v>46</v>
      </c>
      <c r="L401" s="19" t="s">
        <v>78</v>
      </c>
      <c r="M401" s="19">
        <v>16</v>
      </c>
      <c r="N401" s="19">
        <v>1200</v>
      </c>
      <c r="O401" s="19">
        <v>20</v>
      </c>
      <c r="P401" s="19">
        <v>15360</v>
      </c>
      <c r="Q401" s="19">
        <v>1</v>
      </c>
      <c r="R401" s="19" t="s">
        <v>34</v>
      </c>
      <c r="S401" s="19" t="s">
        <v>49</v>
      </c>
      <c r="T401" s="19" t="s">
        <v>50</v>
      </c>
      <c r="U401" s="21" t="s">
        <v>1749</v>
      </c>
      <c r="V401" s="19" t="s">
        <v>64</v>
      </c>
      <c r="W401" s="15" t="str">
        <f t="shared" si="6"/>
        <v>Blacklisted</v>
      </c>
    </row>
    <row r="402" spans="1:23" x14ac:dyDescent="0.3">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8" t="s">
        <v>1752</v>
      </c>
      <c r="V402" s="15" t="s">
        <v>38</v>
      </c>
      <c r="W402" s="15" t="str">
        <f t="shared" si="6"/>
        <v>Gold</v>
      </c>
    </row>
    <row r="403" spans="1:23" x14ac:dyDescent="0.3">
      <c r="A403" s="19" t="s">
        <v>1753</v>
      </c>
      <c r="B403" s="19" t="s">
        <v>23</v>
      </c>
      <c r="C403" s="19" t="s">
        <v>222</v>
      </c>
      <c r="D403" s="19" t="s">
        <v>1373</v>
      </c>
      <c r="E403" s="19" t="s">
        <v>386</v>
      </c>
      <c r="F403" s="19" t="s">
        <v>27</v>
      </c>
      <c r="G403" s="19" t="s">
        <v>28</v>
      </c>
      <c r="H403" s="19" t="s">
        <v>1754</v>
      </c>
      <c r="I403" s="19" t="s">
        <v>138</v>
      </c>
      <c r="J403" s="19" t="s">
        <v>106</v>
      </c>
      <c r="K403" s="19" t="s">
        <v>122</v>
      </c>
      <c r="L403" s="19" t="s">
        <v>227</v>
      </c>
      <c r="M403" s="19">
        <v>18</v>
      </c>
      <c r="N403" s="19">
        <v>20</v>
      </c>
      <c r="O403" s="19">
        <v>20</v>
      </c>
      <c r="P403" s="19">
        <v>288</v>
      </c>
      <c r="Q403" s="19">
        <v>1</v>
      </c>
      <c r="R403" s="19" t="s">
        <v>88</v>
      </c>
      <c r="S403" s="19" t="s">
        <v>35</v>
      </c>
      <c r="T403" s="19" t="s">
        <v>50</v>
      </c>
      <c r="U403" s="21" t="s">
        <v>1755</v>
      </c>
      <c r="V403" s="19" t="s">
        <v>64</v>
      </c>
      <c r="W403" s="15" t="str">
        <f t="shared" si="6"/>
        <v>Blacklisted</v>
      </c>
    </row>
    <row r="404" spans="1:23" x14ac:dyDescent="0.3">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8" t="s">
        <v>1758</v>
      </c>
      <c r="V404" s="15" t="s">
        <v>64</v>
      </c>
      <c r="W404" s="15" t="str">
        <f t="shared" si="6"/>
        <v>Blacklisted</v>
      </c>
    </row>
    <row r="405" spans="1:23" x14ac:dyDescent="0.3">
      <c r="A405" s="19" t="s">
        <v>1759</v>
      </c>
      <c r="B405" s="19" t="s">
        <v>23</v>
      </c>
      <c r="C405" s="19" t="s">
        <v>169</v>
      </c>
      <c r="D405" s="19" t="s">
        <v>1221</v>
      </c>
      <c r="E405" s="19" t="s">
        <v>1760</v>
      </c>
      <c r="F405" s="19" t="s">
        <v>27</v>
      </c>
      <c r="G405" s="19" t="s">
        <v>28</v>
      </c>
      <c r="H405" s="19" t="s">
        <v>1761</v>
      </c>
      <c r="I405" s="19" t="s">
        <v>105</v>
      </c>
      <c r="J405" s="19" t="s">
        <v>106</v>
      </c>
      <c r="K405" s="19" t="s">
        <v>32</v>
      </c>
      <c r="L405" s="19" t="s">
        <v>174</v>
      </c>
      <c r="M405" s="19">
        <v>8</v>
      </c>
      <c r="N405" s="19">
        <v>8500</v>
      </c>
      <c r="O405" s="19">
        <v>10</v>
      </c>
      <c r="P405" s="19">
        <v>61200</v>
      </c>
      <c r="Q405" s="19">
        <v>4</v>
      </c>
      <c r="R405" s="19" t="s">
        <v>34</v>
      </c>
      <c r="S405" s="19" t="s">
        <v>115</v>
      </c>
      <c r="T405" s="19" t="s">
        <v>50</v>
      </c>
      <c r="U405" s="21" t="s">
        <v>1762</v>
      </c>
      <c r="V405" s="19" t="s">
        <v>69</v>
      </c>
      <c r="W405" s="15" t="str">
        <f t="shared" si="6"/>
        <v>Blacklisted</v>
      </c>
    </row>
    <row r="406" spans="1:23" x14ac:dyDescent="0.3">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8" t="s">
        <v>1766</v>
      </c>
      <c r="V406" s="15" t="s">
        <v>64</v>
      </c>
      <c r="W406" s="15" t="str">
        <f t="shared" si="6"/>
        <v>Pending</v>
      </c>
    </row>
    <row r="407" spans="1:23" x14ac:dyDescent="0.3">
      <c r="A407" s="19" t="s">
        <v>1767</v>
      </c>
      <c r="B407" s="19" t="s">
        <v>168</v>
      </c>
      <c r="C407" s="19" t="s">
        <v>169</v>
      </c>
      <c r="D407" s="19" t="s">
        <v>232</v>
      </c>
      <c r="E407" s="19" t="s">
        <v>641</v>
      </c>
      <c r="F407" s="19" t="s">
        <v>361</v>
      </c>
      <c r="G407" s="19" t="s">
        <v>28</v>
      </c>
      <c r="H407" s="19" t="s">
        <v>1768</v>
      </c>
      <c r="I407" s="19" t="s">
        <v>294</v>
      </c>
      <c r="J407" s="19" t="s">
        <v>295</v>
      </c>
      <c r="K407" s="19" t="s">
        <v>32</v>
      </c>
      <c r="L407" s="19" t="s">
        <v>174</v>
      </c>
      <c r="M407" s="19">
        <v>18</v>
      </c>
      <c r="N407" s="19">
        <v>8500</v>
      </c>
      <c r="O407" s="19">
        <v>10</v>
      </c>
      <c r="P407" s="19">
        <v>137700</v>
      </c>
      <c r="Q407" s="19">
        <v>4</v>
      </c>
      <c r="R407" s="19" t="s">
        <v>34</v>
      </c>
      <c r="S407" s="19" t="s">
        <v>49</v>
      </c>
      <c r="T407" s="19" t="s">
        <v>175</v>
      </c>
      <c r="U407" s="21" t="s">
        <v>1769</v>
      </c>
      <c r="V407" s="19" t="s">
        <v>69</v>
      </c>
      <c r="W407" s="15" t="str">
        <f t="shared" si="6"/>
        <v>Blacklisted</v>
      </c>
    </row>
    <row r="408" spans="1:23" x14ac:dyDescent="0.3">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8" t="s">
        <v>1772</v>
      </c>
      <c r="V408" s="15" t="s">
        <v>64</v>
      </c>
      <c r="W408" s="15" t="str">
        <f t="shared" si="6"/>
        <v>Pending</v>
      </c>
    </row>
    <row r="409" spans="1:23" x14ac:dyDescent="0.3">
      <c r="A409" s="19" t="s">
        <v>1773</v>
      </c>
      <c r="B409" s="19" t="s">
        <v>71</v>
      </c>
      <c r="C409" s="19" t="s">
        <v>259</v>
      </c>
      <c r="D409" s="19" t="s">
        <v>683</v>
      </c>
      <c r="E409" s="19" t="s">
        <v>684</v>
      </c>
      <c r="F409" s="19" t="s">
        <v>217</v>
      </c>
      <c r="G409" s="19" t="s">
        <v>76</v>
      </c>
      <c r="H409" s="19" t="s">
        <v>1774</v>
      </c>
      <c r="I409" s="19" t="s">
        <v>105</v>
      </c>
      <c r="J409" s="19" t="s">
        <v>106</v>
      </c>
      <c r="K409" s="19" t="s">
        <v>122</v>
      </c>
      <c r="L409" s="19" t="s">
        <v>263</v>
      </c>
      <c r="M409" s="19">
        <v>2</v>
      </c>
      <c r="N409" s="19">
        <v>45</v>
      </c>
      <c r="O409" s="19">
        <v>20</v>
      </c>
      <c r="P409" s="19">
        <v>72</v>
      </c>
      <c r="Q409" s="19">
        <v>5</v>
      </c>
      <c r="R409" s="19" t="s">
        <v>88</v>
      </c>
      <c r="S409" s="19" t="s">
        <v>61</v>
      </c>
      <c r="T409" s="19" t="s">
        <v>80</v>
      </c>
      <c r="U409" s="21" t="s">
        <v>1775</v>
      </c>
      <c r="V409" s="19" t="s">
        <v>69</v>
      </c>
      <c r="W409" s="15" t="str">
        <f t="shared" si="6"/>
        <v>Blacklisted</v>
      </c>
    </row>
    <row r="410" spans="1:23" x14ac:dyDescent="0.3">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8" t="s">
        <v>1778</v>
      </c>
      <c r="V410" s="15" t="s">
        <v>64</v>
      </c>
      <c r="W410" s="15" t="str">
        <f t="shared" si="6"/>
        <v>Blacklisted</v>
      </c>
    </row>
    <row r="411" spans="1:23" x14ac:dyDescent="0.3">
      <c r="A411" s="19" t="s">
        <v>1779</v>
      </c>
      <c r="B411" s="19" t="s">
        <v>127</v>
      </c>
      <c r="C411" s="19" t="s">
        <v>72</v>
      </c>
      <c r="D411" s="19" t="s">
        <v>463</v>
      </c>
      <c r="E411" s="19" t="s">
        <v>216</v>
      </c>
      <c r="F411" s="19" t="s">
        <v>200</v>
      </c>
      <c r="G411" s="19" t="s">
        <v>76</v>
      </c>
      <c r="H411" s="19" t="s">
        <v>1780</v>
      </c>
      <c r="I411" s="19" t="s">
        <v>294</v>
      </c>
      <c r="J411" s="19" t="s">
        <v>295</v>
      </c>
      <c r="K411" s="19" t="s">
        <v>46</v>
      </c>
      <c r="L411" s="19" t="s">
        <v>78</v>
      </c>
      <c r="M411" s="19">
        <v>13</v>
      </c>
      <c r="N411" s="19">
        <v>1200</v>
      </c>
      <c r="O411" s="19">
        <v>5</v>
      </c>
      <c r="P411" s="19">
        <v>14820</v>
      </c>
      <c r="Q411" s="19">
        <v>4</v>
      </c>
      <c r="R411" s="19" t="s">
        <v>79</v>
      </c>
      <c r="S411" s="19" t="s">
        <v>115</v>
      </c>
      <c r="T411" s="19" t="s">
        <v>132</v>
      </c>
      <c r="U411" s="21" t="s">
        <v>1781</v>
      </c>
      <c r="V411" s="19" t="s">
        <v>38</v>
      </c>
      <c r="W411" s="15" t="str">
        <f t="shared" si="6"/>
        <v>Silver</v>
      </c>
    </row>
    <row r="412" spans="1:23" x14ac:dyDescent="0.3">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8" t="s">
        <v>1785</v>
      </c>
      <c r="V412" s="15" t="s">
        <v>64</v>
      </c>
      <c r="W412" s="15" t="str">
        <f t="shared" si="6"/>
        <v>Pending</v>
      </c>
    </row>
    <row r="413" spans="1:23" x14ac:dyDescent="0.3">
      <c r="A413" s="19" t="s">
        <v>1786</v>
      </c>
      <c r="B413" s="19" t="s">
        <v>100</v>
      </c>
      <c r="C413" s="19" t="s">
        <v>92</v>
      </c>
      <c r="D413" s="19" t="s">
        <v>1787</v>
      </c>
      <c r="E413" s="19" t="s">
        <v>1689</v>
      </c>
      <c r="F413" s="19" t="s">
        <v>103</v>
      </c>
      <c r="G413" s="19" t="s">
        <v>28</v>
      </c>
      <c r="H413" s="19" t="s">
        <v>1788</v>
      </c>
      <c r="I413" s="19" t="s">
        <v>30</v>
      </c>
      <c r="J413" s="19" t="s">
        <v>31</v>
      </c>
      <c r="K413" s="19" t="s">
        <v>32</v>
      </c>
      <c r="L413" s="19" t="s">
        <v>97</v>
      </c>
      <c r="M413" s="19">
        <v>16</v>
      </c>
      <c r="N413" s="19">
        <v>3500</v>
      </c>
      <c r="O413" s="19">
        <v>15</v>
      </c>
      <c r="P413" s="19">
        <v>47600</v>
      </c>
      <c r="Q413" s="19">
        <v>3</v>
      </c>
      <c r="R413" s="19" t="s">
        <v>88</v>
      </c>
      <c r="S413" s="19" t="s">
        <v>61</v>
      </c>
      <c r="T413" s="19" t="s">
        <v>144</v>
      </c>
      <c r="U413" s="21" t="s">
        <v>1789</v>
      </c>
      <c r="V413" s="19" t="s">
        <v>69</v>
      </c>
      <c r="W413" s="15" t="str">
        <f t="shared" si="6"/>
        <v>Blacklisted</v>
      </c>
    </row>
    <row r="414" spans="1:23" x14ac:dyDescent="0.3">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8" t="s">
        <v>1792</v>
      </c>
      <c r="V414" s="15" t="s">
        <v>69</v>
      </c>
      <c r="W414" s="15" t="str">
        <f t="shared" si="6"/>
        <v>Blacklisted</v>
      </c>
    </row>
    <row r="415" spans="1:23" x14ac:dyDescent="0.3">
      <c r="A415" s="19" t="s">
        <v>1793</v>
      </c>
      <c r="B415" s="19" t="s">
        <v>168</v>
      </c>
      <c r="C415" s="19" t="s">
        <v>54</v>
      </c>
      <c r="D415" s="19" t="s">
        <v>652</v>
      </c>
      <c r="E415" s="19" t="s">
        <v>666</v>
      </c>
      <c r="F415" s="19" t="s">
        <v>361</v>
      </c>
      <c r="G415" s="19" t="s">
        <v>28</v>
      </c>
      <c r="H415" s="19" t="s">
        <v>1794</v>
      </c>
      <c r="I415" s="19" t="s">
        <v>138</v>
      </c>
      <c r="J415" s="19" t="s">
        <v>106</v>
      </c>
      <c r="K415" s="19" t="s">
        <v>46</v>
      </c>
      <c r="L415" s="19" t="s">
        <v>60</v>
      </c>
      <c r="M415" s="19">
        <v>1</v>
      </c>
      <c r="N415" s="19">
        <v>55000</v>
      </c>
      <c r="O415" s="19">
        <v>15</v>
      </c>
      <c r="P415" s="19">
        <v>46750</v>
      </c>
      <c r="Q415" s="19">
        <v>2</v>
      </c>
      <c r="R415" s="19" t="s">
        <v>88</v>
      </c>
      <c r="S415" s="19" t="s">
        <v>115</v>
      </c>
      <c r="T415" s="19" t="s">
        <v>175</v>
      </c>
      <c r="U415" s="21" t="s">
        <v>1795</v>
      </c>
      <c r="V415" s="19" t="s">
        <v>69</v>
      </c>
      <c r="W415" s="15" t="str">
        <f t="shared" si="6"/>
        <v>Blacklisted</v>
      </c>
    </row>
    <row r="416" spans="1:23" x14ac:dyDescent="0.3">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8" t="s">
        <v>1798</v>
      </c>
      <c r="V416" s="15" t="s">
        <v>38</v>
      </c>
      <c r="W416" s="15" t="str">
        <f t="shared" si="6"/>
        <v>Silver</v>
      </c>
    </row>
    <row r="417" spans="1:23" x14ac:dyDescent="0.3">
      <c r="A417" s="19" t="s">
        <v>1799</v>
      </c>
      <c r="B417" s="19" t="s">
        <v>83</v>
      </c>
      <c r="C417" s="19" t="s">
        <v>184</v>
      </c>
      <c r="D417" s="19" t="s">
        <v>1800</v>
      </c>
      <c r="E417" s="19" t="s">
        <v>66</v>
      </c>
      <c r="F417" s="19" t="s">
        <v>180</v>
      </c>
      <c r="G417" s="19" t="s">
        <v>76</v>
      </c>
      <c r="H417" s="19" t="s">
        <v>1801</v>
      </c>
      <c r="I417" s="19" t="s">
        <v>105</v>
      </c>
      <c r="J417" s="19" t="s">
        <v>106</v>
      </c>
      <c r="K417" s="19" t="s">
        <v>46</v>
      </c>
      <c r="L417" s="19" t="s">
        <v>189</v>
      </c>
      <c r="M417" s="19">
        <v>15</v>
      </c>
      <c r="N417" s="19">
        <v>700</v>
      </c>
      <c r="O417" s="19">
        <v>0</v>
      </c>
      <c r="P417" s="19">
        <v>10500</v>
      </c>
      <c r="Q417" s="19">
        <v>5</v>
      </c>
      <c r="R417" s="19" t="s">
        <v>48</v>
      </c>
      <c r="S417" s="19" t="s">
        <v>115</v>
      </c>
      <c r="T417" s="19" t="s">
        <v>89</v>
      </c>
      <c r="U417" s="21" t="s">
        <v>1802</v>
      </c>
      <c r="V417" s="19" t="s">
        <v>38</v>
      </c>
      <c r="W417" s="15" t="str">
        <f t="shared" si="6"/>
        <v>Silver</v>
      </c>
    </row>
    <row r="418" spans="1:23" x14ac:dyDescent="0.3">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8" t="s">
        <v>1805</v>
      </c>
      <c r="V418" s="15" t="s">
        <v>69</v>
      </c>
      <c r="W418" s="15" t="str">
        <f t="shared" si="6"/>
        <v>Blacklisted</v>
      </c>
    </row>
    <row r="419" spans="1:23" x14ac:dyDescent="0.3">
      <c r="A419" s="19" t="s">
        <v>1806</v>
      </c>
      <c r="B419" s="19" t="s">
        <v>83</v>
      </c>
      <c r="C419" s="19" t="s">
        <v>40</v>
      </c>
      <c r="D419" s="19" t="s">
        <v>1807</v>
      </c>
      <c r="E419" s="19" t="s">
        <v>1081</v>
      </c>
      <c r="F419" s="19" t="s">
        <v>180</v>
      </c>
      <c r="G419" s="19" t="s">
        <v>76</v>
      </c>
      <c r="H419" s="19" t="s">
        <v>1808</v>
      </c>
      <c r="I419" s="19" t="s">
        <v>30</v>
      </c>
      <c r="J419" s="19" t="s">
        <v>31</v>
      </c>
      <c r="K419" s="19" t="s">
        <v>46</v>
      </c>
      <c r="L419" s="19" t="s">
        <v>47</v>
      </c>
      <c r="M419" s="19">
        <v>12</v>
      </c>
      <c r="N419" s="19">
        <v>12000</v>
      </c>
      <c r="O419" s="19">
        <v>20</v>
      </c>
      <c r="P419" s="19">
        <v>115200</v>
      </c>
      <c r="Q419" s="19">
        <v>2</v>
      </c>
      <c r="R419" s="19" t="s">
        <v>34</v>
      </c>
      <c r="S419" s="19" t="s">
        <v>35</v>
      </c>
      <c r="T419" s="19" t="s">
        <v>89</v>
      </c>
      <c r="U419" s="21" t="s">
        <v>1809</v>
      </c>
      <c r="V419" s="19" t="s">
        <v>38</v>
      </c>
      <c r="W419" s="15" t="str">
        <f t="shared" si="6"/>
        <v>Blacklisted</v>
      </c>
    </row>
    <row r="420" spans="1:23" x14ac:dyDescent="0.3">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8" t="s">
        <v>1812</v>
      </c>
      <c r="V420" s="15" t="s">
        <v>69</v>
      </c>
      <c r="W420" s="15" t="str">
        <f t="shared" si="6"/>
        <v>Blacklisted</v>
      </c>
    </row>
    <row r="421" spans="1:23" x14ac:dyDescent="0.3">
      <c r="A421" s="19" t="s">
        <v>1813</v>
      </c>
      <c r="B421" s="19" t="s">
        <v>127</v>
      </c>
      <c r="C421" s="19" t="s">
        <v>72</v>
      </c>
      <c r="D421" s="19" t="s">
        <v>41</v>
      </c>
      <c r="E421" s="19" t="s">
        <v>596</v>
      </c>
      <c r="F421" s="19" t="s">
        <v>200</v>
      </c>
      <c r="G421" s="19" t="s">
        <v>76</v>
      </c>
      <c r="H421" s="19" t="s">
        <v>1814</v>
      </c>
      <c r="I421" s="19" t="s">
        <v>105</v>
      </c>
      <c r="J421" s="19" t="s">
        <v>106</v>
      </c>
      <c r="K421" s="19" t="s">
        <v>46</v>
      </c>
      <c r="L421" s="19" t="s">
        <v>78</v>
      </c>
      <c r="M421" s="19">
        <v>20</v>
      </c>
      <c r="N421" s="19">
        <v>1200</v>
      </c>
      <c r="O421" s="19">
        <v>20</v>
      </c>
      <c r="P421" s="19">
        <v>19200</v>
      </c>
      <c r="Q421" s="19">
        <v>5</v>
      </c>
      <c r="R421" s="19" t="s">
        <v>48</v>
      </c>
      <c r="S421" s="19" t="s">
        <v>61</v>
      </c>
      <c r="T421" s="19" t="s">
        <v>132</v>
      </c>
      <c r="U421" s="21" t="s">
        <v>1815</v>
      </c>
      <c r="V421" s="19" t="s">
        <v>69</v>
      </c>
      <c r="W421" s="15" t="str">
        <f t="shared" si="6"/>
        <v>Blacklisted</v>
      </c>
    </row>
    <row r="422" spans="1:23" x14ac:dyDescent="0.3">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8" t="s">
        <v>1819</v>
      </c>
      <c r="V422" s="15" t="s">
        <v>38</v>
      </c>
      <c r="W422" s="15" t="str">
        <f t="shared" si="6"/>
        <v>Silver</v>
      </c>
    </row>
    <row r="423" spans="1:23" x14ac:dyDescent="0.3">
      <c r="A423" s="19" t="s">
        <v>1820</v>
      </c>
      <c r="B423" s="19" t="s">
        <v>127</v>
      </c>
      <c r="C423" s="19" t="s">
        <v>72</v>
      </c>
      <c r="D423" s="19" t="s">
        <v>1085</v>
      </c>
      <c r="E423" s="19" t="s">
        <v>1086</v>
      </c>
      <c r="F423" s="19" t="s">
        <v>200</v>
      </c>
      <c r="G423" s="19" t="s">
        <v>76</v>
      </c>
      <c r="H423" s="19" t="s">
        <v>1821</v>
      </c>
      <c r="I423" s="19" t="s">
        <v>212</v>
      </c>
      <c r="J423" s="19" t="s">
        <v>45</v>
      </c>
      <c r="K423" s="19" t="s">
        <v>46</v>
      </c>
      <c r="L423" s="19" t="s">
        <v>78</v>
      </c>
      <c r="M423" s="19">
        <v>8</v>
      </c>
      <c r="N423" s="19">
        <v>1200</v>
      </c>
      <c r="O423" s="19">
        <v>10</v>
      </c>
      <c r="P423" s="19">
        <v>8640</v>
      </c>
      <c r="Q423" s="19">
        <v>5</v>
      </c>
      <c r="R423" s="19" t="s">
        <v>79</v>
      </c>
      <c r="S423" s="19" t="s">
        <v>49</v>
      </c>
      <c r="T423" s="19" t="s">
        <v>132</v>
      </c>
      <c r="U423" s="21" t="s">
        <v>1822</v>
      </c>
      <c r="V423" s="19" t="s">
        <v>69</v>
      </c>
      <c r="W423" s="15" t="str">
        <f t="shared" si="6"/>
        <v>Blacklisted</v>
      </c>
    </row>
    <row r="424" spans="1:23" x14ac:dyDescent="0.3">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8" t="s">
        <v>1826</v>
      </c>
      <c r="V424" s="15" t="s">
        <v>38</v>
      </c>
      <c r="W424" s="15" t="str">
        <f t="shared" si="6"/>
        <v>Blacklisted</v>
      </c>
    </row>
    <row r="425" spans="1:23" x14ac:dyDescent="0.3">
      <c r="A425" s="19" t="s">
        <v>1827</v>
      </c>
      <c r="B425" s="19" t="s">
        <v>127</v>
      </c>
      <c r="C425" s="19" t="s">
        <v>222</v>
      </c>
      <c r="D425" s="19" t="s">
        <v>1268</v>
      </c>
      <c r="E425" s="19" t="s">
        <v>760</v>
      </c>
      <c r="F425" s="19" t="s">
        <v>200</v>
      </c>
      <c r="G425" s="19" t="s">
        <v>76</v>
      </c>
      <c r="H425" s="19" t="s">
        <v>1828</v>
      </c>
      <c r="I425" s="19" t="s">
        <v>294</v>
      </c>
      <c r="J425" s="19" t="s">
        <v>295</v>
      </c>
      <c r="K425" s="19" t="s">
        <v>122</v>
      </c>
      <c r="L425" s="19" t="s">
        <v>227</v>
      </c>
      <c r="M425" s="19">
        <v>8</v>
      </c>
      <c r="N425" s="19">
        <v>20</v>
      </c>
      <c r="O425" s="19">
        <v>20</v>
      </c>
      <c r="P425" s="19">
        <v>128</v>
      </c>
      <c r="Q425" s="19">
        <v>4</v>
      </c>
      <c r="R425" s="19" t="s">
        <v>34</v>
      </c>
      <c r="S425" s="19" t="s">
        <v>35</v>
      </c>
      <c r="T425" s="19" t="s">
        <v>132</v>
      </c>
      <c r="U425" s="21" t="s">
        <v>1829</v>
      </c>
      <c r="V425" s="19" t="s">
        <v>69</v>
      </c>
      <c r="W425" s="15" t="str">
        <f t="shared" si="6"/>
        <v>Blacklisted</v>
      </c>
    </row>
    <row r="426" spans="1:23" x14ac:dyDescent="0.3">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8" t="s">
        <v>1832</v>
      </c>
      <c r="V426" s="15" t="s">
        <v>38</v>
      </c>
      <c r="W426" s="15" t="str">
        <f t="shared" si="6"/>
        <v>Blacklisted</v>
      </c>
    </row>
    <row r="427" spans="1:23" x14ac:dyDescent="0.3">
      <c r="A427" s="19" t="s">
        <v>1833</v>
      </c>
      <c r="B427" s="19" t="s">
        <v>100</v>
      </c>
      <c r="C427" s="19" t="s">
        <v>72</v>
      </c>
      <c r="D427" s="19" t="s">
        <v>1834</v>
      </c>
      <c r="E427" s="19" t="s">
        <v>636</v>
      </c>
      <c r="F427" s="19" t="s">
        <v>103</v>
      </c>
      <c r="G427" s="19" t="s">
        <v>28</v>
      </c>
      <c r="H427" s="19" t="s">
        <v>1835</v>
      </c>
      <c r="I427" s="19" t="s">
        <v>105</v>
      </c>
      <c r="J427" s="19" t="s">
        <v>106</v>
      </c>
      <c r="K427" s="19" t="s">
        <v>46</v>
      </c>
      <c r="L427" s="19" t="s">
        <v>78</v>
      </c>
      <c r="M427" s="19">
        <v>13</v>
      </c>
      <c r="N427" s="19">
        <v>1200</v>
      </c>
      <c r="O427" s="19">
        <v>5</v>
      </c>
      <c r="P427" s="19">
        <v>14820</v>
      </c>
      <c r="Q427" s="19">
        <v>2</v>
      </c>
      <c r="R427" s="19" t="s">
        <v>79</v>
      </c>
      <c r="S427" s="19" t="s">
        <v>35</v>
      </c>
      <c r="T427" s="19" t="s">
        <v>144</v>
      </c>
      <c r="U427" s="21" t="s">
        <v>1836</v>
      </c>
      <c r="V427" s="19" t="s">
        <v>69</v>
      </c>
      <c r="W427" s="15" t="str">
        <f t="shared" si="6"/>
        <v>Blacklisted</v>
      </c>
    </row>
    <row r="428" spans="1:23" x14ac:dyDescent="0.3">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8" t="s">
        <v>1840</v>
      </c>
      <c r="V428" s="15" t="s">
        <v>64</v>
      </c>
      <c r="W428" s="15" t="str">
        <f t="shared" si="6"/>
        <v>Pending</v>
      </c>
    </row>
    <row r="429" spans="1:23" x14ac:dyDescent="0.3">
      <c r="A429" s="19" t="s">
        <v>1841</v>
      </c>
      <c r="B429" s="19" t="s">
        <v>71</v>
      </c>
      <c r="C429" s="19" t="s">
        <v>118</v>
      </c>
      <c r="D429" s="19" t="s">
        <v>765</v>
      </c>
      <c r="E429" s="19" t="s">
        <v>1842</v>
      </c>
      <c r="F429" s="19" t="s">
        <v>217</v>
      </c>
      <c r="G429" s="19" t="s">
        <v>76</v>
      </c>
      <c r="H429" s="19" t="s">
        <v>1843</v>
      </c>
      <c r="I429" s="19" t="s">
        <v>114</v>
      </c>
      <c r="J429" s="19" t="s">
        <v>106</v>
      </c>
      <c r="K429" s="19" t="s">
        <v>122</v>
      </c>
      <c r="L429" s="19" t="s">
        <v>123</v>
      </c>
      <c r="M429" s="19">
        <v>14</v>
      </c>
      <c r="N429" s="19">
        <v>60</v>
      </c>
      <c r="O429" s="19">
        <v>10</v>
      </c>
      <c r="P429" s="19">
        <v>756</v>
      </c>
      <c r="Q429" s="19">
        <v>1</v>
      </c>
      <c r="R429" s="19" t="s">
        <v>34</v>
      </c>
      <c r="S429" s="19" t="s">
        <v>61</v>
      </c>
      <c r="T429" s="19" t="s">
        <v>80</v>
      </c>
      <c r="U429" s="21" t="s">
        <v>1844</v>
      </c>
      <c r="V429" s="19" t="s">
        <v>69</v>
      </c>
      <c r="W429" s="15" t="str">
        <f t="shared" si="6"/>
        <v>Blacklisted</v>
      </c>
    </row>
    <row r="430" spans="1:23" x14ac:dyDescent="0.3">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8" t="s">
        <v>1847</v>
      </c>
      <c r="V430" s="15" t="s">
        <v>38</v>
      </c>
      <c r="W430" s="15" t="str">
        <f t="shared" si="6"/>
        <v>Blacklisted</v>
      </c>
    </row>
    <row r="431" spans="1:23" x14ac:dyDescent="0.3">
      <c r="A431" s="19" t="s">
        <v>1848</v>
      </c>
      <c r="B431" s="19" t="s">
        <v>83</v>
      </c>
      <c r="C431" s="19" t="s">
        <v>118</v>
      </c>
      <c r="D431" s="19" t="s">
        <v>1849</v>
      </c>
      <c r="E431" s="19" t="s">
        <v>1850</v>
      </c>
      <c r="F431" s="19" t="s">
        <v>180</v>
      </c>
      <c r="G431" s="19" t="s">
        <v>76</v>
      </c>
      <c r="H431" s="19" t="s">
        <v>1851</v>
      </c>
      <c r="I431" s="19" t="s">
        <v>212</v>
      </c>
      <c r="J431" s="19" t="s">
        <v>45</v>
      </c>
      <c r="K431" s="19" t="s">
        <v>122</v>
      </c>
      <c r="L431" s="19" t="s">
        <v>123</v>
      </c>
      <c r="M431" s="19">
        <v>19</v>
      </c>
      <c r="N431" s="19">
        <v>60</v>
      </c>
      <c r="O431" s="19">
        <v>20</v>
      </c>
      <c r="P431" s="19">
        <v>912</v>
      </c>
      <c r="Q431" s="19">
        <v>3</v>
      </c>
      <c r="R431" s="19" t="s">
        <v>34</v>
      </c>
      <c r="S431" s="19" t="s">
        <v>151</v>
      </c>
      <c r="T431" s="19" t="s">
        <v>89</v>
      </c>
      <c r="U431" s="21" t="s">
        <v>1852</v>
      </c>
      <c r="V431" s="19" t="s">
        <v>64</v>
      </c>
      <c r="W431" s="15" t="str">
        <f t="shared" si="6"/>
        <v>Pending</v>
      </c>
    </row>
    <row r="432" spans="1:23" x14ac:dyDescent="0.3">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8" t="s">
        <v>1855</v>
      </c>
      <c r="V432" s="15" t="s">
        <v>38</v>
      </c>
      <c r="W432" s="15" t="str">
        <f t="shared" si="6"/>
        <v>Blacklisted</v>
      </c>
    </row>
    <row r="433" spans="1:23" x14ac:dyDescent="0.3">
      <c r="A433" s="19" t="s">
        <v>1856</v>
      </c>
      <c r="B433" s="19" t="s">
        <v>251</v>
      </c>
      <c r="C433" s="19" t="s">
        <v>40</v>
      </c>
      <c r="D433" s="19" t="s">
        <v>998</v>
      </c>
      <c r="E433" s="19" t="s">
        <v>1128</v>
      </c>
      <c r="F433" s="19" t="s">
        <v>254</v>
      </c>
      <c r="G433" s="19" t="s">
        <v>28</v>
      </c>
      <c r="H433" s="19" t="s">
        <v>1857</v>
      </c>
      <c r="I433" s="19" t="s">
        <v>105</v>
      </c>
      <c r="J433" s="19" t="s">
        <v>106</v>
      </c>
      <c r="K433" s="19" t="s">
        <v>46</v>
      </c>
      <c r="L433" s="19" t="s">
        <v>47</v>
      </c>
      <c r="M433" s="19">
        <v>7</v>
      </c>
      <c r="N433" s="19">
        <v>12000</v>
      </c>
      <c r="O433" s="19">
        <v>5</v>
      </c>
      <c r="P433" s="19">
        <v>79800</v>
      </c>
      <c r="Q433" s="19">
        <v>4</v>
      </c>
      <c r="R433" s="19" t="s">
        <v>79</v>
      </c>
      <c r="S433" s="19" t="s">
        <v>151</v>
      </c>
      <c r="T433" s="19" t="s">
        <v>256</v>
      </c>
      <c r="U433" s="21" t="s">
        <v>1858</v>
      </c>
      <c r="V433" s="19" t="s">
        <v>69</v>
      </c>
      <c r="W433" s="15" t="str">
        <f t="shared" si="6"/>
        <v>Blacklisted</v>
      </c>
    </row>
    <row r="434" spans="1:23" x14ac:dyDescent="0.3">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8" t="s">
        <v>1861</v>
      </c>
      <c r="V434" s="15" t="s">
        <v>64</v>
      </c>
      <c r="W434" s="15" t="str">
        <f t="shared" si="6"/>
        <v>Pending</v>
      </c>
    </row>
    <row r="435" spans="1:23" x14ac:dyDescent="0.3">
      <c r="A435" s="19" t="s">
        <v>1862</v>
      </c>
      <c r="B435" s="19" t="s">
        <v>23</v>
      </c>
      <c r="C435" s="19" t="s">
        <v>92</v>
      </c>
      <c r="D435" s="19" t="s">
        <v>1863</v>
      </c>
      <c r="E435" s="19" t="s">
        <v>900</v>
      </c>
      <c r="F435" s="19" t="s">
        <v>27</v>
      </c>
      <c r="G435" s="19" t="s">
        <v>28</v>
      </c>
      <c r="H435" s="19" t="s">
        <v>1864</v>
      </c>
      <c r="I435" s="19" t="s">
        <v>294</v>
      </c>
      <c r="J435" s="19" t="s">
        <v>295</v>
      </c>
      <c r="K435" s="19" t="s">
        <v>32</v>
      </c>
      <c r="L435" s="19" t="s">
        <v>97</v>
      </c>
      <c r="M435" s="19">
        <v>16</v>
      </c>
      <c r="N435" s="19">
        <v>3500</v>
      </c>
      <c r="O435" s="19">
        <v>5</v>
      </c>
      <c r="P435" s="19">
        <v>53200</v>
      </c>
      <c r="Q435" s="19">
        <v>1</v>
      </c>
      <c r="R435" s="19" t="s">
        <v>79</v>
      </c>
      <c r="S435" s="19" t="s">
        <v>61</v>
      </c>
      <c r="T435" s="19" t="s">
        <v>50</v>
      </c>
      <c r="U435" s="21" t="s">
        <v>1865</v>
      </c>
      <c r="V435" s="19" t="s">
        <v>69</v>
      </c>
      <c r="W435" s="15" t="str">
        <f t="shared" si="6"/>
        <v>Blacklisted</v>
      </c>
    </row>
    <row r="436" spans="1:23" x14ac:dyDescent="0.3">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8" t="s">
        <v>1869</v>
      </c>
      <c r="V436" s="15" t="s">
        <v>38</v>
      </c>
      <c r="W436" s="15" t="str">
        <f t="shared" si="6"/>
        <v>Gold</v>
      </c>
    </row>
    <row r="437" spans="1:23" x14ac:dyDescent="0.3">
      <c r="A437" s="19" t="s">
        <v>1870</v>
      </c>
      <c r="B437" s="19" t="s">
        <v>23</v>
      </c>
      <c r="C437" s="19" t="s">
        <v>118</v>
      </c>
      <c r="D437" s="19" t="s">
        <v>539</v>
      </c>
      <c r="E437" s="19" t="s">
        <v>1114</v>
      </c>
      <c r="F437" s="19" t="s">
        <v>27</v>
      </c>
      <c r="G437" s="19" t="s">
        <v>28</v>
      </c>
      <c r="H437" s="19" t="s">
        <v>1871</v>
      </c>
      <c r="I437" s="19" t="s">
        <v>138</v>
      </c>
      <c r="J437" s="19" t="s">
        <v>106</v>
      </c>
      <c r="K437" s="19" t="s">
        <v>122</v>
      </c>
      <c r="L437" s="19" t="s">
        <v>123</v>
      </c>
      <c r="M437" s="19">
        <v>1</v>
      </c>
      <c r="N437" s="19">
        <v>60</v>
      </c>
      <c r="O437" s="19">
        <v>20</v>
      </c>
      <c r="P437" s="19">
        <v>48</v>
      </c>
      <c r="Q437" s="19">
        <v>2</v>
      </c>
      <c r="R437" s="19" t="s">
        <v>79</v>
      </c>
      <c r="S437" s="19" t="s">
        <v>151</v>
      </c>
      <c r="T437" s="19" t="s">
        <v>50</v>
      </c>
      <c r="U437" s="21" t="s">
        <v>1872</v>
      </c>
      <c r="V437" s="19" t="s">
        <v>38</v>
      </c>
      <c r="W437" s="15" t="str">
        <f t="shared" si="6"/>
        <v>Blacklisted</v>
      </c>
    </row>
    <row r="438" spans="1:23" x14ac:dyDescent="0.3">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8" t="s">
        <v>1875</v>
      </c>
      <c r="V438" s="15" t="s">
        <v>38</v>
      </c>
      <c r="W438" s="15" t="str">
        <f t="shared" si="6"/>
        <v>Silver</v>
      </c>
    </row>
    <row r="439" spans="1:23" x14ac:dyDescent="0.3">
      <c r="A439" s="19" t="s">
        <v>1876</v>
      </c>
      <c r="B439" s="19" t="s">
        <v>100</v>
      </c>
      <c r="C439" s="19" t="s">
        <v>184</v>
      </c>
      <c r="D439" s="19" t="s">
        <v>568</v>
      </c>
      <c r="E439" s="19" t="s">
        <v>119</v>
      </c>
      <c r="F439" s="19" t="s">
        <v>103</v>
      </c>
      <c r="G439" s="19" t="s">
        <v>28</v>
      </c>
      <c r="H439" s="19" t="s">
        <v>1877</v>
      </c>
      <c r="I439" s="19" t="s">
        <v>294</v>
      </c>
      <c r="J439" s="19" t="s">
        <v>295</v>
      </c>
      <c r="K439" s="19" t="s">
        <v>46</v>
      </c>
      <c r="L439" s="19" t="s">
        <v>189</v>
      </c>
      <c r="M439" s="19">
        <v>10</v>
      </c>
      <c r="N439" s="19">
        <v>700</v>
      </c>
      <c r="O439" s="19">
        <v>15</v>
      </c>
      <c r="P439" s="19">
        <v>5950</v>
      </c>
      <c r="Q439" s="19">
        <v>3</v>
      </c>
      <c r="R439" s="19" t="s">
        <v>48</v>
      </c>
      <c r="S439" s="19" t="s">
        <v>35</v>
      </c>
      <c r="T439" s="19" t="s">
        <v>144</v>
      </c>
      <c r="U439" s="21" t="s">
        <v>1878</v>
      </c>
      <c r="V439" s="19" t="s">
        <v>64</v>
      </c>
      <c r="W439" s="15" t="str">
        <f t="shared" si="6"/>
        <v>Pending</v>
      </c>
    </row>
    <row r="440" spans="1:23" x14ac:dyDescent="0.3">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8" t="s">
        <v>1883</v>
      </c>
      <c r="V440" s="15" t="s">
        <v>38</v>
      </c>
      <c r="W440" s="15" t="str">
        <f t="shared" si="6"/>
        <v>Blacklisted</v>
      </c>
    </row>
    <row r="441" spans="1:23" x14ac:dyDescent="0.3">
      <c r="A441" s="19" t="s">
        <v>1884</v>
      </c>
      <c r="B441" s="19" t="s">
        <v>83</v>
      </c>
      <c r="C441" s="19" t="s">
        <v>222</v>
      </c>
      <c r="D441" s="19" t="s">
        <v>1885</v>
      </c>
      <c r="E441" s="19" t="s">
        <v>1199</v>
      </c>
      <c r="F441" s="19" t="s">
        <v>180</v>
      </c>
      <c r="G441" s="19" t="s">
        <v>76</v>
      </c>
      <c r="H441" s="19" t="s">
        <v>1886</v>
      </c>
      <c r="I441" s="19" t="s">
        <v>44</v>
      </c>
      <c r="J441" s="19" t="s">
        <v>45</v>
      </c>
      <c r="K441" s="19" t="s">
        <v>122</v>
      </c>
      <c r="L441" s="19" t="s">
        <v>227</v>
      </c>
      <c r="M441" s="19">
        <v>14</v>
      </c>
      <c r="N441" s="19">
        <v>20</v>
      </c>
      <c r="O441" s="19">
        <v>20</v>
      </c>
      <c r="P441" s="19">
        <v>224</v>
      </c>
      <c r="Q441" s="19">
        <v>5</v>
      </c>
      <c r="R441" s="19" t="s">
        <v>34</v>
      </c>
      <c r="S441" s="19" t="s">
        <v>151</v>
      </c>
      <c r="T441" s="19" t="s">
        <v>89</v>
      </c>
      <c r="U441" s="21" t="s">
        <v>1887</v>
      </c>
      <c r="V441" s="19" t="s">
        <v>64</v>
      </c>
      <c r="W441" s="15" t="str">
        <f t="shared" si="6"/>
        <v>Pending</v>
      </c>
    </row>
    <row r="442" spans="1:23" x14ac:dyDescent="0.3">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8" t="s">
        <v>1890</v>
      </c>
      <c r="V442" s="15" t="s">
        <v>69</v>
      </c>
      <c r="W442" s="15" t="str">
        <f t="shared" si="6"/>
        <v>Blacklisted</v>
      </c>
    </row>
    <row r="443" spans="1:23" x14ac:dyDescent="0.3">
      <c r="A443" s="19" t="s">
        <v>1891</v>
      </c>
      <c r="B443" s="19" t="s">
        <v>83</v>
      </c>
      <c r="C443" s="19" t="s">
        <v>92</v>
      </c>
      <c r="D443" s="19" t="s">
        <v>318</v>
      </c>
      <c r="E443" s="19" t="s">
        <v>1119</v>
      </c>
      <c r="F443" s="19" t="s">
        <v>180</v>
      </c>
      <c r="G443" s="19" t="s">
        <v>76</v>
      </c>
      <c r="H443" s="19" t="s">
        <v>1892</v>
      </c>
      <c r="I443" s="19" t="s">
        <v>212</v>
      </c>
      <c r="J443" s="19" t="s">
        <v>45</v>
      </c>
      <c r="K443" s="19" t="s">
        <v>32</v>
      </c>
      <c r="L443" s="19" t="s">
        <v>97</v>
      </c>
      <c r="M443" s="19">
        <v>9</v>
      </c>
      <c r="N443" s="19">
        <v>3500</v>
      </c>
      <c r="O443" s="19">
        <v>5</v>
      </c>
      <c r="P443" s="19">
        <v>29925</v>
      </c>
      <c r="Q443" s="19">
        <v>3</v>
      </c>
      <c r="R443" s="19" t="s">
        <v>79</v>
      </c>
      <c r="S443" s="19" t="s">
        <v>61</v>
      </c>
      <c r="T443" s="19" t="s">
        <v>89</v>
      </c>
      <c r="U443" s="21" t="s">
        <v>1893</v>
      </c>
      <c r="V443" s="19" t="s">
        <v>38</v>
      </c>
      <c r="W443" s="15" t="str">
        <f t="shared" si="6"/>
        <v>Silver</v>
      </c>
    </row>
    <row r="444" spans="1:23" x14ac:dyDescent="0.3">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8" t="s">
        <v>1896</v>
      </c>
      <c r="V444" s="15" t="s">
        <v>64</v>
      </c>
      <c r="W444" s="15" t="str">
        <f t="shared" si="6"/>
        <v>Pending</v>
      </c>
    </row>
    <row r="445" spans="1:23" x14ac:dyDescent="0.3">
      <c r="A445" s="19" t="s">
        <v>1897</v>
      </c>
      <c r="B445" s="19" t="s">
        <v>168</v>
      </c>
      <c r="C445" s="19" t="s">
        <v>72</v>
      </c>
      <c r="D445" s="19" t="s">
        <v>1898</v>
      </c>
      <c r="E445" s="19" t="s">
        <v>1263</v>
      </c>
      <c r="F445" s="19" t="s">
        <v>361</v>
      </c>
      <c r="G445" s="19" t="s">
        <v>28</v>
      </c>
      <c r="H445" s="19" t="s">
        <v>1899</v>
      </c>
      <c r="I445" s="19" t="s">
        <v>138</v>
      </c>
      <c r="J445" s="19" t="s">
        <v>106</v>
      </c>
      <c r="K445" s="19" t="s">
        <v>46</v>
      </c>
      <c r="L445" s="19" t="s">
        <v>78</v>
      </c>
      <c r="M445" s="19">
        <v>4</v>
      </c>
      <c r="N445" s="19">
        <v>1200</v>
      </c>
      <c r="O445" s="19">
        <v>0</v>
      </c>
      <c r="P445" s="19">
        <v>4800</v>
      </c>
      <c r="Q445" s="19">
        <v>1</v>
      </c>
      <c r="R445" s="19" t="s">
        <v>48</v>
      </c>
      <c r="S445" s="19" t="s">
        <v>61</v>
      </c>
      <c r="T445" s="19" t="s">
        <v>175</v>
      </c>
      <c r="U445" s="21" t="s">
        <v>1900</v>
      </c>
      <c r="V445" s="19" t="s">
        <v>38</v>
      </c>
      <c r="W445" s="15" t="str">
        <f t="shared" si="6"/>
        <v>Blacklisted</v>
      </c>
    </row>
    <row r="446" spans="1:23" x14ac:dyDescent="0.3">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8" t="s">
        <v>1903</v>
      </c>
      <c r="V446" s="15" t="s">
        <v>38</v>
      </c>
      <c r="W446" s="15" t="str">
        <f t="shared" si="6"/>
        <v>Platinum</v>
      </c>
    </row>
    <row r="447" spans="1:23" x14ac:dyDescent="0.3">
      <c r="A447" s="19" t="s">
        <v>1904</v>
      </c>
      <c r="B447" s="19" t="s">
        <v>221</v>
      </c>
      <c r="C447" s="19" t="s">
        <v>259</v>
      </c>
      <c r="D447" s="19" t="s">
        <v>1905</v>
      </c>
      <c r="E447" s="19" t="s">
        <v>881</v>
      </c>
      <c r="F447" s="19" t="s">
        <v>225</v>
      </c>
      <c r="G447" s="19" t="s">
        <v>76</v>
      </c>
      <c r="H447" s="19" t="s">
        <v>1906</v>
      </c>
      <c r="I447" s="19" t="s">
        <v>30</v>
      </c>
      <c r="J447" s="19" t="s">
        <v>31</v>
      </c>
      <c r="K447" s="19" t="s">
        <v>122</v>
      </c>
      <c r="L447" s="19" t="s">
        <v>263</v>
      </c>
      <c r="M447" s="19">
        <v>20</v>
      </c>
      <c r="N447" s="19">
        <v>45</v>
      </c>
      <c r="O447" s="19">
        <v>15</v>
      </c>
      <c r="P447" s="19">
        <v>765</v>
      </c>
      <c r="Q447" s="19">
        <v>2</v>
      </c>
      <c r="R447" s="19" t="s">
        <v>79</v>
      </c>
      <c r="S447" s="19" t="s">
        <v>35</v>
      </c>
      <c r="T447" s="19" t="s">
        <v>228</v>
      </c>
      <c r="U447" s="21" t="s">
        <v>1907</v>
      </c>
      <c r="V447" s="19" t="s">
        <v>69</v>
      </c>
      <c r="W447" s="15" t="str">
        <f t="shared" si="6"/>
        <v>Blacklisted</v>
      </c>
    </row>
    <row r="448" spans="1:23" x14ac:dyDescent="0.3">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8" t="s">
        <v>1910</v>
      </c>
      <c r="V448" s="15" t="s">
        <v>38</v>
      </c>
      <c r="W448" s="15" t="str">
        <f t="shared" si="6"/>
        <v>Silver</v>
      </c>
    </row>
    <row r="449" spans="1:23" x14ac:dyDescent="0.3">
      <c r="A449" s="19" t="s">
        <v>1911</v>
      </c>
      <c r="B449" s="19" t="s">
        <v>23</v>
      </c>
      <c r="C449" s="19" t="s">
        <v>54</v>
      </c>
      <c r="D449" s="19" t="s">
        <v>1912</v>
      </c>
      <c r="E449" s="19" t="s">
        <v>910</v>
      </c>
      <c r="F449" s="19" t="s">
        <v>27</v>
      </c>
      <c r="G449" s="19" t="s">
        <v>28</v>
      </c>
      <c r="H449" s="19" t="s">
        <v>1913</v>
      </c>
      <c r="I449" s="19" t="s">
        <v>114</v>
      </c>
      <c r="J449" s="19" t="s">
        <v>106</v>
      </c>
      <c r="K449" s="19" t="s">
        <v>46</v>
      </c>
      <c r="L449" s="19" t="s">
        <v>60</v>
      </c>
      <c r="M449" s="19">
        <v>8</v>
      </c>
      <c r="N449" s="19">
        <v>55000</v>
      </c>
      <c r="O449" s="19">
        <v>0</v>
      </c>
      <c r="P449" s="19">
        <v>440000</v>
      </c>
      <c r="Q449" s="19">
        <v>4</v>
      </c>
      <c r="R449" s="19" t="s">
        <v>34</v>
      </c>
      <c r="S449" s="19" t="s">
        <v>115</v>
      </c>
      <c r="T449" s="19" t="s">
        <v>50</v>
      </c>
      <c r="U449" s="21" t="s">
        <v>1914</v>
      </c>
      <c r="V449" s="19" t="s">
        <v>38</v>
      </c>
      <c r="W449" s="15" t="str">
        <f t="shared" si="6"/>
        <v>Platinum</v>
      </c>
    </row>
    <row r="450" spans="1:23" x14ac:dyDescent="0.3">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7" t="s">
        <v>1918</v>
      </c>
      <c r="U450" s="18" t="s">
        <v>1919</v>
      </c>
      <c r="V450" s="15" t="s">
        <v>69</v>
      </c>
      <c r="W450" s="15" t="str">
        <f t="shared" si="6"/>
        <v>Blacklisted</v>
      </c>
    </row>
    <row r="451" spans="1:23" x14ac:dyDescent="0.3">
      <c r="A451" s="19" t="s">
        <v>1920</v>
      </c>
      <c r="B451" s="19" t="s">
        <v>327</v>
      </c>
      <c r="C451" s="19" t="s">
        <v>169</v>
      </c>
      <c r="D451" s="19" t="s">
        <v>518</v>
      </c>
      <c r="E451" s="19" t="s">
        <v>426</v>
      </c>
      <c r="F451" s="19" t="s">
        <v>394</v>
      </c>
      <c r="G451" s="19" t="s">
        <v>76</v>
      </c>
      <c r="H451" s="19" t="s">
        <v>1921</v>
      </c>
      <c r="I451" s="19" t="s">
        <v>294</v>
      </c>
      <c r="J451" s="19" t="s">
        <v>295</v>
      </c>
      <c r="K451" s="19" t="s">
        <v>32</v>
      </c>
      <c r="L451" s="19" t="s">
        <v>174</v>
      </c>
      <c r="M451" s="19">
        <v>14</v>
      </c>
      <c r="N451" s="19">
        <v>8500</v>
      </c>
      <c r="O451" s="19">
        <v>10</v>
      </c>
      <c r="P451" s="19">
        <v>107100</v>
      </c>
      <c r="Q451" s="19">
        <v>4</v>
      </c>
      <c r="R451" s="19" t="s">
        <v>34</v>
      </c>
      <c r="S451" s="19" t="s">
        <v>35</v>
      </c>
      <c r="T451" s="19" t="s">
        <v>332</v>
      </c>
      <c r="U451" s="21" t="s">
        <v>1922</v>
      </c>
      <c r="V451" s="19" t="s">
        <v>38</v>
      </c>
      <c r="W451" s="15" t="str">
        <f t="shared" ref="W451:W501" si="7">IF(OR(Q451&lt;=2, V451="Cancelled"), "Blacklisted", IF(AND(P451&gt;=100000, Q451&gt;=4, O451&lt;=10, V451="Completed"), "Platinum", IF(AND(P451&gt;=50000, P451&lt;=99999, Q451&gt;=3, V451="Completed"), "Gold", IF(AND(P451&lt;50000, V451="Completed"), "Silver", "Pending"))))</f>
        <v>Platinum</v>
      </c>
    </row>
    <row r="452" spans="1:23" x14ac:dyDescent="0.3">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8" t="s">
        <v>1926</v>
      </c>
      <c r="V452" s="15" t="s">
        <v>69</v>
      </c>
      <c r="W452" s="15" t="str">
        <f t="shared" si="7"/>
        <v>Blacklisted</v>
      </c>
    </row>
    <row r="453" spans="1:23" x14ac:dyDescent="0.3">
      <c r="A453" s="19" t="s">
        <v>1927</v>
      </c>
      <c r="B453" s="19" t="s">
        <v>71</v>
      </c>
      <c r="C453" s="19" t="s">
        <v>54</v>
      </c>
      <c r="D453" s="19" t="s">
        <v>901</v>
      </c>
      <c r="E453" s="19" t="s">
        <v>1069</v>
      </c>
      <c r="F453" s="19" t="s">
        <v>217</v>
      </c>
      <c r="G453" s="19" t="s">
        <v>76</v>
      </c>
      <c r="H453" s="19" t="s">
        <v>1928</v>
      </c>
      <c r="I453" s="19" t="s">
        <v>44</v>
      </c>
      <c r="J453" s="19" t="s">
        <v>45</v>
      </c>
      <c r="K453" s="19" t="s">
        <v>46</v>
      </c>
      <c r="L453" s="19" t="s">
        <v>60</v>
      </c>
      <c r="M453" s="19">
        <v>16</v>
      </c>
      <c r="N453" s="19">
        <v>55000</v>
      </c>
      <c r="O453" s="19">
        <v>15</v>
      </c>
      <c r="P453" s="19">
        <v>748000</v>
      </c>
      <c r="Q453" s="19">
        <v>1</v>
      </c>
      <c r="R453" s="19" t="s">
        <v>79</v>
      </c>
      <c r="S453" s="19" t="s">
        <v>151</v>
      </c>
      <c r="T453" s="19" t="s">
        <v>80</v>
      </c>
      <c r="U453" s="21" t="s">
        <v>1929</v>
      </c>
      <c r="V453" s="19" t="s">
        <v>69</v>
      </c>
      <c r="W453" s="15" t="str">
        <f t="shared" si="7"/>
        <v>Blacklisted</v>
      </c>
    </row>
    <row r="454" spans="1:23" x14ac:dyDescent="0.3">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8" t="s">
        <v>1934</v>
      </c>
      <c r="V454" s="15" t="s">
        <v>38</v>
      </c>
      <c r="W454" s="15" t="str">
        <f t="shared" si="7"/>
        <v>Silver</v>
      </c>
    </row>
    <row r="455" spans="1:23" x14ac:dyDescent="0.3">
      <c r="A455" s="19" t="s">
        <v>1935</v>
      </c>
      <c r="B455" s="19" t="s">
        <v>251</v>
      </c>
      <c r="C455" s="19" t="s">
        <v>72</v>
      </c>
      <c r="D455" s="19" t="s">
        <v>66</v>
      </c>
      <c r="E455" s="19" t="s">
        <v>1936</v>
      </c>
      <c r="F455" s="19" t="s">
        <v>254</v>
      </c>
      <c r="G455" s="19" t="s">
        <v>28</v>
      </c>
      <c r="H455" s="19" t="s">
        <v>1937</v>
      </c>
      <c r="I455" s="19" t="s">
        <v>138</v>
      </c>
      <c r="J455" s="19" t="s">
        <v>106</v>
      </c>
      <c r="K455" s="19" t="s">
        <v>46</v>
      </c>
      <c r="L455" s="19" t="s">
        <v>78</v>
      </c>
      <c r="M455" s="19">
        <v>3</v>
      </c>
      <c r="N455" s="19">
        <v>1200</v>
      </c>
      <c r="O455" s="19">
        <v>0</v>
      </c>
      <c r="P455" s="19">
        <v>3600</v>
      </c>
      <c r="Q455" s="19">
        <v>1</v>
      </c>
      <c r="R455" s="19" t="s">
        <v>79</v>
      </c>
      <c r="S455" s="19" t="s">
        <v>49</v>
      </c>
      <c r="T455" s="19" t="s">
        <v>256</v>
      </c>
      <c r="U455" s="21" t="s">
        <v>1938</v>
      </c>
      <c r="V455" s="19" t="s">
        <v>69</v>
      </c>
      <c r="W455" s="15" t="str">
        <f t="shared" si="7"/>
        <v>Blacklisted</v>
      </c>
    </row>
    <row r="456" spans="1:23" x14ac:dyDescent="0.3">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8" t="s">
        <v>1941</v>
      </c>
      <c r="V456" s="15" t="s">
        <v>64</v>
      </c>
      <c r="W456" s="15" t="str">
        <f t="shared" si="7"/>
        <v>Pending</v>
      </c>
    </row>
    <row r="457" spans="1:23" x14ac:dyDescent="0.3">
      <c r="A457" s="19" t="s">
        <v>1942</v>
      </c>
      <c r="B457" s="19" t="s">
        <v>53</v>
      </c>
      <c r="C457" s="19" t="s">
        <v>54</v>
      </c>
      <c r="D457" s="19" t="s">
        <v>1932</v>
      </c>
      <c r="E457" s="19" t="s">
        <v>740</v>
      </c>
      <c r="F457" s="19" t="s">
        <v>163</v>
      </c>
      <c r="G457" s="19" t="s">
        <v>28</v>
      </c>
      <c r="H457" s="19" t="s">
        <v>1943</v>
      </c>
      <c r="I457" s="19" t="s">
        <v>114</v>
      </c>
      <c r="J457" s="19" t="s">
        <v>106</v>
      </c>
      <c r="K457" s="19" t="s">
        <v>46</v>
      </c>
      <c r="L457" s="19" t="s">
        <v>60</v>
      </c>
      <c r="M457" s="19">
        <v>9</v>
      </c>
      <c r="N457" s="19">
        <v>55000</v>
      </c>
      <c r="O457" s="19">
        <v>15</v>
      </c>
      <c r="P457" s="19">
        <v>420750</v>
      </c>
      <c r="Q457" s="19">
        <v>3</v>
      </c>
      <c r="R457" s="19" t="s">
        <v>88</v>
      </c>
      <c r="S457" s="19" t="s">
        <v>35</v>
      </c>
      <c r="T457" s="19" t="s">
        <v>62</v>
      </c>
      <c r="U457" s="21" t="s">
        <v>1944</v>
      </c>
      <c r="V457" s="19" t="s">
        <v>69</v>
      </c>
      <c r="W457" s="15" t="str">
        <f t="shared" si="7"/>
        <v>Blacklisted</v>
      </c>
    </row>
    <row r="458" spans="1:23" x14ac:dyDescent="0.3">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8" t="s">
        <v>1947</v>
      </c>
      <c r="V458" s="15" t="s">
        <v>69</v>
      </c>
      <c r="W458" s="15" t="str">
        <f t="shared" si="7"/>
        <v>Blacklisted</v>
      </c>
    </row>
    <row r="459" spans="1:23" x14ac:dyDescent="0.3">
      <c r="A459" s="19" t="s">
        <v>1948</v>
      </c>
      <c r="B459" s="19" t="s">
        <v>100</v>
      </c>
      <c r="C459" s="19" t="s">
        <v>118</v>
      </c>
      <c r="D459" s="19" t="s">
        <v>42</v>
      </c>
      <c r="E459" s="19" t="s">
        <v>597</v>
      </c>
      <c r="F459" s="19" t="s">
        <v>103</v>
      </c>
      <c r="G459" s="19" t="s">
        <v>28</v>
      </c>
      <c r="H459" s="19" t="s">
        <v>1949</v>
      </c>
      <c r="I459" s="19" t="s">
        <v>138</v>
      </c>
      <c r="J459" s="19" t="s">
        <v>106</v>
      </c>
      <c r="K459" s="19" t="s">
        <v>122</v>
      </c>
      <c r="L459" s="19" t="s">
        <v>123</v>
      </c>
      <c r="M459" s="19">
        <v>7</v>
      </c>
      <c r="N459" s="19">
        <v>60</v>
      </c>
      <c r="O459" s="19">
        <v>10</v>
      </c>
      <c r="P459" s="19">
        <v>378</v>
      </c>
      <c r="Q459" s="19">
        <v>4</v>
      </c>
      <c r="R459" s="19" t="s">
        <v>34</v>
      </c>
      <c r="S459" s="19" t="s">
        <v>49</v>
      </c>
      <c r="T459" s="19" t="s">
        <v>144</v>
      </c>
      <c r="U459" s="21" t="s">
        <v>1950</v>
      </c>
      <c r="V459" s="19" t="s">
        <v>69</v>
      </c>
      <c r="W459" s="15" t="str">
        <f t="shared" si="7"/>
        <v>Blacklisted</v>
      </c>
    </row>
    <row r="460" spans="1:23" x14ac:dyDescent="0.3">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8" t="s">
        <v>1953</v>
      </c>
      <c r="V460" s="15" t="s">
        <v>64</v>
      </c>
      <c r="W460" s="15" t="str">
        <f t="shared" si="7"/>
        <v>Pending</v>
      </c>
    </row>
    <row r="461" spans="1:23" x14ac:dyDescent="0.3">
      <c r="A461" s="19" t="s">
        <v>1954</v>
      </c>
      <c r="B461" s="19" t="s">
        <v>327</v>
      </c>
      <c r="C461" s="19" t="s">
        <v>184</v>
      </c>
      <c r="D461" s="19" t="s">
        <v>351</v>
      </c>
      <c r="E461" s="19" t="s">
        <v>1537</v>
      </c>
      <c r="F461" s="19" t="s">
        <v>394</v>
      </c>
      <c r="G461" s="19" t="s">
        <v>76</v>
      </c>
      <c r="H461" s="19" t="s">
        <v>1955</v>
      </c>
      <c r="I461" s="19" t="s">
        <v>59</v>
      </c>
      <c r="J461" s="19" t="s">
        <v>31</v>
      </c>
      <c r="K461" s="19" t="s">
        <v>46</v>
      </c>
      <c r="L461" s="19" t="s">
        <v>189</v>
      </c>
      <c r="M461" s="19">
        <v>17</v>
      </c>
      <c r="N461" s="19">
        <v>700</v>
      </c>
      <c r="O461" s="19">
        <v>10</v>
      </c>
      <c r="P461" s="19">
        <v>10710</v>
      </c>
      <c r="Q461" s="19">
        <v>2</v>
      </c>
      <c r="R461" s="19" t="s">
        <v>34</v>
      </c>
      <c r="S461" s="19" t="s">
        <v>61</v>
      </c>
      <c r="T461" s="19" t="s">
        <v>332</v>
      </c>
      <c r="U461" s="21" t="s">
        <v>1956</v>
      </c>
      <c r="V461" s="19" t="s">
        <v>64</v>
      </c>
      <c r="W461" s="15" t="str">
        <f t="shared" si="7"/>
        <v>Blacklisted</v>
      </c>
    </row>
    <row r="462" spans="1:23" x14ac:dyDescent="0.3">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8" t="s">
        <v>1960</v>
      </c>
      <c r="V462" s="15" t="s">
        <v>38</v>
      </c>
      <c r="W462" s="15" t="str">
        <f t="shared" si="7"/>
        <v>Pending</v>
      </c>
    </row>
    <row r="463" spans="1:23" x14ac:dyDescent="0.3">
      <c r="A463" s="19" t="s">
        <v>1961</v>
      </c>
      <c r="B463" s="19" t="s">
        <v>127</v>
      </c>
      <c r="C463" s="19" t="s">
        <v>118</v>
      </c>
      <c r="D463" s="19" t="s">
        <v>1172</v>
      </c>
      <c r="E463" s="19" t="s">
        <v>128</v>
      </c>
      <c r="F463" s="19" t="s">
        <v>200</v>
      </c>
      <c r="G463" s="19" t="s">
        <v>76</v>
      </c>
      <c r="H463" s="19" t="s">
        <v>1962</v>
      </c>
      <c r="I463" s="19" t="s">
        <v>44</v>
      </c>
      <c r="J463" s="19" t="s">
        <v>45</v>
      </c>
      <c r="K463" s="19" t="s">
        <v>122</v>
      </c>
      <c r="L463" s="19" t="s">
        <v>123</v>
      </c>
      <c r="M463" s="19">
        <v>1</v>
      </c>
      <c r="N463" s="19">
        <v>60</v>
      </c>
      <c r="O463" s="19">
        <v>10</v>
      </c>
      <c r="P463" s="19">
        <v>54</v>
      </c>
      <c r="Q463" s="19">
        <v>4</v>
      </c>
      <c r="R463" s="19" t="s">
        <v>48</v>
      </c>
      <c r="S463" s="19"/>
      <c r="T463" s="22" t="s">
        <v>1963</v>
      </c>
      <c r="U463" s="21" t="s">
        <v>1964</v>
      </c>
      <c r="V463" s="19" t="s">
        <v>69</v>
      </c>
      <c r="W463" s="15" t="str">
        <f t="shared" si="7"/>
        <v>Blacklisted</v>
      </c>
    </row>
    <row r="464" spans="1:23" x14ac:dyDescent="0.3">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8" t="s">
        <v>1967</v>
      </c>
      <c r="V464" s="15" t="s">
        <v>64</v>
      </c>
      <c r="W464" s="15" t="str">
        <f t="shared" si="7"/>
        <v>Pending</v>
      </c>
    </row>
    <row r="465" spans="1:23" x14ac:dyDescent="0.3">
      <c r="A465" s="19" t="s">
        <v>1968</v>
      </c>
      <c r="B465" s="19" t="s">
        <v>127</v>
      </c>
      <c r="C465" s="19" t="s">
        <v>222</v>
      </c>
      <c r="D465" s="19" t="s">
        <v>957</v>
      </c>
      <c r="E465" s="19" t="s">
        <v>766</v>
      </c>
      <c r="F465" s="19" t="s">
        <v>200</v>
      </c>
      <c r="G465" s="19" t="s">
        <v>76</v>
      </c>
      <c r="H465" s="19" t="s">
        <v>1295</v>
      </c>
      <c r="I465" s="19" t="s">
        <v>114</v>
      </c>
      <c r="J465" s="19" t="s">
        <v>106</v>
      </c>
      <c r="K465" s="19" t="s">
        <v>122</v>
      </c>
      <c r="L465" s="19" t="s">
        <v>227</v>
      </c>
      <c r="M465" s="19">
        <v>14</v>
      </c>
      <c r="N465" s="19">
        <v>20</v>
      </c>
      <c r="O465" s="19">
        <v>10</v>
      </c>
      <c r="P465" s="19">
        <v>252</v>
      </c>
      <c r="Q465" s="19">
        <v>1</v>
      </c>
      <c r="R465" s="19" t="s">
        <v>48</v>
      </c>
      <c r="S465" s="19" t="s">
        <v>61</v>
      </c>
      <c r="T465" s="19" t="s">
        <v>132</v>
      </c>
      <c r="U465" s="21" t="s">
        <v>1969</v>
      </c>
      <c r="V465" s="19" t="s">
        <v>64</v>
      </c>
      <c r="W465" s="15" t="str">
        <f t="shared" si="7"/>
        <v>Blacklisted</v>
      </c>
    </row>
    <row r="466" spans="1:23" x14ac:dyDescent="0.3">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8" t="s">
        <v>1972</v>
      </c>
      <c r="V466" s="15" t="s">
        <v>69</v>
      </c>
      <c r="W466" s="15" t="str">
        <f t="shared" si="7"/>
        <v>Blacklisted</v>
      </c>
    </row>
    <row r="467" spans="1:23" x14ac:dyDescent="0.3">
      <c r="A467" s="19" t="s">
        <v>1973</v>
      </c>
      <c r="B467" s="19" t="s">
        <v>83</v>
      </c>
      <c r="C467" s="19" t="s">
        <v>54</v>
      </c>
      <c r="D467" s="19" t="s">
        <v>756</v>
      </c>
      <c r="E467" s="19" t="s">
        <v>1282</v>
      </c>
      <c r="F467" s="19" t="s">
        <v>180</v>
      </c>
      <c r="G467" s="19" t="s">
        <v>76</v>
      </c>
      <c r="H467" s="19" t="s">
        <v>1974</v>
      </c>
      <c r="I467" s="19" t="s">
        <v>212</v>
      </c>
      <c r="J467" s="19" t="s">
        <v>45</v>
      </c>
      <c r="K467" s="19" t="s">
        <v>46</v>
      </c>
      <c r="L467" s="19" t="s">
        <v>60</v>
      </c>
      <c r="M467" s="19">
        <v>2</v>
      </c>
      <c r="N467" s="19">
        <v>55000</v>
      </c>
      <c r="O467" s="19">
        <v>0</v>
      </c>
      <c r="P467" s="19">
        <v>110000</v>
      </c>
      <c r="Q467" s="19">
        <v>4</v>
      </c>
      <c r="R467" s="19" t="s">
        <v>48</v>
      </c>
      <c r="S467" s="19" t="s">
        <v>49</v>
      </c>
      <c r="T467" s="19" t="s">
        <v>89</v>
      </c>
      <c r="U467" s="21" t="s">
        <v>1975</v>
      </c>
      <c r="V467" s="19" t="s">
        <v>69</v>
      </c>
      <c r="W467" s="15" t="str">
        <f t="shared" si="7"/>
        <v>Blacklisted</v>
      </c>
    </row>
    <row r="468" spans="1:23" x14ac:dyDescent="0.3">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8" t="s">
        <v>1978</v>
      </c>
      <c r="V468" s="15" t="s">
        <v>69</v>
      </c>
      <c r="W468" s="15" t="str">
        <f t="shared" si="7"/>
        <v>Blacklisted</v>
      </c>
    </row>
    <row r="469" spans="1:23" x14ac:dyDescent="0.3">
      <c r="A469" s="19" t="s">
        <v>1979</v>
      </c>
      <c r="B469" s="19" t="s">
        <v>23</v>
      </c>
      <c r="C469" s="19" t="s">
        <v>259</v>
      </c>
      <c r="D469" s="19" t="s">
        <v>1507</v>
      </c>
      <c r="E469" s="19" t="s">
        <v>577</v>
      </c>
      <c r="F469" s="19" t="s">
        <v>27</v>
      </c>
      <c r="G469" s="19" t="s">
        <v>28</v>
      </c>
      <c r="H469" s="19" t="s">
        <v>1980</v>
      </c>
      <c r="I469" s="19" t="s">
        <v>138</v>
      </c>
      <c r="J469" s="19" t="s">
        <v>106</v>
      </c>
      <c r="K469" s="19" t="s">
        <v>122</v>
      </c>
      <c r="L469" s="19" t="s">
        <v>263</v>
      </c>
      <c r="M469" s="19">
        <v>11</v>
      </c>
      <c r="N469" s="19">
        <v>45</v>
      </c>
      <c r="O469" s="19">
        <v>15</v>
      </c>
      <c r="P469" s="19">
        <v>420.75</v>
      </c>
      <c r="Q469" s="19">
        <v>4</v>
      </c>
      <c r="R469" s="19" t="s">
        <v>79</v>
      </c>
      <c r="S469" s="19" t="s">
        <v>61</v>
      </c>
      <c r="T469" s="19" t="s">
        <v>50</v>
      </c>
      <c r="U469" s="21" t="s">
        <v>1981</v>
      </c>
      <c r="V469" s="19" t="s">
        <v>64</v>
      </c>
      <c r="W469" s="15" t="str">
        <f t="shared" si="7"/>
        <v>Pending</v>
      </c>
    </row>
    <row r="470" spans="1:23" x14ac:dyDescent="0.3">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8" t="s">
        <v>1984</v>
      </c>
      <c r="V470" s="15" t="s">
        <v>69</v>
      </c>
      <c r="W470" s="15" t="str">
        <f t="shared" si="7"/>
        <v>Blacklisted</v>
      </c>
    </row>
    <row r="471" spans="1:23" x14ac:dyDescent="0.3">
      <c r="A471" s="19" t="s">
        <v>1985</v>
      </c>
      <c r="B471" s="19" t="s">
        <v>327</v>
      </c>
      <c r="C471" s="19" t="s">
        <v>54</v>
      </c>
      <c r="D471" s="19" t="s">
        <v>1102</v>
      </c>
      <c r="E471" s="19" t="s">
        <v>864</v>
      </c>
      <c r="F471" s="19" t="s">
        <v>394</v>
      </c>
      <c r="G471" s="19" t="s">
        <v>76</v>
      </c>
      <c r="H471" s="19" t="s">
        <v>1986</v>
      </c>
      <c r="I471" s="19" t="s">
        <v>114</v>
      </c>
      <c r="J471" s="19" t="s">
        <v>106</v>
      </c>
      <c r="K471" s="19" t="s">
        <v>46</v>
      </c>
      <c r="L471" s="19" t="s">
        <v>60</v>
      </c>
      <c r="M471" s="19">
        <v>18</v>
      </c>
      <c r="N471" s="19">
        <v>55000</v>
      </c>
      <c r="O471" s="19">
        <v>0</v>
      </c>
      <c r="P471" s="19">
        <v>990000</v>
      </c>
      <c r="Q471" s="19">
        <v>5</v>
      </c>
      <c r="R471" s="19" t="s">
        <v>48</v>
      </c>
      <c r="S471" s="19" t="s">
        <v>49</v>
      </c>
      <c r="T471" s="19" t="s">
        <v>332</v>
      </c>
      <c r="U471" s="21" t="s">
        <v>1987</v>
      </c>
      <c r="V471" s="19" t="s">
        <v>64</v>
      </c>
      <c r="W471" s="15" t="str">
        <f t="shared" si="7"/>
        <v>Pending</v>
      </c>
    </row>
    <row r="472" spans="1:23" x14ac:dyDescent="0.3">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8" t="s">
        <v>1991</v>
      </c>
      <c r="V472" s="15" t="s">
        <v>64</v>
      </c>
      <c r="W472" s="15" t="str">
        <f t="shared" si="7"/>
        <v>Blacklisted</v>
      </c>
    </row>
    <row r="473" spans="1:23" x14ac:dyDescent="0.3">
      <c r="A473" s="19" t="s">
        <v>1992</v>
      </c>
      <c r="B473" s="19" t="s">
        <v>53</v>
      </c>
      <c r="C473" s="19" t="s">
        <v>54</v>
      </c>
      <c r="D473" s="19" t="s">
        <v>41</v>
      </c>
      <c r="E473" s="19" t="s">
        <v>199</v>
      </c>
      <c r="F473" s="19" t="s">
        <v>163</v>
      </c>
      <c r="G473" s="19" t="s">
        <v>28</v>
      </c>
      <c r="H473" s="19" t="s">
        <v>1993</v>
      </c>
      <c r="I473" s="19" t="s">
        <v>114</v>
      </c>
      <c r="J473" s="19" t="s">
        <v>106</v>
      </c>
      <c r="K473" s="19" t="s">
        <v>46</v>
      </c>
      <c r="L473" s="19" t="s">
        <v>60</v>
      </c>
      <c r="M473" s="19">
        <v>11</v>
      </c>
      <c r="N473" s="19">
        <v>55000</v>
      </c>
      <c r="O473" s="19">
        <v>0</v>
      </c>
      <c r="P473" s="19">
        <v>605000</v>
      </c>
      <c r="Q473" s="19">
        <v>2</v>
      </c>
      <c r="R473" s="19" t="s">
        <v>34</v>
      </c>
      <c r="S473" s="19" t="s">
        <v>61</v>
      </c>
      <c r="T473" s="19" t="s">
        <v>62</v>
      </c>
      <c r="U473" s="21" t="s">
        <v>1994</v>
      </c>
      <c r="V473" s="19" t="s">
        <v>64</v>
      </c>
      <c r="W473" s="15" t="str">
        <f t="shared" si="7"/>
        <v>Blacklisted</v>
      </c>
    </row>
    <row r="474" spans="1:23" x14ac:dyDescent="0.3">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8" t="s">
        <v>1997</v>
      </c>
      <c r="V474" s="15" t="s">
        <v>38</v>
      </c>
      <c r="W474" s="15" t="str">
        <f t="shared" si="7"/>
        <v>Silver</v>
      </c>
    </row>
    <row r="475" spans="1:23" x14ac:dyDescent="0.3">
      <c r="A475" s="19" t="s">
        <v>1998</v>
      </c>
      <c r="B475" s="19" t="s">
        <v>71</v>
      </c>
      <c r="C475" s="19" t="s">
        <v>222</v>
      </c>
      <c r="D475" s="19" t="s">
        <v>484</v>
      </c>
      <c r="E475" s="19" t="s">
        <v>322</v>
      </c>
      <c r="F475" s="19" t="s">
        <v>217</v>
      </c>
      <c r="G475" s="19" t="s">
        <v>76</v>
      </c>
      <c r="H475" s="19" t="s">
        <v>1999</v>
      </c>
      <c r="I475" s="19" t="s">
        <v>44</v>
      </c>
      <c r="J475" s="19" t="s">
        <v>45</v>
      </c>
      <c r="K475" s="19" t="s">
        <v>122</v>
      </c>
      <c r="L475" s="19" t="s">
        <v>227</v>
      </c>
      <c r="M475" s="19">
        <v>5</v>
      </c>
      <c r="N475" s="19">
        <v>20</v>
      </c>
      <c r="O475" s="19">
        <v>5</v>
      </c>
      <c r="P475" s="19">
        <v>95</v>
      </c>
      <c r="Q475" s="19">
        <v>4</v>
      </c>
      <c r="R475" s="19" t="s">
        <v>34</v>
      </c>
      <c r="S475" s="19" t="s">
        <v>49</v>
      </c>
      <c r="T475" s="19" t="s">
        <v>80</v>
      </c>
      <c r="U475" s="21" t="s">
        <v>2000</v>
      </c>
      <c r="V475" s="19" t="s">
        <v>69</v>
      </c>
      <c r="W475" s="15" t="str">
        <f t="shared" si="7"/>
        <v>Blacklisted</v>
      </c>
    </row>
    <row r="476" spans="1:23" x14ac:dyDescent="0.3">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8" t="s">
        <v>2003</v>
      </c>
      <c r="V476" s="15" t="s">
        <v>64</v>
      </c>
      <c r="W476" s="15" t="str">
        <f t="shared" si="7"/>
        <v>Blacklisted</v>
      </c>
    </row>
    <row r="477" spans="1:23" x14ac:dyDescent="0.3">
      <c r="A477" s="19" t="s">
        <v>2004</v>
      </c>
      <c r="B477" s="19" t="s">
        <v>127</v>
      </c>
      <c r="C477" s="19" t="s">
        <v>54</v>
      </c>
      <c r="D477" s="19" t="s">
        <v>102</v>
      </c>
      <c r="E477" s="19" t="s">
        <v>1114</v>
      </c>
      <c r="F477" s="19" t="s">
        <v>200</v>
      </c>
      <c r="G477" s="19" t="s">
        <v>76</v>
      </c>
      <c r="H477" s="19" t="s">
        <v>2005</v>
      </c>
      <c r="I477" s="19" t="s">
        <v>294</v>
      </c>
      <c r="J477" s="19" t="s">
        <v>295</v>
      </c>
      <c r="K477" s="19" t="s">
        <v>46</v>
      </c>
      <c r="L477" s="19" t="s">
        <v>60</v>
      </c>
      <c r="M477" s="19">
        <v>12</v>
      </c>
      <c r="N477" s="19">
        <v>55000</v>
      </c>
      <c r="O477" s="19">
        <v>5</v>
      </c>
      <c r="P477" s="19">
        <v>627000</v>
      </c>
      <c r="Q477" s="19">
        <v>1</v>
      </c>
      <c r="R477" s="19" t="s">
        <v>48</v>
      </c>
      <c r="S477" s="19" t="s">
        <v>115</v>
      </c>
      <c r="T477" s="19" t="s">
        <v>132</v>
      </c>
      <c r="U477" s="21" t="s">
        <v>2006</v>
      </c>
      <c r="V477" s="19" t="s">
        <v>69</v>
      </c>
      <c r="W477" s="15" t="str">
        <f t="shared" si="7"/>
        <v>Blacklisted</v>
      </c>
    </row>
    <row r="478" spans="1:23" x14ac:dyDescent="0.3">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8" t="s">
        <v>2009</v>
      </c>
      <c r="V478" s="15" t="s">
        <v>64</v>
      </c>
      <c r="W478" s="15" t="str">
        <f t="shared" si="7"/>
        <v>Blacklisted</v>
      </c>
    </row>
    <row r="479" spans="1:23" x14ac:dyDescent="0.3">
      <c r="A479" s="19" t="s">
        <v>2010</v>
      </c>
      <c r="B479" s="19" t="s">
        <v>23</v>
      </c>
      <c r="C479" s="19" t="s">
        <v>72</v>
      </c>
      <c r="D479" s="19" t="s">
        <v>25</v>
      </c>
      <c r="E479" s="19" t="s">
        <v>73</v>
      </c>
      <c r="F479" s="19" t="s">
        <v>27</v>
      </c>
      <c r="G479" s="19" t="s">
        <v>28</v>
      </c>
      <c r="H479" s="19" t="s">
        <v>2011</v>
      </c>
      <c r="I479" s="19" t="s">
        <v>59</v>
      </c>
      <c r="J479" s="19" t="s">
        <v>31</v>
      </c>
      <c r="K479" s="19" t="s">
        <v>46</v>
      </c>
      <c r="L479" s="19" t="s">
        <v>78</v>
      </c>
      <c r="M479" s="19">
        <v>5</v>
      </c>
      <c r="N479" s="19">
        <v>1200</v>
      </c>
      <c r="O479" s="19">
        <v>10</v>
      </c>
      <c r="P479" s="19">
        <v>5400</v>
      </c>
      <c r="Q479" s="19">
        <v>1</v>
      </c>
      <c r="R479" s="19" t="s">
        <v>34</v>
      </c>
      <c r="S479" s="19"/>
      <c r="T479" s="22" t="s">
        <v>2012</v>
      </c>
      <c r="U479" s="21" t="s">
        <v>2013</v>
      </c>
      <c r="V479" s="19" t="s">
        <v>38</v>
      </c>
      <c r="W479" s="15" t="str">
        <f t="shared" si="7"/>
        <v>Blacklisted</v>
      </c>
    </row>
    <row r="480" spans="1:23" x14ac:dyDescent="0.3">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8" t="s">
        <v>2017</v>
      </c>
      <c r="V480" s="15" t="s">
        <v>64</v>
      </c>
      <c r="W480" s="15" t="str">
        <f t="shared" si="7"/>
        <v>Pending</v>
      </c>
    </row>
    <row r="481" spans="1:23" x14ac:dyDescent="0.3">
      <c r="A481" s="19" t="s">
        <v>2018</v>
      </c>
      <c r="B481" s="19" t="s">
        <v>127</v>
      </c>
      <c r="C481" s="19" t="s">
        <v>40</v>
      </c>
      <c r="D481" s="19" t="s">
        <v>85</v>
      </c>
      <c r="E481" s="19" t="s">
        <v>587</v>
      </c>
      <c r="F481" s="19" t="s">
        <v>200</v>
      </c>
      <c r="G481" s="19" t="s">
        <v>76</v>
      </c>
      <c r="H481" s="19" t="s">
        <v>2019</v>
      </c>
      <c r="I481" s="19" t="s">
        <v>138</v>
      </c>
      <c r="J481" s="19" t="s">
        <v>106</v>
      </c>
      <c r="K481" s="19" t="s">
        <v>46</v>
      </c>
      <c r="L481" s="19" t="s">
        <v>47</v>
      </c>
      <c r="M481" s="19">
        <v>3</v>
      </c>
      <c r="N481" s="19">
        <v>12000</v>
      </c>
      <c r="O481" s="19">
        <v>0</v>
      </c>
      <c r="P481" s="19">
        <v>36000</v>
      </c>
      <c r="Q481" s="19">
        <v>2</v>
      </c>
      <c r="R481" s="19" t="s">
        <v>88</v>
      </c>
      <c r="S481" s="19" t="s">
        <v>151</v>
      </c>
      <c r="T481" s="19" t="s">
        <v>132</v>
      </c>
      <c r="U481" s="21" t="s">
        <v>2020</v>
      </c>
      <c r="V481" s="19" t="s">
        <v>64</v>
      </c>
      <c r="W481" s="15" t="str">
        <f t="shared" si="7"/>
        <v>Blacklisted</v>
      </c>
    </row>
    <row r="482" spans="1:23" x14ac:dyDescent="0.3">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8" t="s">
        <v>2024</v>
      </c>
      <c r="V482" s="15" t="s">
        <v>38</v>
      </c>
      <c r="W482" s="15" t="str">
        <f t="shared" si="7"/>
        <v>Silver</v>
      </c>
    </row>
    <row r="483" spans="1:23" x14ac:dyDescent="0.3">
      <c r="A483" s="19" t="s">
        <v>2025</v>
      </c>
      <c r="B483" s="19" t="s">
        <v>127</v>
      </c>
      <c r="C483" s="19" t="s">
        <v>169</v>
      </c>
      <c r="D483" s="19" t="s">
        <v>892</v>
      </c>
      <c r="E483" s="19" t="s">
        <v>161</v>
      </c>
      <c r="F483" s="19" t="s">
        <v>200</v>
      </c>
      <c r="G483" s="19" t="s">
        <v>76</v>
      </c>
      <c r="H483" s="19" t="s">
        <v>2026</v>
      </c>
      <c r="I483" s="19" t="s">
        <v>294</v>
      </c>
      <c r="J483" s="19" t="s">
        <v>295</v>
      </c>
      <c r="K483" s="19" t="s">
        <v>32</v>
      </c>
      <c r="L483" s="19" t="s">
        <v>174</v>
      </c>
      <c r="M483" s="19">
        <v>9</v>
      </c>
      <c r="N483" s="19">
        <v>8500</v>
      </c>
      <c r="O483" s="19">
        <v>15</v>
      </c>
      <c r="P483" s="19">
        <v>65025</v>
      </c>
      <c r="Q483" s="19">
        <v>5</v>
      </c>
      <c r="R483" s="19" t="s">
        <v>34</v>
      </c>
      <c r="S483" s="19" t="s">
        <v>49</v>
      </c>
      <c r="T483" s="19" t="s">
        <v>132</v>
      </c>
      <c r="U483" s="21" t="s">
        <v>2027</v>
      </c>
      <c r="V483" s="19" t="s">
        <v>64</v>
      </c>
      <c r="W483" s="15" t="str">
        <f t="shared" si="7"/>
        <v>Pending</v>
      </c>
    </row>
    <row r="484" spans="1:23" x14ac:dyDescent="0.3">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8" t="s">
        <v>2031</v>
      </c>
      <c r="V484" s="15" t="s">
        <v>69</v>
      </c>
      <c r="W484" s="15" t="str">
        <f t="shared" si="7"/>
        <v>Blacklisted</v>
      </c>
    </row>
    <row r="485" spans="1:23" x14ac:dyDescent="0.3">
      <c r="A485" s="19" t="s">
        <v>2032</v>
      </c>
      <c r="B485" s="19" t="s">
        <v>23</v>
      </c>
      <c r="C485" s="19" t="s">
        <v>184</v>
      </c>
      <c r="D485" s="19" t="s">
        <v>1249</v>
      </c>
      <c r="E485" s="19" t="s">
        <v>1572</v>
      </c>
      <c r="F485" s="19" t="s">
        <v>27</v>
      </c>
      <c r="G485" s="19" t="s">
        <v>28</v>
      </c>
      <c r="H485" s="19" t="s">
        <v>2033</v>
      </c>
      <c r="I485" s="19" t="s">
        <v>30</v>
      </c>
      <c r="J485" s="19" t="s">
        <v>31</v>
      </c>
      <c r="K485" s="19" t="s">
        <v>46</v>
      </c>
      <c r="L485" s="19" t="s">
        <v>189</v>
      </c>
      <c r="M485" s="19">
        <v>20</v>
      </c>
      <c r="N485" s="19">
        <v>700</v>
      </c>
      <c r="O485" s="19">
        <v>5</v>
      </c>
      <c r="P485" s="19">
        <v>13300</v>
      </c>
      <c r="Q485" s="19">
        <v>2</v>
      </c>
      <c r="R485" s="19" t="s">
        <v>88</v>
      </c>
      <c r="S485" s="19" t="s">
        <v>35</v>
      </c>
      <c r="T485" s="19" t="s">
        <v>50</v>
      </c>
      <c r="U485" s="21" t="s">
        <v>2034</v>
      </c>
      <c r="V485" s="19" t="s">
        <v>38</v>
      </c>
      <c r="W485" s="15" t="str">
        <f t="shared" si="7"/>
        <v>Blacklisted</v>
      </c>
    </row>
    <row r="486" spans="1:23" x14ac:dyDescent="0.3">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8" t="s">
        <v>2038</v>
      </c>
      <c r="V486" s="15" t="s">
        <v>38</v>
      </c>
      <c r="W486" s="15" t="str">
        <f t="shared" si="7"/>
        <v>Silver</v>
      </c>
    </row>
    <row r="487" spans="1:23" x14ac:dyDescent="0.3">
      <c r="A487" s="19" t="s">
        <v>2039</v>
      </c>
      <c r="B487" s="19" t="s">
        <v>100</v>
      </c>
      <c r="C487" s="19" t="s">
        <v>54</v>
      </c>
      <c r="D487" s="19" t="s">
        <v>2040</v>
      </c>
      <c r="E487" s="19" t="s">
        <v>1932</v>
      </c>
      <c r="F487" s="19" t="s">
        <v>103</v>
      </c>
      <c r="G487" s="19" t="s">
        <v>28</v>
      </c>
      <c r="H487" s="19" t="s">
        <v>1082</v>
      </c>
      <c r="I487" s="19" t="s">
        <v>212</v>
      </c>
      <c r="J487" s="19" t="s">
        <v>45</v>
      </c>
      <c r="K487" s="19" t="s">
        <v>46</v>
      </c>
      <c r="L487" s="19" t="s">
        <v>60</v>
      </c>
      <c r="M487" s="19">
        <v>20</v>
      </c>
      <c r="N487" s="19">
        <v>55000</v>
      </c>
      <c r="O487" s="19">
        <v>10</v>
      </c>
      <c r="P487" s="19">
        <v>990000</v>
      </c>
      <c r="Q487" s="19">
        <v>1</v>
      </c>
      <c r="R487" s="19" t="s">
        <v>88</v>
      </c>
      <c r="S487" s="19" t="s">
        <v>35</v>
      </c>
      <c r="T487" s="19" t="s">
        <v>144</v>
      </c>
      <c r="U487" s="21" t="s">
        <v>2041</v>
      </c>
      <c r="V487" s="19" t="s">
        <v>64</v>
      </c>
      <c r="W487" s="15" t="str">
        <f t="shared" si="7"/>
        <v>Blacklisted</v>
      </c>
    </row>
    <row r="488" spans="1:23" x14ac:dyDescent="0.3">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8" t="s">
        <v>2044</v>
      </c>
      <c r="V488" s="15" t="s">
        <v>38</v>
      </c>
      <c r="W488" s="15" t="str">
        <f t="shared" si="7"/>
        <v>Blacklisted</v>
      </c>
    </row>
    <row r="489" spans="1:23" x14ac:dyDescent="0.3">
      <c r="A489" s="19" t="s">
        <v>2045</v>
      </c>
      <c r="B489" s="19" t="s">
        <v>53</v>
      </c>
      <c r="C489" s="19" t="s">
        <v>222</v>
      </c>
      <c r="D489" s="19" t="s">
        <v>2046</v>
      </c>
      <c r="E489" s="19" t="s">
        <v>1238</v>
      </c>
      <c r="F489" s="19" t="s">
        <v>163</v>
      </c>
      <c r="G489" s="19" t="s">
        <v>28</v>
      </c>
      <c r="H489" s="19" t="s">
        <v>2047</v>
      </c>
      <c r="I489" s="19" t="s">
        <v>294</v>
      </c>
      <c r="J489" s="19" t="s">
        <v>295</v>
      </c>
      <c r="K489" s="19" t="s">
        <v>122</v>
      </c>
      <c r="L489" s="19" t="s">
        <v>227</v>
      </c>
      <c r="M489" s="19">
        <v>18</v>
      </c>
      <c r="N489" s="19">
        <v>20</v>
      </c>
      <c r="O489" s="19">
        <v>10</v>
      </c>
      <c r="P489" s="19">
        <v>324</v>
      </c>
      <c r="Q489" s="19">
        <v>5</v>
      </c>
      <c r="R489" s="19" t="s">
        <v>79</v>
      </c>
      <c r="S489" s="19"/>
      <c r="T489" s="22" t="s">
        <v>2048</v>
      </c>
      <c r="U489" s="21" t="s">
        <v>2049</v>
      </c>
      <c r="V489" s="19" t="s">
        <v>64</v>
      </c>
      <c r="W489" s="15" t="str">
        <f t="shared" si="7"/>
        <v>Pending</v>
      </c>
    </row>
    <row r="490" spans="1:23" x14ac:dyDescent="0.3">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8" t="s">
        <v>2053</v>
      </c>
      <c r="V490" s="15" t="s">
        <v>69</v>
      </c>
      <c r="W490" s="15" t="str">
        <f t="shared" si="7"/>
        <v>Blacklisted</v>
      </c>
    </row>
    <row r="491" spans="1:23" x14ac:dyDescent="0.3">
      <c r="A491" s="19" t="s">
        <v>2054</v>
      </c>
      <c r="B491" s="19" t="s">
        <v>327</v>
      </c>
      <c r="C491" s="19" t="s">
        <v>169</v>
      </c>
      <c r="D491" s="19" t="s">
        <v>142</v>
      </c>
      <c r="E491" s="19" t="s">
        <v>1378</v>
      </c>
      <c r="F491" s="19" t="s">
        <v>394</v>
      </c>
      <c r="G491" s="19" t="s">
        <v>76</v>
      </c>
      <c r="H491" s="19" t="s">
        <v>2055</v>
      </c>
      <c r="I491" s="19" t="s">
        <v>30</v>
      </c>
      <c r="J491" s="19" t="s">
        <v>31</v>
      </c>
      <c r="K491" s="19" t="s">
        <v>32</v>
      </c>
      <c r="L491" s="19" t="s">
        <v>174</v>
      </c>
      <c r="M491" s="19">
        <v>2</v>
      </c>
      <c r="N491" s="19">
        <v>8500</v>
      </c>
      <c r="O491" s="19">
        <v>5</v>
      </c>
      <c r="P491" s="19">
        <v>16150</v>
      </c>
      <c r="Q491" s="19">
        <v>1</v>
      </c>
      <c r="R491" s="19" t="s">
        <v>79</v>
      </c>
      <c r="S491" s="19" t="s">
        <v>61</v>
      </c>
      <c r="T491" s="19" t="s">
        <v>332</v>
      </c>
      <c r="U491" s="21" t="s">
        <v>2056</v>
      </c>
      <c r="V491" s="19" t="s">
        <v>38</v>
      </c>
      <c r="W491" s="15" t="str">
        <f t="shared" si="7"/>
        <v>Blacklisted</v>
      </c>
    </row>
    <row r="492" spans="1:23" x14ac:dyDescent="0.3">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8" t="s">
        <v>2060</v>
      </c>
      <c r="V492" s="15" t="s">
        <v>64</v>
      </c>
      <c r="W492" s="15" t="str">
        <f t="shared" si="7"/>
        <v>Pending</v>
      </c>
    </row>
    <row r="493" spans="1:23" x14ac:dyDescent="0.3">
      <c r="A493" s="19" t="s">
        <v>2061</v>
      </c>
      <c r="B493" s="19" t="s">
        <v>83</v>
      </c>
      <c r="C493" s="19" t="s">
        <v>169</v>
      </c>
      <c r="D493" s="19" t="s">
        <v>1916</v>
      </c>
      <c r="E493" s="19" t="s">
        <v>1098</v>
      </c>
      <c r="F493" s="19" t="s">
        <v>180</v>
      </c>
      <c r="G493" s="19" t="s">
        <v>76</v>
      </c>
      <c r="H493" s="19" t="s">
        <v>2062</v>
      </c>
      <c r="I493" s="19" t="s">
        <v>44</v>
      </c>
      <c r="J493" s="19" t="s">
        <v>45</v>
      </c>
      <c r="K493" s="19" t="s">
        <v>32</v>
      </c>
      <c r="L493" s="19" t="s">
        <v>174</v>
      </c>
      <c r="M493" s="19">
        <v>20</v>
      </c>
      <c r="N493" s="19">
        <v>8500</v>
      </c>
      <c r="O493" s="19">
        <v>0</v>
      </c>
      <c r="P493" s="19">
        <v>170000</v>
      </c>
      <c r="Q493" s="19">
        <v>3</v>
      </c>
      <c r="R493" s="19" t="s">
        <v>48</v>
      </c>
      <c r="S493" s="19" t="s">
        <v>49</v>
      </c>
      <c r="T493" s="19" t="s">
        <v>89</v>
      </c>
      <c r="U493" s="21" t="s">
        <v>2063</v>
      </c>
      <c r="V493" s="19" t="s">
        <v>38</v>
      </c>
      <c r="W493" s="15" t="str">
        <f t="shared" si="7"/>
        <v>Pending</v>
      </c>
    </row>
    <row r="494" spans="1:23" x14ac:dyDescent="0.3">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8" t="s">
        <v>2067</v>
      </c>
      <c r="V494" s="15" t="s">
        <v>64</v>
      </c>
      <c r="W494" s="15" t="str">
        <f t="shared" si="7"/>
        <v>Blacklisted</v>
      </c>
    </row>
    <row r="495" spans="1:23" x14ac:dyDescent="0.3">
      <c r="A495" s="19" t="s">
        <v>2068</v>
      </c>
      <c r="B495" s="19" t="s">
        <v>83</v>
      </c>
      <c r="C495" s="19" t="s">
        <v>184</v>
      </c>
      <c r="D495" s="19" t="s">
        <v>839</v>
      </c>
      <c r="E495" s="19" t="s">
        <v>756</v>
      </c>
      <c r="F495" s="19" t="s">
        <v>180</v>
      </c>
      <c r="G495" s="19" t="s">
        <v>76</v>
      </c>
      <c r="H495" s="19" t="s">
        <v>2069</v>
      </c>
      <c r="I495" s="19" t="s">
        <v>138</v>
      </c>
      <c r="J495" s="19" t="s">
        <v>106</v>
      </c>
      <c r="K495" s="19" t="s">
        <v>46</v>
      </c>
      <c r="L495" s="19" t="s">
        <v>189</v>
      </c>
      <c r="M495" s="19">
        <v>14</v>
      </c>
      <c r="N495" s="19">
        <v>700</v>
      </c>
      <c r="O495" s="19">
        <v>0</v>
      </c>
      <c r="P495" s="19">
        <v>9800</v>
      </c>
      <c r="Q495" s="19">
        <v>2</v>
      </c>
      <c r="R495" s="19" t="s">
        <v>79</v>
      </c>
      <c r="S495" s="19" t="s">
        <v>151</v>
      </c>
      <c r="T495" s="19" t="s">
        <v>89</v>
      </c>
      <c r="U495" s="21" t="s">
        <v>2070</v>
      </c>
      <c r="V495" s="19" t="s">
        <v>69</v>
      </c>
      <c r="W495" s="15" t="str">
        <f t="shared" si="7"/>
        <v>Blacklisted</v>
      </c>
    </row>
    <row r="496" spans="1:23" x14ac:dyDescent="0.3">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8" t="s">
        <v>2073</v>
      </c>
      <c r="V496" s="15" t="s">
        <v>64</v>
      </c>
      <c r="W496" s="15" t="str">
        <f t="shared" si="7"/>
        <v>Pending</v>
      </c>
    </row>
    <row r="497" spans="1:23" x14ac:dyDescent="0.3">
      <c r="A497" s="19" t="s">
        <v>2074</v>
      </c>
      <c r="B497" s="19" t="s">
        <v>168</v>
      </c>
      <c r="C497" s="19" t="s">
        <v>24</v>
      </c>
      <c r="D497" s="19" t="s">
        <v>493</v>
      </c>
      <c r="E497" s="19" t="s">
        <v>1932</v>
      </c>
      <c r="F497" s="19" t="s">
        <v>2075</v>
      </c>
      <c r="G497" s="19" t="s">
        <v>28</v>
      </c>
      <c r="H497" s="19" t="s">
        <v>2076</v>
      </c>
      <c r="I497" s="19" t="s">
        <v>212</v>
      </c>
      <c r="J497" s="19" t="s">
        <v>45</v>
      </c>
      <c r="K497" s="19" t="s">
        <v>32</v>
      </c>
      <c r="L497" s="19" t="s">
        <v>33</v>
      </c>
      <c r="M497" s="19">
        <v>20</v>
      </c>
      <c r="N497" s="19">
        <v>2200</v>
      </c>
      <c r="O497" s="19">
        <v>0</v>
      </c>
      <c r="P497" s="19">
        <v>44000</v>
      </c>
      <c r="Q497" s="19">
        <v>5</v>
      </c>
      <c r="R497" s="19" t="s">
        <v>34</v>
      </c>
      <c r="S497" s="19" t="s">
        <v>35</v>
      </c>
      <c r="T497" s="19" t="s">
        <v>175</v>
      </c>
      <c r="U497" s="21" t="s">
        <v>2077</v>
      </c>
      <c r="V497" s="19" t="s">
        <v>69</v>
      </c>
      <c r="W497" s="15" t="str">
        <f t="shared" si="7"/>
        <v>Blacklisted</v>
      </c>
    </row>
    <row r="498" spans="1:23" x14ac:dyDescent="0.3">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8" t="s">
        <v>2080</v>
      </c>
      <c r="V498" s="15" t="s">
        <v>38</v>
      </c>
      <c r="W498" s="15" t="str">
        <f t="shared" si="7"/>
        <v>Pending</v>
      </c>
    </row>
    <row r="499" spans="1:23" x14ac:dyDescent="0.3">
      <c r="A499" s="19" t="s">
        <v>2081</v>
      </c>
      <c r="B499" s="19" t="s">
        <v>221</v>
      </c>
      <c r="C499" s="19" t="s">
        <v>72</v>
      </c>
      <c r="D499" s="19" t="s">
        <v>610</v>
      </c>
      <c r="E499" s="19" t="s">
        <v>611</v>
      </c>
      <c r="F499" s="19" t="s">
        <v>225</v>
      </c>
      <c r="G499" s="19" t="s">
        <v>76</v>
      </c>
      <c r="H499" s="19" t="s">
        <v>2082</v>
      </c>
      <c r="I499" s="19" t="s">
        <v>44</v>
      </c>
      <c r="J499" s="19" t="s">
        <v>45</v>
      </c>
      <c r="K499" s="19" t="s">
        <v>46</v>
      </c>
      <c r="L499" s="19" t="s">
        <v>78</v>
      </c>
      <c r="M499" s="19">
        <v>3</v>
      </c>
      <c r="N499" s="19">
        <v>1200</v>
      </c>
      <c r="O499" s="19">
        <v>20</v>
      </c>
      <c r="P499" s="19">
        <v>2880</v>
      </c>
      <c r="Q499" s="19">
        <v>2</v>
      </c>
      <c r="R499" s="19" t="s">
        <v>48</v>
      </c>
      <c r="S499" s="19" t="s">
        <v>115</v>
      </c>
      <c r="T499" s="19" t="s">
        <v>907</v>
      </c>
      <c r="U499" s="21" t="s">
        <v>2083</v>
      </c>
      <c r="V499" s="19" t="s">
        <v>64</v>
      </c>
      <c r="W499" s="15" t="str">
        <f t="shared" si="7"/>
        <v>Blacklisted</v>
      </c>
    </row>
    <row r="500" spans="1:23" x14ac:dyDescent="0.3">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8" t="s">
        <v>2088</v>
      </c>
      <c r="V500" s="15" t="s">
        <v>38</v>
      </c>
      <c r="W500" s="15" t="str">
        <f t="shared" si="7"/>
        <v>Pending</v>
      </c>
    </row>
    <row r="501" spans="1:23" x14ac:dyDescent="0.3">
      <c r="A501" s="19" t="s">
        <v>2089</v>
      </c>
      <c r="B501" s="19" t="s">
        <v>100</v>
      </c>
      <c r="C501" s="19" t="s">
        <v>92</v>
      </c>
      <c r="D501" s="19" t="s">
        <v>2090</v>
      </c>
      <c r="E501" s="19" t="s">
        <v>129</v>
      </c>
      <c r="F501" s="19" t="s">
        <v>103</v>
      </c>
      <c r="G501" s="19" t="s">
        <v>28</v>
      </c>
      <c r="H501" s="19" t="s">
        <v>2091</v>
      </c>
      <c r="I501" s="19" t="s">
        <v>59</v>
      </c>
      <c r="J501" s="19" t="s">
        <v>31</v>
      </c>
      <c r="K501" s="19" t="s">
        <v>32</v>
      </c>
      <c r="L501" s="19" t="s">
        <v>97</v>
      </c>
      <c r="M501" s="19">
        <v>20</v>
      </c>
      <c r="N501" s="19">
        <v>3500</v>
      </c>
      <c r="O501" s="19">
        <v>0</v>
      </c>
      <c r="P501" s="19">
        <v>70000</v>
      </c>
      <c r="Q501" s="19">
        <v>1</v>
      </c>
      <c r="R501" s="19" t="s">
        <v>48</v>
      </c>
      <c r="S501" s="19" t="s">
        <v>151</v>
      </c>
      <c r="T501" s="19" t="s">
        <v>144</v>
      </c>
      <c r="U501" s="21" t="s">
        <v>2092</v>
      </c>
      <c r="V501" s="19" t="s">
        <v>64</v>
      </c>
      <c r="W501" s="15" t="str">
        <f t="shared" si="7"/>
        <v>Blacklisted</v>
      </c>
    </row>
  </sheetData>
  <hyperlinks>
    <hyperlink ref="T2" r:id="rId1" xr:uid="{F7A0C1E8-68BE-40B9-8FEF-C0C5BDA739B5}"/>
    <hyperlink ref="T5" r:id="rId2" xr:uid="{9E9BCCD8-A82B-48BC-B725-D6D00F6FC29C}"/>
    <hyperlink ref="T9" r:id="rId3" xr:uid="{C4CA67C5-D5D6-41BC-A365-348C2A03302E}"/>
    <hyperlink ref="T11" r:id="rId4" xr:uid="{B4DD4D5F-9373-4713-AA21-457141BAF2E2}"/>
    <hyperlink ref="T16" r:id="rId5" xr:uid="{7D7572F8-570B-4C5A-BCA0-83F6AF0E16F8}"/>
    <hyperlink ref="T15" r:id="rId6" xr:uid="{7028A2FD-4FFD-4363-8DE7-B609583B1A1A}"/>
    <hyperlink ref="T20" r:id="rId7" xr:uid="{E6A2B769-25BB-4D01-965C-D2232E311A99}"/>
    <hyperlink ref="T61" r:id="rId8" xr:uid="{D8282B0F-8441-428E-A024-3711B9A87C45}"/>
    <hyperlink ref="T72" r:id="rId9" xr:uid="{2C8E5890-D938-4961-9FCC-97DB82DC1D2A}"/>
    <hyperlink ref="T294" r:id="rId10" xr:uid="{0C151043-9059-4080-967B-41936E3698E4}"/>
    <hyperlink ref="T489" r:id="rId11" xr:uid="{3DEA6E6F-70C6-486C-B907-236139938807}"/>
    <hyperlink ref="T479" r:id="rId12" xr:uid="{6D192A7C-DD32-45C9-879F-5030E7EDEAC0}"/>
    <hyperlink ref="T463" r:id="rId13" xr:uid="{B0186016-20E5-4205-A531-8C1D1A05D01D}"/>
    <hyperlink ref="T450" r:id="rId14" xr:uid="{4E8B8D61-C5FB-46F3-9AED-68A0533AC93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CB3D-73D9-4046-91AD-F184B85C477A}">
  <dimension ref="A1:G502"/>
  <sheetViews>
    <sheetView showGridLines="0" workbookViewId="0">
      <selection activeCell="I5" sqref="I5"/>
    </sheetView>
  </sheetViews>
  <sheetFormatPr defaultRowHeight="14.4" x14ac:dyDescent="0.3"/>
  <cols>
    <col min="1" max="1" width="15.21875" bestFit="1" customWidth="1"/>
    <col min="2" max="2" width="13.6640625" bestFit="1" customWidth="1"/>
    <col min="3" max="3" width="25.109375" bestFit="1" customWidth="1"/>
  </cols>
  <sheetData>
    <row r="1" spans="1:7" x14ac:dyDescent="0.3">
      <c r="A1" s="24" t="s">
        <v>5</v>
      </c>
      <c r="B1" s="25" t="s">
        <v>2094</v>
      </c>
      <c r="C1" s="25" t="s">
        <v>19</v>
      </c>
    </row>
    <row r="2" spans="1:7" x14ac:dyDescent="0.3">
      <c r="A2" s="26" t="str">
        <f>TRIM(PROPER(Sales_Data!F2))</f>
        <v>Kavya Nair</v>
      </c>
      <c r="B2" s="26" t="str">
        <f>_xlfn.CONCAT(LEFT(A2,3),RIGHT(Sales_Data!B2,3),LEFT(Sales_Data!I2,2))</f>
        <v>Kav008Hy</v>
      </c>
      <c r="C2" s="26" t="str">
        <f>IF(COUNTIF(Sales_Data!T2, "*@*"), LOWER(TRIM(Sales_Data!T2)), "Invalid Email")</f>
        <v>kavya.nair@company.com</v>
      </c>
    </row>
    <row r="3" spans="1:7" x14ac:dyDescent="0.3">
      <c r="A3" s="26" t="str">
        <f>TRIM(PROPER(Sales_Data!F3))</f>
        <v>Kavya Nair</v>
      </c>
      <c r="B3" s="26" t="str">
        <f>_xlfn.CONCAT(LEFT(A3,3),RIGHT(Sales_Data!B3,3),LEFT(Sales_Data!I3,2))</f>
        <v>Kav008De</v>
      </c>
      <c r="C3" s="26" t="str">
        <f>IF(COUNTIF(Sales_Data!T3, "*@*"), LOWER(TRIM(Sales_Data!T3)), "Invalid Email")</f>
        <v>kavya.nair@company.com</v>
      </c>
    </row>
    <row r="4" spans="1:7" x14ac:dyDescent="0.3">
      <c r="A4" s="26" t="str">
        <f>TRIM(PROPER(Sales_Data!F4))</f>
        <v>Pooja Shah</v>
      </c>
      <c r="B4" s="26" t="str">
        <f>_xlfn.CONCAT(LEFT(A4,3),RIGHT(Sales_Data!B4,3),LEFT(Sales_Data!I4,2))</f>
        <v>Poo010Be</v>
      </c>
      <c r="C4" s="26" t="str">
        <f>IF(COUNTIF(Sales_Data!T4, "*@*"), LOWER(TRIM(Sales_Data!T4)), "Invalid Email")</f>
        <v>pooja.shah@company.com</v>
      </c>
      <c r="G4" s="100"/>
    </row>
    <row r="5" spans="1:7" x14ac:dyDescent="0.3">
      <c r="A5" s="26" t="str">
        <f>TRIM(PROPER(Sales_Data!F5))</f>
        <v>Kavya Nair</v>
      </c>
      <c r="B5" s="26" t="str">
        <f>_xlfn.CONCAT(LEFT(A5,3),RIGHT(Sales_Data!B5,3),LEFT(Sales_Data!I5,2))</f>
        <v>Kav008Be</v>
      </c>
      <c r="C5" s="26" t="str">
        <f>IF(COUNTIF(Sales_Data!T5, "*@*"), LOWER(TRIM(Sales_Data!T5)), "Invalid Email")</f>
        <v>kavya.nair@company.com</v>
      </c>
    </row>
    <row r="6" spans="1:7" x14ac:dyDescent="0.3">
      <c r="A6" s="26" t="str">
        <f>TRIM(PROPER(Sales_Data!F6))</f>
        <v>Mohit Verma</v>
      </c>
      <c r="B6" s="26" t="str">
        <f>_xlfn.CONCAT(LEFT(A6,3),RIGHT(Sales_Data!B6,3),LEFT(Sales_Data!I6,2))</f>
        <v>Moh009De</v>
      </c>
      <c r="C6" s="26" t="str">
        <f>IF(COUNTIF(Sales_Data!T6, "*@*"), LOWER(TRIM(Sales_Data!T6)), "Invalid Email")</f>
        <v>mohit.verma@company.com</v>
      </c>
    </row>
    <row r="7" spans="1:7" x14ac:dyDescent="0.3">
      <c r="A7" s="26" t="str">
        <f>TRIM(PROPER(Sales_Data!F7))</f>
        <v>Arjun Rao</v>
      </c>
      <c r="B7" s="26" t="str">
        <f>_xlfn.CONCAT(LEFT(A7,3),RIGHT(Sales_Data!B7,3),LEFT(Sales_Data!I7,2))</f>
        <v>Arj007Hy</v>
      </c>
      <c r="C7" s="26" t="str">
        <f>IF(COUNTIF(Sales_Data!T7, "*@*"), LOWER(TRIM(Sales_Data!T7)), "Invalid Email")</f>
        <v>arjun.rao@company.com</v>
      </c>
    </row>
    <row r="8" spans="1:7" x14ac:dyDescent="0.3">
      <c r="A8" s="26" t="str">
        <f>TRIM(PROPER(Sales_Data!F8))</f>
        <v>Kavya Nair</v>
      </c>
      <c r="B8" s="26" t="str">
        <f>_xlfn.CONCAT(LEFT(A8,3),RIGHT(Sales_Data!B8,3),LEFT(Sales_Data!I8,2))</f>
        <v>Kav008Hy</v>
      </c>
      <c r="C8" s="26" t="str">
        <f>IF(COUNTIF(Sales_Data!T8, "*@*"), LOWER(TRIM(Sales_Data!T8)), "Invalid Email")</f>
        <v>kavya.nair@company.com</v>
      </c>
    </row>
    <row r="9" spans="1:7" x14ac:dyDescent="0.3">
      <c r="A9" s="26" t="str">
        <f>TRIM(PROPER(Sales_Data!F9))</f>
        <v>Priya Patel</v>
      </c>
      <c r="B9" s="26" t="str">
        <f>_xlfn.CONCAT(LEFT(A9,3),RIGHT(Sales_Data!B9,3),LEFT(Sales_Data!I9,2))</f>
        <v>Pri002Mu</v>
      </c>
      <c r="C9" s="26" t="str">
        <f>IF(COUNTIF(Sales_Data!T9, "*@*"), LOWER(TRIM(Sales_Data!T9)), "Invalid Email")</f>
        <v>priya.patel@company.com</v>
      </c>
    </row>
    <row r="10" spans="1:7" x14ac:dyDescent="0.3">
      <c r="A10" s="26" t="str">
        <f>TRIM(PROPER(Sales_Data!F10))</f>
        <v>Kavya Nair</v>
      </c>
      <c r="B10" s="26" t="str">
        <f>_xlfn.CONCAT(LEFT(A10,3),RIGHT(Sales_Data!B10,3),LEFT(Sales_Data!I10,2))</f>
        <v>Kav008Pu</v>
      </c>
      <c r="C10" s="26" t="str">
        <f>IF(COUNTIF(Sales_Data!T10, "*@*"), LOWER(TRIM(Sales_Data!T10)), "Invalid Email")</f>
        <v>kavya.nair@company.com</v>
      </c>
    </row>
    <row r="11" spans="1:7" x14ac:dyDescent="0.3">
      <c r="A11" s="26" t="str">
        <f>TRIM(PROPER(Sales_Data!F11))</f>
        <v>Priya Patel</v>
      </c>
      <c r="B11" s="26" t="str">
        <f>_xlfn.CONCAT(LEFT(A11,3),RIGHT(Sales_Data!B11,3),LEFT(Sales_Data!I11,2))</f>
        <v>Pri002Mu</v>
      </c>
      <c r="C11" s="26" t="str">
        <f>IF(COUNTIF(Sales_Data!T11, "*@*"), LOWER(TRIM(Sales_Data!T11)), "Invalid Email")</f>
        <v>priya.patel@company.com</v>
      </c>
    </row>
    <row r="12" spans="1:7" x14ac:dyDescent="0.3">
      <c r="A12" s="26" t="str">
        <f>TRIM(PROPER(Sales_Data!F12))</f>
        <v>Rohit Singh</v>
      </c>
      <c r="B12" s="26" t="str">
        <f>_xlfn.CONCAT(LEFT(A12,3),RIGHT(Sales_Data!B12,3),LEFT(Sales_Data!I12,2))</f>
        <v>Roh003De</v>
      </c>
      <c r="C12" s="26" t="str">
        <f>IF(COUNTIF(Sales_Data!T12, "*@*"), LOWER(TRIM(Sales_Data!T12)), "Invalid Email")</f>
        <v>rohit.singh@company.com</v>
      </c>
    </row>
    <row r="13" spans="1:7" x14ac:dyDescent="0.3">
      <c r="A13" s="26" t="str">
        <f>TRIM(PROPER(Sales_Data!F13))</f>
        <v>Kavya Nair</v>
      </c>
      <c r="B13" s="26" t="str">
        <f>_xlfn.CONCAT(LEFT(A13,3),RIGHT(Sales_Data!B13,3),LEFT(Sales_Data!I13,2))</f>
        <v>Kav008Ah</v>
      </c>
      <c r="C13" s="26" t="str">
        <f>IF(COUNTIF(Sales_Data!T13, "*@*"), LOWER(TRIM(Sales_Data!T13)), "Invalid Email")</f>
        <v>kavya.nair@company.com</v>
      </c>
    </row>
    <row r="14" spans="1:7" x14ac:dyDescent="0.3">
      <c r="A14" s="26" t="str">
        <f>TRIM(PROPER(Sales_Data!F14))</f>
        <v>Priya Patel</v>
      </c>
      <c r="B14" s="26" t="str">
        <f>_xlfn.CONCAT(LEFT(A14,3),RIGHT(Sales_Data!B14,3),LEFT(Sales_Data!I14,2))</f>
        <v>Pri002Pu</v>
      </c>
      <c r="C14" s="26" t="str">
        <f>IF(COUNTIF(Sales_Data!T14, "*@*"), LOWER(TRIM(Sales_Data!T14)), "Invalid Email")</f>
        <v>priya.patel@company.com</v>
      </c>
    </row>
    <row r="15" spans="1:7" x14ac:dyDescent="0.3">
      <c r="A15" s="26" t="str">
        <f>TRIM(PROPER(Sales_Data!F15))</f>
        <v>Rohit Singh</v>
      </c>
      <c r="B15" s="26" t="str">
        <f>_xlfn.CONCAT(LEFT(A15,3),RIGHT(Sales_Data!B15,3),LEFT(Sales_Data!I15,2))</f>
        <v>Roh003Mu</v>
      </c>
      <c r="C15" s="26" t="str">
        <f>IF(COUNTIF(Sales_Data!T15, "*@*"), LOWER(TRIM(Sales_Data!T15)), "Invalid Email")</f>
        <v>rohit.singh@company.com</v>
      </c>
    </row>
    <row r="16" spans="1:7" x14ac:dyDescent="0.3">
      <c r="A16" s="26" t="str">
        <f>TRIM(PROPER(Sales_Data!F16))</f>
        <v>Kavya Nair</v>
      </c>
      <c r="B16" s="26" t="str">
        <f>_xlfn.CONCAT(LEFT(A16,3),RIGHT(Sales_Data!B16,3),LEFT(Sales_Data!I16,2))</f>
        <v>Kav008Mu</v>
      </c>
      <c r="C16" s="26" t="str">
        <f>IF(COUNTIF(Sales_Data!T16, "*@*"), LOWER(TRIM(Sales_Data!T16)), "Invalid Email")</f>
        <v>kavya.nair@company.com</v>
      </c>
    </row>
    <row r="17" spans="1:3" x14ac:dyDescent="0.3">
      <c r="A17" s="26" t="str">
        <f>TRIM(PROPER(Sales_Data!F17))</f>
        <v>Pooja Shah</v>
      </c>
      <c r="B17" s="26" t="str">
        <f>_xlfn.CONCAT(LEFT(A17,3),RIGHT(Sales_Data!B17,3),LEFT(Sales_Data!I17,2))</f>
        <v>Poo010Hy</v>
      </c>
      <c r="C17" s="26" t="str">
        <f>IF(COUNTIF(Sales_Data!T17, "*@*"), LOWER(TRIM(Sales_Data!T17)), "Invalid Email")</f>
        <v>Invalid Email</v>
      </c>
    </row>
    <row r="18" spans="1:3" x14ac:dyDescent="0.3">
      <c r="A18" s="26" t="str">
        <f>TRIM(PROPER(Sales_Data!F18))</f>
        <v>Amit Sharma</v>
      </c>
      <c r="B18" s="26" t="str">
        <f>_xlfn.CONCAT(LEFT(A18,3),RIGHT(Sales_Data!B18,3),LEFT(Sales_Data!I18,2))</f>
        <v>Ami004Pu</v>
      </c>
      <c r="C18" s="26" t="str">
        <f>IF(COUNTIF(Sales_Data!T18, "*@*"), LOWER(TRIM(Sales_Data!T18)), "Invalid Email")</f>
        <v>anita.gupta@company.com</v>
      </c>
    </row>
    <row r="19" spans="1:3" x14ac:dyDescent="0.3">
      <c r="A19" s="26" t="str">
        <f>TRIM(PROPER(Sales_Data!F19))</f>
        <v>Arjun Rao</v>
      </c>
      <c r="B19" s="26" t="str">
        <f>_xlfn.CONCAT(LEFT(A19,3),RIGHT(Sales_Data!B19,3),LEFT(Sales_Data!I19,2))</f>
        <v>Arj007Ah</v>
      </c>
      <c r="C19" s="26" t="str">
        <f>IF(COUNTIF(Sales_Data!T19, "*@*"), LOWER(TRIM(Sales_Data!T19)), "Invalid Email")</f>
        <v>arjun.rao@company.com</v>
      </c>
    </row>
    <row r="20" spans="1:3" x14ac:dyDescent="0.3">
      <c r="A20" s="26" t="str">
        <f>TRIM(PROPER(Sales_Data!F20))</f>
        <v>Arjun Rao</v>
      </c>
      <c r="B20" s="26" t="str">
        <f>_xlfn.CONCAT(LEFT(A20,3),RIGHT(Sales_Data!B20,3),LEFT(Sales_Data!I20,2))</f>
        <v>Arj007Mu</v>
      </c>
      <c r="C20" s="26" t="str">
        <f>IF(COUNTIF(Sales_Data!T20, "*@*"), LOWER(TRIM(Sales_Data!T20)), "Invalid Email")</f>
        <v>arjun.rao@company.com</v>
      </c>
    </row>
    <row r="21" spans="1:3" x14ac:dyDescent="0.3">
      <c r="A21" s="26" t="str">
        <f>TRIM(PROPER(Sales_Data!F21))</f>
        <v>Kavya Nair</v>
      </c>
      <c r="B21" s="26" t="str">
        <f>_xlfn.CONCAT(LEFT(A21,3),RIGHT(Sales_Data!B21,3),LEFT(Sales_Data!I21,2))</f>
        <v>Kav008Ah</v>
      </c>
      <c r="C21" s="26" t="str">
        <f>IF(COUNTIF(Sales_Data!T21, "*@*"), LOWER(TRIM(Sales_Data!T21)), "Invalid Email")</f>
        <v>kavya.nair@company.com</v>
      </c>
    </row>
    <row r="22" spans="1:3" x14ac:dyDescent="0.3">
      <c r="A22" s="26" t="str">
        <f>TRIM(PROPER(Sales_Data!F22))</f>
        <v>Rohit Singh</v>
      </c>
      <c r="B22" s="26" t="str">
        <f>_xlfn.CONCAT(LEFT(A22,3),RIGHT(Sales_Data!B22,3),LEFT(Sales_Data!I22,2))</f>
        <v>Roh003De</v>
      </c>
      <c r="C22" s="26" t="str">
        <f>IF(COUNTIF(Sales_Data!T22, "*@*"), LOWER(TRIM(Sales_Data!T22)), "Invalid Email")</f>
        <v>rohit.singh@company.com</v>
      </c>
    </row>
    <row r="23" spans="1:3" x14ac:dyDescent="0.3">
      <c r="A23" s="26" t="str">
        <f>TRIM(PROPER(Sales_Data!F23))</f>
        <v>Kavya Nair</v>
      </c>
      <c r="B23" s="26" t="str">
        <f>_xlfn.CONCAT(LEFT(A23,3),RIGHT(Sales_Data!B23,3),LEFT(Sales_Data!I23,2))</f>
        <v>Kav008Be</v>
      </c>
      <c r="C23" s="26" t="str">
        <f>IF(COUNTIF(Sales_Data!T23, "*@*"), LOWER(TRIM(Sales_Data!T23)), "Invalid Email")</f>
        <v>kavya.nair@company.com</v>
      </c>
    </row>
    <row r="24" spans="1:3" x14ac:dyDescent="0.3">
      <c r="A24" s="26" t="str">
        <f>TRIM(PROPER(Sales_Data!F24))</f>
        <v>Priya Patel</v>
      </c>
      <c r="B24" s="26" t="str">
        <f>_xlfn.CONCAT(LEFT(A24,3),RIGHT(Sales_Data!B24,3),LEFT(Sales_Data!I24,2))</f>
        <v>Pri002Ja</v>
      </c>
      <c r="C24" s="26" t="str">
        <f>IF(COUNTIF(Sales_Data!T24, "*@*"), LOWER(TRIM(Sales_Data!T24)), "Invalid Email")</f>
        <v>priya.patel@company.com</v>
      </c>
    </row>
    <row r="25" spans="1:3" x14ac:dyDescent="0.3">
      <c r="A25" s="26" t="str">
        <f>TRIM(PROPER(Sales_Data!F25))</f>
        <v>Mohit Verma</v>
      </c>
      <c r="B25" s="26" t="str">
        <f>_xlfn.CONCAT(LEFT(A25,3),RIGHT(Sales_Data!B25,3),LEFT(Sales_Data!I25,2))</f>
        <v>Moh009Be</v>
      </c>
      <c r="C25" s="26" t="str">
        <f>IF(COUNTIF(Sales_Data!T25, "*@*"), LOWER(TRIM(Sales_Data!T25)), "Invalid Email")</f>
        <v>mohit.verma@company.com</v>
      </c>
    </row>
    <row r="26" spans="1:3" x14ac:dyDescent="0.3">
      <c r="A26" s="26" t="str">
        <f>TRIM(PROPER(Sales_Data!F26))</f>
        <v>Vikas Mehta</v>
      </c>
      <c r="B26" s="26" t="str">
        <f>_xlfn.CONCAT(LEFT(A26,3),RIGHT(Sales_Data!B26,3),LEFT(Sales_Data!I26,2))</f>
        <v>Vik005Mu</v>
      </c>
      <c r="C26" s="26" t="str">
        <f>IF(COUNTIF(Sales_Data!T26, "*@*"), LOWER(TRIM(Sales_Data!T26)), "Invalid Email")</f>
        <v>vikas.mehta@company.com</v>
      </c>
    </row>
    <row r="27" spans="1:3" x14ac:dyDescent="0.3">
      <c r="A27" s="26" t="str">
        <f>TRIM(PROPER(Sales_Data!F27))</f>
        <v>Arjun Rao</v>
      </c>
      <c r="B27" s="26" t="str">
        <f>_xlfn.CONCAT(LEFT(A27,3),RIGHT(Sales_Data!B27,3),LEFT(Sales_Data!I27,2))</f>
        <v>Arj007Mu</v>
      </c>
      <c r="C27" s="26" t="str">
        <f>IF(COUNTIF(Sales_Data!T27, "*@*"), LOWER(TRIM(Sales_Data!T27)), "Invalid Email")</f>
        <v>arjun.rao@company.com</v>
      </c>
    </row>
    <row r="28" spans="1:3" x14ac:dyDescent="0.3">
      <c r="A28" s="26" t="str">
        <f>TRIM(PROPER(Sales_Data!F28))</f>
        <v>Mohit Verma</v>
      </c>
      <c r="B28" s="26" t="str">
        <f>_xlfn.CONCAT(LEFT(A28,3),RIGHT(Sales_Data!B28,3),LEFT(Sales_Data!I28,2))</f>
        <v>Moh009Ah</v>
      </c>
      <c r="C28" s="26" t="str">
        <f>IF(COUNTIF(Sales_Data!T28, "*@*"), LOWER(TRIM(Sales_Data!T28)), "Invalid Email")</f>
        <v>mohit.verma@company.com</v>
      </c>
    </row>
    <row r="29" spans="1:3" x14ac:dyDescent="0.3">
      <c r="A29" s="26" t="str">
        <f>TRIM(PROPER(Sales_Data!F29))</f>
        <v>Kavya Nair</v>
      </c>
      <c r="B29" s="26" t="str">
        <f>_xlfn.CONCAT(LEFT(A29,3),RIGHT(Sales_Data!B29,3),LEFT(Sales_Data!I29,2))</f>
        <v>Kav008Ah</v>
      </c>
      <c r="C29" s="26" t="str">
        <f>IF(COUNTIF(Sales_Data!T29, "*@*"), LOWER(TRIM(Sales_Data!T29)), "Invalid Email")</f>
        <v>kavya.nair@company.com</v>
      </c>
    </row>
    <row r="30" spans="1:3" x14ac:dyDescent="0.3">
      <c r="A30" s="26" t="str">
        <f>TRIM(PROPER(Sales_Data!F30))</f>
        <v>Rohit Singh</v>
      </c>
      <c r="B30" s="26" t="str">
        <f>_xlfn.CONCAT(LEFT(A30,3),RIGHT(Sales_Data!B30,3),LEFT(Sales_Data!I30,2))</f>
        <v>Roh003Pu</v>
      </c>
      <c r="C30" s="26" t="str">
        <f>IF(COUNTIF(Sales_Data!T30, "*@*"), LOWER(TRIM(Sales_Data!T30)), "Invalid Email")</f>
        <v>rohit.singh@company.com</v>
      </c>
    </row>
    <row r="31" spans="1:3" x14ac:dyDescent="0.3">
      <c r="A31" s="26" t="str">
        <f>TRIM(PROPER(Sales_Data!F31))</f>
        <v>Sneha Joshi</v>
      </c>
      <c r="B31" s="26" t="str">
        <f>_xlfn.CONCAT(LEFT(A31,3),RIGHT(Sales_Data!B31,3),LEFT(Sales_Data!I31,2))</f>
        <v>Sne006Pu</v>
      </c>
      <c r="C31" s="26" t="str">
        <f>IF(COUNTIF(Sales_Data!T31, "*@*"), LOWER(TRIM(Sales_Data!T31)), "Invalid Email")</f>
        <v>sneha.joshi@company.com</v>
      </c>
    </row>
    <row r="32" spans="1:3" x14ac:dyDescent="0.3">
      <c r="A32" s="26" t="str">
        <f>TRIM(PROPER(Sales_Data!F32))</f>
        <v>Kavya Nair</v>
      </c>
      <c r="B32" s="26" t="str">
        <f>_xlfn.CONCAT(LEFT(A32,3),RIGHT(Sales_Data!B32,3),LEFT(Sales_Data!I32,2))</f>
        <v>Kav008Be</v>
      </c>
      <c r="C32" s="26" t="str">
        <f>IF(COUNTIF(Sales_Data!T32, "*@*"), LOWER(TRIM(Sales_Data!T32)), "Invalid Email")</f>
        <v>kavya.nair@company.com</v>
      </c>
    </row>
    <row r="33" spans="1:3" x14ac:dyDescent="0.3">
      <c r="A33" s="26" t="str">
        <f>TRIM(PROPER(Sales_Data!F33))</f>
        <v>Priya Patel</v>
      </c>
      <c r="B33" s="26" t="str">
        <f>_xlfn.CONCAT(LEFT(A33,3),RIGHT(Sales_Data!B33,3),LEFT(Sales_Data!I33,2))</f>
        <v>Pri002Ah</v>
      </c>
      <c r="C33" s="26" t="str">
        <f>IF(COUNTIF(Sales_Data!T33, "*@*"), LOWER(TRIM(Sales_Data!T33)), "Invalid Email")</f>
        <v>priya.patel@company.com</v>
      </c>
    </row>
    <row r="34" spans="1:3" x14ac:dyDescent="0.3">
      <c r="A34" s="26" t="str">
        <f>TRIM(PROPER(Sales_Data!F34))</f>
        <v>Sneha Joshi</v>
      </c>
      <c r="B34" s="26" t="str">
        <f>_xlfn.CONCAT(LEFT(A34,3),RIGHT(Sales_Data!B34,3),LEFT(Sales_Data!I34,2))</f>
        <v>Sne006Be</v>
      </c>
      <c r="C34" s="26" t="str">
        <f>IF(COUNTIF(Sales_Data!T34, "*@*"), LOWER(TRIM(Sales_Data!T34)), "Invalid Email")</f>
        <v>sneha.joshi@company.com</v>
      </c>
    </row>
    <row r="35" spans="1:3" x14ac:dyDescent="0.3">
      <c r="A35" s="26" t="str">
        <f>TRIM(PROPER(Sales_Data!F35))</f>
        <v>Arjun Rao</v>
      </c>
      <c r="B35" s="26" t="str">
        <f>_xlfn.CONCAT(LEFT(A35,3),RIGHT(Sales_Data!B35,3),LEFT(Sales_Data!I35,2))</f>
        <v>Arj007Ah</v>
      </c>
      <c r="C35" s="26" t="str">
        <f>IF(COUNTIF(Sales_Data!T35, "*@*"), LOWER(TRIM(Sales_Data!T35)), "Invalid Email")</f>
        <v>Invalid Email</v>
      </c>
    </row>
    <row r="36" spans="1:3" x14ac:dyDescent="0.3">
      <c r="A36" s="26" t="str">
        <f>TRIM(PROPER(Sales_Data!F36))</f>
        <v>Rohit Singh</v>
      </c>
      <c r="B36" s="26" t="str">
        <f>_xlfn.CONCAT(LEFT(A36,3),RIGHT(Sales_Data!B36,3),LEFT(Sales_Data!I36,2))</f>
        <v>Roh003Pu</v>
      </c>
      <c r="C36" s="26" t="str">
        <f>IF(COUNTIF(Sales_Data!T36, "*@*"), LOWER(TRIM(Sales_Data!T36)), "Invalid Email")</f>
        <v>rohit.singh@company.com</v>
      </c>
    </row>
    <row r="37" spans="1:3" x14ac:dyDescent="0.3">
      <c r="A37" s="26" t="str">
        <f>TRIM(PROPER(Sales_Data!F37))</f>
        <v>Rohit Singh</v>
      </c>
      <c r="B37" s="26" t="str">
        <f>_xlfn.CONCAT(LEFT(A37,3),RIGHT(Sales_Data!B37,3),LEFT(Sales_Data!I37,2))</f>
        <v>Roh003Be</v>
      </c>
      <c r="C37" s="26" t="str">
        <f>IF(COUNTIF(Sales_Data!T37, "*@*"), LOWER(TRIM(Sales_Data!T37)), "Invalid Email")</f>
        <v>rohit.singh@company.com</v>
      </c>
    </row>
    <row r="38" spans="1:3" x14ac:dyDescent="0.3">
      <c r="A38" s="26" t="str">
        <f>TRIM(PROPER(Sales_Data!F38))</f>
        <v>Mohit Verma</v>
      </c>
      <c r="B38" s="26" t="str">
        <f>_xlfn.CONCAT(LEFT(A38,3),RIGHT(Sales_Data!B38,3),LEFT(Sales_Data!I38,2))</f>
        <v>Moh009Ko</v>
      </c>
      <c r="C38" s="26" t="str">
        <f>IF(COUNTIF(Sales_Data!T38, "*@*"), LOWER(TRIM(Sales_Data!T38)), "Invalid Email")</f>
        <v>mohit.verma@company.com</v>
      </c>
    </row>
    <row r="39" spans="1:3" x14ac:dyDescent="0.3">
      <c r="A39" s="26" t="str">
        <f>TRIM(PROPER(Sales_Data!F39))</f>
        <v>Sneha Joshi</v>
      </c>
      <c r="B39" s="26" t="str">
        <f>_xlfn.CONCAT(LEFT(A39,3),RIGHT(Sales_Data!B39,3),LEFT(Sales_Data!I39,2))</f>
        <v>Sne006De</v>
      </c>
      <c r="C39" s="26" t="str">
        <f>IF(COUNTIF(Sales_Data!T39, "*@*"), LOWER(TRIM(Sales_Data!T39)), "Invalid Email")</f>
        <v>sneha.joshi@company.com</v>
      </c>
    </row>
    <row r="40" spans="1:3" x14ac:dyDescent="0.3">
      <c r="A40" s="26" t="str">
        <f>TRIM(PROPER(Sales_Data!F40))</f>
        <v>Kavya Nair</v>
      </c>
      <c r="B40" s="26" t="str">
        <f>_xlfn.CONCAT(LEFT(A40,3),RIGHT(Sales_Data!B40,3),LEFT(Sales_Data!I40,2))</f>
        <v>Kav008Pu</v>
      </c>
      <c r="C40" s="26" t="str">
        <f>IF(COUNTIF(Sales_Data!T40, "*@*"), LOWER(TRIM(Sales_Data!T40)), "Invalid Email")</f>
        <v>kavya.nair@company.com</v>
      </c>
    </row>
    <row r="41" spans="1:3" x14ac:dyDescent="0.3">
      <c r="A41" s="26" t="str">
        <f>TRIM(PROPER(Sales_Data!F41))</f>
        <v>Pooja Shah</v>
      </c>
      <c r="B41" s="26" t="str">
        <f>_xlfn.CONCAT(LEFT(A41,3),RIGHT(Sales_Data!B41,3),LEFT(Sales_Data!I41,2))</f>
        <v>Poo010Mu</v>
      </c>
      <c r="C41" s="26" t="str">
        <f>IF(COUNTIF(Sales_Data!T41, "*@*"), LOWER(TRIM(Sales_Data!T41)), "Invalid Email")</f>
        <v>pooja.shah@company.com</v>
      </c>
    </row>
    <row r="42" spans="1:3" x14ac:dyDescent="0.3">
      <c r="A42" s="26" t="str">
        <f>TRIM(PROPER(Sales_Data!F42))</f>
        <v>Arjun Rao</v>
      </c>
      <c r="B42" s="26" t="str">
        <f>_xlfn.CONCAT(LEFT(A42,3),RIGHT(Sales_Data!B42,3),LEFT(Sales_Data!I42,2))</f>
        <v>Arj007Be</v>
      </c>
      <c r="C42" s="26" t="str">
        <f>IF(COUNTIF(Sales_Data!T42, "*@*"), LOWER(TRIM(Sales_Data!T42)), "Invalid Email")</f>
        <v>arjun.rao@company.com</v>
      </c>
    </row>
    <row r="43" spans="1:3" x14ac:dyDescent="0.3">
      <c r="A43" s="26" t="str">
        <f>TRIM(PROPER(Sales_Data!F43))</f>
        <v>Pooja Shah</v>
      </c>
      <c r="B43" s="26" t="str">
        <f>_xlfn.CONCAT(LEFT(A43,3),RIGHT(Sales_Data!B43,3),LEFT(Sales_Data!I43,2))</f>
        <v>Poo010Pu</v>
      </c>
      <c r="C43" s="26" t="str">
        <f>IF(COUNTIF(Sales_Data!T43, "*@*"), LOWER(TRIM(Sales_Data!T43)), "Invalid Email")</f>
        <v>pooja.shah@company.com</v>
      </c>
    </row>
    <row r="44" spans="1:3" x14ac:dyDescent="0.3">
      <c r="A44" s="26" t="str">
        <f>TRIM(PROPER(Sales_Data!F44))</f>
        <v>Mohit Verma</v>
      </c>
      <c r="B44" s="26" t="str">
        <f>_xlfn.CONCAT(LEFT(A44,3),RIGHT(Sales_Data!B44,3),LEFT(Sales_Data!I44,2))</f>
        <v>Moh009Ja</v>
      </c>
      <c r="C44" s="26" t="str">
        <f>IF(COUNTIF(Sales_Data!T44, "*@*"), LOWER(TRIM(Sales_Data!T44)), "Invalid Email")</f>
        <v>mohit.verma@company.com</v>
      </c>
    </row>
    <row r="45" spans="1:3" x14ac:dyDescent="0.3">
      <c r="A45" s="26" t="str">
        <f>TRIM(PROPER(Sales_Data!F45))</f>
        <v>Amit Sharma</v>
      </c>
      <c r="B45" s="26" t="str">
        <f>_xlfn.CONCAT(LEFT(A45,3),RIGHT(Sales_Data!B45,3),LEFT(Sales_Data!I45,2))</f>
        <v>Ami001Pu</v>
      </c>
      <c r="C45" s="26" t="str">
        <f>IF(COUNTIF(Sales_Data!T45, "*@*"), LOWER(TRIM(Sales_Data!T45)), "Invalid Email")</f>
        <v>amit.sharma@company.com</v>
      </c>
    </row>
    <row r="46" spans="1:3" x14ac:dyDescent="0.3">
      <c r="A46" s="26" t="str">
        <f>TRIM(PROPER(Sales_Data!F46))</f>
        <v>Sneha Joshi</v>
      </c>
      <c r="B46" s="26" t="str">
        <f>_xlfn.CONCAT(LEFT(A46,3),RIGHT(Sales_Data!B46,3),LEFT(Sales_Data!I46,2))</f>
        <v>Sne006Pu</v>
      </c>
      <c r="C46" s="26" t="str">
        <f>IF(COUNTIF(Sales_Data!T46, "*@*"), LOWER(TRIM(Sales_Data!T46)), "Invalid Email")</f>
        <v>sneha.joshi@company.com</v>
      </c>
    </row>
    <row r="47" spans="1:3" x14ac:dyDescent="0.3">
      <c r="A47" s="26" t="str">
        <f>TRIM(PROPER(Sales_Data!F47))</f>
        <v>Mohit Verma</v>
      </c>
      <c r="B47" s="26" t="str">
        <f>_xlfn.CONCAT(LEFT(A47,3),RIGHT(Sales_Data!B47,3),LEFT(Sales_Data!I47,2))</f>
        <v>Moh009Be</v>
      </c>
      <c r="C47" s="26" t="str">
        <f>IF(COUNTIF(Sales_Data!T47, "*@*"), LOWER(TRIM(Sales_Data!T47)), "Invalid Email")</f>
        <v>mohit.verma@company.com</v>
      </c>
    </row>
    <row r="48" spans="1:3" x14ac:dyDescent="0.3">
      <c r="A48" s="26" t="str">
        <f>TRIM(PROPER(Sales_Data!F48))</f>
        <v>Sneha Joshi</v>
      </c>
      <c r="B48" s="26" t="str">
        <f>_xlfn.CONCAT(LEFT(A48,3),RIGHT(Sales_Data!B48,3),LEFT(Sales_Data!I48,2))</f>
        <v>Sne006Pu</v>
      </c>
      <c r="C48" s="26" t="str">
        <f>IF(COUNTIF(Sales_Data!T48, "*@*"), LOWER(TRIM(Sales_Data!T48)), "Invalid Email")</f>
        <v>Invalid Email</v>
      </c>
    </row>
    <row r="49" spans="1:3" x14ac:dyDescent="0.3">
      <c r="A49" s="26" t="str">
        <f>TRIM(PROPER(Sales_Data!F49))</f>
        <v>Sneha Joshi</v>
      </c>
      <c r="B49" s="26" t="str">
        <f>_xlfn.CONCAT(LEFT(A49,3),RIGHT(Sales_Data!B49,3),LEFT(Sales_Data!I49,2))</f>
        <v>Sne006Ja</v>
      </c>
      <c r="C49" s="26" t="str">
        <f>IF(COUNTIF(Sales_Data!T49, "*@*"), LOWER(TRIM(Sales_Data!T49)), "Invalid Email")</f>
        <v>sneha.joshi@company.com</v>
      </c>
    </row>
    <row r="50" spans="1:3" x14ac:dyDescent="0.3">
      <c r="A50" s="26" t="str">
        <f>TRIM(PROPER(Sales_Data!F50))</f>
        <v>Mohit Verma</v>
      </c>
      <c r="B50" s="26" t="str">
        <f>_xlfn.CONCAT(LEFT(A50,3),RIGHT(Sales_Data!B50,3),LEFT(Sales_Data!I50,2))</f>
        <v>Moh009De</v>
      </c>
      <c r="C50" s="26" t="str">
        <f>IF(COUNTIF(Sales_Data!T50, "*@*"), LOWER(TRIM(Sales_Data!T50)), "Invalid Email")</f>
        <v>mohit.verma@company.com</v>
      </c>
    </row>
    <row r="51" spans="1:3" x14ac:dyDescent="0.3">
      <c r="A51" s="26" t="str">
        <f>TRIM(PROPER(Sales_Data!F51))</f>
        <v>Anita Gupta</v>
      </c>
      <c r="B51" s="26" t="str">
        <f>_xlfn.CONCAT(LEFT(A51,3),RIGHT(Sales_Data!B51,3),LEFT(Sales_Data!I51,2))</f>
        <v>Ani004Pu</v>
      </c>
      <c r="C51" s="26" t="str">
        <f>IF(COUNTIF(Sales_Data!T51, "*@*"), LOWER(TRIM(Sales_Data!T51)), "Invalid Email")</f>
        <v>anita.gupta@company.com</v>
      </c>
    </row>
    <row r="52" spans="1:3" x14ac:dyDescent="0.3">
      <c r="A52" s="26" t="str">
        <f>TRIM(PROPER(Sales_Data!F52))</f>
        <v>Pooja Shah</v>
      </c>
      <c r="B52" s="26" t="str">
        <f>_xlfn.CONCAT(LEFT(A52,3),RIGHT(Sales_Data!B52,3),LEFT(Sales_Data!I52,2))</f>
        <v>Poo010Be</v>
      </c>
      <c r="C52" s="26" t="str">
        <f>IF(COUNTIF(Sales_Data!T52, "*@*"), LOWER(TRIM(Sales_Data!T52)), "Invalid Email")</f>
        <v>pooja.shah@company.com</v>
      </c>
    </row>
    <row r="53" spans="1:3" x14ac:dyDescent="0.3">
      <c r="A53" s="26" t="str">
        <f>TRIM(PROPER(Sales_Data!F53))</f>
        <v>Priya Patel</v>
      </c>
      <c r="B53" s="26" t="str">
        <f>_xlfn.CONCAT(LEFT(A53,3),RIGHT(Sales_Data!B53,3),LEFT(Sales_Data!I53,2))</f>
        <v>Pri002Ja</v>
      </c>
      <c r="C53" s="26" t="str">
        <f>IF(COUNTIF(Sales_Data!T53, "*@*"), LOWER(TRIM(Sales_Data!T53)), "Invalid Email")</f>
        <v>priya.patel@company.com</v>
      </c>
    </row>
    <row r="54" spans="1:3" x14ac:dyDescent="0.3">
      <c r="A54" s="26" t="str">
        <f>TRIM(PROPER(Sales_Data!F54))</f>
        <v>Vikas Mehta</v>
      </c>
      <c r="B54" s="26" t="str">
        <f>_xlfn.CONCAT(LEFT(A54,3),RIGHT(Sales_Data!B54,3),LEFT(Sales_Data!I54,2))</f>
        <v>Vik005Ko</v>
      </c>
      <c r="C54" s="26" t="str">
        <f>IF(COUNTIF(Sales_Data!T54, "*@*"), LOWER(TRIM(Sales_Data!T54)), "Invalid Email")</f>
        <v>vikas.mehta@company.com</v>
      </c>
    </row>
    <row r="55" spans="1:3" x14ac:dyDescent="0.3">
      <c r="A55" s="26" t="str">
        <f>TRIM(PROPER(Sales_Data!F55))</f>
        <v>Kavya Nair</v>
      </c>
      <c r="B55" s="26" t="str">
        <f>_xlfn.CONCAT(LEFT(A55,3),RIGHT(Sales_Data!B55,3),LEFT(Sales_Data!I55,2))</f>
        <v>Kav008Ja</v>
      </c>
      <c r="C55" s="26" t="str">
        <f>IF(COUNTIF(Sales_Data!T55, "*@*"), LOWER(TRIM(Sales_Data!T55)), "Invalid Email")</f>
        <v>kavya.nair@company.com</v>
      </c>
    </row>
    <row r="56" spans="1:3" x14ac:dyDescent="0.3">
      <c r="A56" s="26" t="str">
        <f>TRIM(PROPER(Sales_Data!F56))</f>
        <v>Rohit Singh</v>
      </c>
      <c r="B56" s="26" t="str">
        <f>_xlfn.CONCAT(LEFT(A56,3),RIGHT(Sales_Data!B56,3),LEFT(Sales_Data!I56,2))</f>
        <v>Roh003Ah</v>
      </c>
      <c r="C56" s="26" t="str">
        <f>IF(COUNTIF(Sales_Data!T56, "*@*"), LOWER(TRIM(Sales_Data!T56)), "Invalid Email")</f>
        <v>rohit.singh@company.com</v>
      </c>
    </row>
    <row r="57" spans="1:3" x14ac:dyDescent="0.3">
      <c r="A57" s="26" t="str">
        <f>TRIM(PROPER(Sales_Data!F57))</f>
        <v>Amit Sharma</v>
      </c>
      <c r="B57" s="26" t="str">
        <f>_xlfn.CONCAT(LEFT(A57,3),RIGHT(Sales_Data!B57,3),LEFT(Sales_Data!I57,2))</f>
        <v>Ami001Ja</v>
      </c>
      <c r="C57" s="26" t="str">
        <f>IF(COUNTIF(Sales_Data!T57, "*@*"), LOWER(TRIM(Sales_Data!T57)), "Invalid Email")</f>
        <v>amit.sharma@company.com</v>
      </c>
    </row>
    <row r="58" spans="1:3" x14ac:dyDescent="0.3">
      <c r="A58" s="26" t="str">
        <f>TRIM(PROPER(Sales_Data!F58))</f>
        <v>Amit Sharma</v>
      </c>
      <c r="B58" s="26" t="str">
        <f>_xlfn.CONCAT(LEFT(A58,3),RIGHT(Sales_Data!B58,3),LEFT(Sales_Data!I58,2))</f>
        <v>Ami001Be</v>
      </c>
      <c r="C58" s="26" t="str">
        <f>IF(COUNTIF(Sales_Data!T58, "*@*"), LOWER(TRIM(Sales_Data!T58)), "Invalid Email")</f>
        <v>Invalid Email</v>
      </c>
    </row>
    <row r="59" spans="1:3" x14ac:dyDescent="0.3">
      <c r="A59" s="26" t="str">
        <f>TRIM(PROPER(Sales_Data!F59))</f>
        <v>Rohit Singh</v>
      </c>
      <c r="B59" s="26" t="str">
        <f>_xlfn.CONCAT(LEFT(A59,3),RIGHT(Sales_Data!B59,3),LEFT(Sales_Data!I59,2))</f>
        <v>Roh003De</v>
      </c>
      <c r="C59" s="26" t="str">
        <f>IF(COUNTIF(Sales_Data!T59, "*@*"), LOWER(TRIM(Sales_Data!T59)), "Invalid Email")</f>
        <v>rohit.singh@company.com</v>
      </c>
    </row>
    <row r="60" spans="1:3" x14ac:dyDescent="0.3">
      <c r="A60" s="26" t="str">
        <f>TRIM(PROPER(Sales_Data!F60))</f>
        <v>Arjun Rao</v>
      </c>
      <c r="B60" s="26" t="str">
        <f>_xlfn.CONCAT(LEFT(A60,3),RIGHT(Sales_Data!B60,3),LEFT(Sales_Data!I60,2))</f>
        <v>Arj007Ja</v>
      </c>
      <c r="C60" s="26" t="str">
        <f>IF(COUNTIF(Sales_Data!T60, "*@*"), LOWER(TRIM(Sales_Data!T60)), "Invalid Email")</f>
        <v>arjun.rao@company.com</v>
      </c>
    </row>
    <row r="61" spans="1:3" x14ac:dyDescent="0.3">
      <c r="A61" s="26" t="str">
        <f>TRIM(PROPER(Sales_Data!F61))</f>
        <v>Vikas Mehta</v>
      </c>
      <c r="B61" s="26" t="str">
        <f>_xlfn.CONCAT(LEFT(A61,3),RIGHT(Sales_Data!B61,3),LEFT(Sales_Data!I61,2))</f>
        <v>Vik005Ja</v>
      </c>
      <c r="C61" s="26" t="str">
        <f>IF(COUNTIF(Sales_Data!T61, "*@*"), LOWER(TRIM(Sales_Data!T61)), "Invalid Email")</f>
        <v>vikas.mehta@company.com</v>
      </c>
    </row>
    <row r="62" spans="1:3" x14ac:dyDescent="0.3">
      <c r="A62" s="26" t="str">
        <f>TRIM(PROPER(Sales_Data!F62))</f>
        <v>Kavya Nair</v>
      </c>
      <c r="B62" s="26" t="str">
        <f>_xlfn.CONCAT(LEFT(A62,3),RIGHT(Sales_Data!B62,3),LEFT(Sales_Data!I62,2))</f>
        <v>Kav008De</v>
      </c>
      <c r="C62" s="26" t="str">
        <f>IF(COUNTIF(Sales_Data!T62, "*@*"), LOWER(TRIM(Sales_Data!T62)), "Invalid Email")</f>
        <v>kavya.nair@company.com</v>
      </c>
    </row>
    <row r="63" spans="1:3" x14ac:dyDescent="0.3">
      <c r="A63" s="26" t="str">
        <f>TRIM(PROPER(Sales_Data!F63))</f>
        <v>Priya Patel</v>
      </c>
      <c r="B63" s="26" t="str">
        <f>_xlfn.CONCAT(LEFT(A63,3),RIGHT(Sales_Data!B63,3),LEFT(Sales_Data!I63,2))</f>
        <v>Pri002Pu</v>
      </c>
      <c r="C63" s="26" t="str">
        <f>IF(COUNTIF(Sales_Data!T63, "*@*"), LOWER(TRIM(Sales_Data!T63)), "Invalid Email")</f>
        <v>priya.patel@company.com</v>
      </c>
    </row>
    <row r="64" spans="1:3" x14ac:dyDescent="0.3">
      <c r="A64" s="26" t="str">
        <f>TRIM(PROPER(Sales_Data!F64))</f>
        <v>Pooja Shah</v>
      </c>
      <c r="B64" s="26" t="str">
        <f>_xlfn.CONCAT(LEFT(A64,3),RIGHT(Sales_Data!B64,3),LEFT(Sales_Data!I64,2))</f>
        <v>Poo010Mu</v>
      </c>
      <c r="C64" s="26" t="str">
        <f>IF(COUNTIF(Sales_Data!T64, "*@*"), LOWER(TRIM(Sales_Data!T64)), "Invalid Email")</f>
        <v>pooja.shah@company.com</v>
      </c>
    </row>
    <row r="65" spans="1:3" x14ac:dyDescent="0.3">
      <c r="A65" s="26" t="str">
        <f>TRIM(PROPER(Sales_Data!F65))</f>
        <v>Sneha Joshi</v>
      </c>
      <c r="B65" s="26" t="str">
        <f>_xlfn.CONCAT(LEFT(A65,3),RIGHT(Sales_Data!B65,3),LEFT(Sales_Data!I65,2))</f>
        <v>Sne006Ah</v>
      </c>
      <c r="C65" s="26" t="str">
        <f>IF(COUNTIF(Sales_Data!T65, "*@*"), LOWER(TRIM(Sales_Data!T65)), "Invalid Email")</f>
        <v>sneha.joshi@company.com</v>
      </c>
    </row>
    <row r="66" spans="1:3" x14ac:dyDescent="0.3">
      <c r="A66" s="26" t="str">
        <f>TRIM(PROPER(Sales_Data!F66))</f>
        <v>Pooja Shah</v>
      </c>
      <c r="B66" s="26" t="str">
        <f>_xlfn.CONCAT(LEFT(A66,3),RIGHT(Sales_Data!B66,3),LEFT(Sales_Data!I66,2))</f>
        <v>Poo010Ko</v>
      </c>
      <c r="C66" s="26" t="str">
        <f>IF(COUNTIF(Sales_Data!T66, "*@*"), LOWER(TRIM(Sales_Data!T66)), "Invalid Email")</f>
        <v>pooja.shah@company.com</v>
      </c>
    </row>
    <row r="67" spans="1:3" x14ac:dyDescent="0.3">
      <c r="A67" s="26" t="str">
        <f>TRIM(PROPER(Sales_Data!F67))</f>
        <v>Priya Patel</v>
      </c>
      <c r="B67" s="26" t="str">
        <f>_xlfn.CONCAT(LEFT(A67,3),RIGHT(Sales_Data!B67,3),LEFT(Sales_Data!I67,2))</f>
        <v>Pri002Ko</v>
      </c>
      <c r="C67" s="26" t="str">
        <f>IF(COUNTIF(Sales_Data!T67, "*@*"), LOWER(TRIM(Sales_Data!T67)), "Invalid Email")</f>
        <v>priya.patel@company.com</v>
      </c>
    </row>
    <row r="68" spans="1:3" x14ac:dyDescent="0.3">
      <c r="A68" s="26" t="str">
        <f>TRIM(PROPER(Sales_Data!F68))</f>
        <v>Kavya Nair</v>
      </c>
      <c r="B68" s="26" t="str">
        <f>_xlfn.CONCAT(LEFT(A68,3),RIGHT(Sales_Data!B68,3),LEFT(Sales_Data!I68,2))</f>
        <v>Kav008De</v>
      </c>
      <c r="C68" s="26" t="str">
        <f>IF(COUNTIF(Sales_Data!T68, "*@*"), LOWER(TRIM(Sales_Data!T68)), "Invalid Email")</f>
        <v>kavya.nair@company.com</v>
      </c>
    </row>
    <row r="69" spans="1:3" x14ac:dyDescent="0.3">
      <c r="A69" s="26" t="str">
        <f>TRIM(PROPER(Sales_Data!F69))</f>
        <v>Sneha Joshi</v>
      </c>
      <c r="B69" s="26" t="str">
        <f>_xlfn.CONCAT(LEFT(A69,3),RIGHT(Sales_Data!B69,3),LEFT(Sales_Data!I69,2))</f>
        <v>Sne006Hy</v>
      </c>
      <c r="C69" s="26" t="str">
        <f>IF(COUNTIF(Sales_Data!T69, "*@*"), LOWER(TRIM(Sales_Data!T69)), "Invalid Email")</f>
        <v>sneha.joshi@company.com</v>
      </c>
    </row>
    <row r="70" spans="1:3" x14ac:dyDescent="0.3">
      <c r="A70" s="26" t="str">
        <f>TRIM(PROPER(Sales_Data!F70))</f>
        <v>Pooja Shah</v>
      </c>
      <c r="B70" s="26" t="str">
        <f>_xlfn.CONCAT(LEFT(A70,3),RIGHT(Sales_Data!B70,3),LEFT(Sales_Data!I70,2))</f>
        <v>Poo010Ja</v>
      </c>
      <c r="C70" s="26" t="str">
        <f>IF(COUNTIF(Sales_Data!T70, "*@*"), LOWER(TRIM(Sales_Data!T70)), "Invalid Email")</f>
        <v>pooja.shah@company.com</v>
      </c>
    </row>
    <row r="71" spans="1:3" x14ac:dyDescent="0.3">
      <c r="A71" s="26" t="str">
        <f>TRIM(PROPER(Sales_Data!F71))</f>
        <v>Kavya Nair</v>
      </c>
      <c r="B71" s="26" t="str">
        <f>_xlfn.CONCAT(LEFT(A71,3),RIGHT(Sales_Data!B71,3),LEFT(Sales_Data!I71,2))</f>
        <v>Kav008Be</v>
      </c>
      <c r="C71" s="26" t="str">
        <f>IF(COUNTIF(Sales_Data!T71, "*@*"), LOWER(TRIM(Sales_Data!T71)), "Invalid Email")</f>
        <v>kavya.nair@company.com</v>
      </c>
    </row>
    <row r="72" spans="1:3" x14ac:dyDescent="0.3">
      <c r="A72" s="26" t="str">
        <f>TRIM(PROPER(Sales_Data!F72))</f>
        <v>Anita Gupta</v>
      </c>
      <c r="B72" s="26" t="str">
        <f>_xlfn.CONCAT(LEFT(A72,3),RIGHT(Sales_Data!B72,3),LEFT(Sales_Data!I72,2))</f>
        <v>Ani004Mu</v>
      </c>
      <c r="C72" s="26" t="str">
        <f>IF(COUNTIF(Sales_Data!T72, "*@*"), LOWER(TRIM(Sales_Data!T72)), "Invalid Email")</f>
        <v>anita.gupta@company.com</v>
      </c>
    </row>
    <row r="73" spans="1:3" x14ac:dyDescent="0.3">
      <c r="A73" s="26" t="str">
        <f>TRIM(PROPER(Sales_Data!F73))</f>
        <v>Rohit Singh</v>
      </c>
      <c r="B73" s="26" t="str">
        <f>_xlfn.CONCAT(LEFT(A73,3),RIGHT(Sales_Data!B73,3),LEFT(Sales_Data!I73,2))</f>
        <v>Roh003Be</v>
      </c>
      <c r="C73" s="26" t="str">
        <f>IF(COUNTIF(Sales_Data!T73, "*@*"), LOWER(TRIM(Sales_Data!T73)), "Invalid Email")</f>
        <v>rohit.singh@company.com</v>
      </c>
    </row>
    <row r="74" spans="1:3" x14ac:dyDescent="0.3">
      <c r="A74" s="26" t="str">
        <f>TRIM(PROPER(Sales_Data!F74))</f>
        <v>Kavya Nair</v>
      </c>
      <c r="B74" s="26" t="str">
        <f>_xlfn.CONCAT(LEFT(A74,3),RIGHT(Sales_Data!B74,3),LEFT(Sales_Data!I74,2))</f>
        <v>Kav008Ja</v>
      </c>
      <c r="C74" s="26" t="str">
        <f>IF(COUNTIF(Sales_Data!T74, "*@*"), LOWER(TRIM(Sales_Data!T74)), "Invalid Email")</f>
        <v>kavya.nair@company.com</v>
      </c>
    </row>
    <row r="75" spans="1:3" x14ac:dyDescent="0.3">
      <c r="A75" s="26" t="str">
        <f>TRIM(PROPER(Sales_Data!F75))</f>
        <v>Pooja Shah</v>
      </c>
      <c r="B75" s="26" t="str">
        <f>_xlfn.CONCAT(LEFT(A75,3),RIGHT(Sales_Data!B75,3),LEFT(Sales_Data!I75,2))</f>
        <v>Poo010</v>
      </c>
      <c r="C75" s="26" t="str">
        <f>IF(COUNTIF(Sales_Data!T75, "*@*"), LOWER(TRIM(Sales_Data!T75)), "Invalid Email")</f>
        <v>pooja.shah@company.com</v>
      </c>
    </row>
    <row r="76" spans="1:3" x14ac:dyDescent="0.3">
      <c r="A76" s="26" t="str">
        <f>TRIM(PROPER(Sales_Data!F76))</f>
        <v>Rohit Singh</v>
      </c>
      <c r="B76" s="26" t="str">
        <f>_xlfn.CONCAT(LEFT(A76,3),RIGHT(Sales_Data!B76,3),LEFT(Sales_Data!I76,2))</f>
        <v>Roh003Pu</v>
      </c>
      <c r="C76" s="26" t="str">
        <f>IF(COUNTIF(Sales_Data!T76, "*@*"), LOWER(TRIM(Sales_Data!T76)), "Invalid Email")</f>
        <v>rohit.singh@company.com</v>
      </c>
    </row>
    <row r="77" spans="1:3" x14ac:dyDescent="0.3">
      <c r="A77" s="26" t="str">
        <f>TRIM(PROPER(Sales_Data!F77))</f>
        <v>Kavya Nair</v>
      </c>
      <c r="B77" s="26" t="str">
        <f>_xlfn.CONCAT(LEFT(A77,3),RIGHT(Sales_Data!B77,3),LEFT(Sales_Data!I77,2))</f>
        <v>Kav008Be</v>
      </c>
      <c r="C77" s="26" t="str">
        <f>IF(COUNTIF(Sales_Data!T77, "*@*"), LOWER(TRIM(Sales_Data!T77)), "Invalid Email")</f>
        <v>kavya.nair@company.com</v>
      </c>
    </row>
    <row r="78" spans="1:3" x14ac:dyDescent="0.3">
      <c r="A78" s="26" t="str">
        <f>TRIM(PROPER(Sales_Data!F78))</f>
        <v>Arjun Rao</v>
      </c>
      <c r="B78" s="26" t="str">
        <f>_xlfn.CONCAT(LEFT(A78,3),RIGHT(Sales_Data!B78,3),LEFT(Sales_Data!I78,2))</f>
        <v>Arj007De</v>
      </c>
      <c r="C78" s="26" t="str">
        <f>IF(COUNTIF(Sales_Data!T78, "*@*"), LOWER(TRIM(Sales_Data!T78)), "Invalid Email")</f>
        <v>arjun.rao@company.com</v>
      </c>
    </row>
    <row r="79" spans="1:3" x14ac:dyDescent="0.3">
      <c r="A79" s="26" t="str">
        <f>TRIM(PROPER(Sales_Data!F79))</f>
        <v>Vikas Mehta</v>
      </c>
      <c r="B79" s="26" t="str">
        <f>_xlfn.CONCAT(LEFT(A79,3),RIGHT(Sales_Data!B79,3),LEFT(Sales_Data!I79,2))</f>
        <v>Vik005Be</v>
      </c>
      <c r="C79" s="26" t="str">
        <f>IF(COUNTIF(Sales_Data!T79, "*@*"), LOWER(TRIM(Sales_Data!T79)), "Invalid Email")</f>
        <v>vikas.mehta@company.com</v>
      </c>
    </row>
    <row r="80" spans="1:3" x14ac:dyDescent="0.3">
      <c r="A80" s="26" t="str">
        <f>TRIM(PROPER(Sales_Data!F80))</f>
        <v>Mohit Verma</v>
      </c>
      <c r="B80" s="26" t="str">
        <f>_xlfn.CONCAT(LEFT(A80,3),RIGHT(Sales_Data!B80,3),LEFT(Sales_Data!I80,2))</f>
        <v>Moh009Mu</v>
      </c>
      <c r="C80" s="26" t="str">
        <f>IF(COUNTIF(Sales_Data!T80, "*@*"), LOWER(TRIM(Sales_Data!T80)), "Invalid Email")</f>
        <v>mohit.verma@company.com</v>
      </c>
    </row>
    <row r="81" spans="1:3" x14ac:dyDescent="0.3">
      <c r="A81" s="26" t="str">
        <f>TRIM(PROPER(Sales_Data!F81))</f>
        <v>Rohit Singh</v>
      </c>
      <c r="B81" s="26" t="str">
        <f>_xlfn.CONCAT(LEFT(A81,3),RIGHT(Sales_Data!B81,3),LEFT(Sales_Data!I81,2))</f>
        <v>Roh003Pu</v>
      </c>
      <c r="C81" s="26" t="str">
        <f>IF(COUNTIF(Sales_Data!T81, "*@*"), LOWER(TRIM(Sales_Data!T81)), "Invalid Email")</f>
        <v>rohit.singh@company.com</v>
      </c>
    </row>
    <row r="82" spans="1:3" x14ac:dyDescent="0.3">
      <c r="A82" s="26" t="str">
        <f>TRIM(PROPER(Sales_Data!F82))</f>
        <v>Amit Sharma</v>
      </c>
      <c r="B82" s="26" t="str">
        <f>_xlfn.CONCAT(LEFT(A82,3),RIGHT(Sales_Data!B82,3),LEFT(Sales_Data!I82,2))</f>
        <v>Ami001Pu</v>
      </c>
      <c r="C82" s="26" t="str">
        <f>IF(COUNTIF(Sales_Data!T82, "*@*"), LOWER(TRIM(Sales_Data!T82)), "Invalid Email")</f>
        <v>amit.sharma@company.com</v>
      </c>
    </row>
    <row r="83" spans="1:3" x14ac:dyDescent="0.3">
      <c r="A83" s="26" t="str">
        <f>TRIM(PROPER(Sales_Data!F83))</f>
        <v>Vikas Mehta</v>
      </c>
      <c r="B83" s="26" t="str">
        <f>_xlfn.CONCAT(LEFT(A83,3),RIGHT(Sales_Data!B83,3),LEFT(Sales_Data!I83,2))</f>
        <v>Vik005Ko</v>
      </c>
      <c r="C83" s="26" t="str">
        <f>IF(COUNTIF(Sales_Data!T83, "*@*"), LOWER(TRIM(Sales_Data!T83)), "Invalid Email")</f>
        <v>vikas.mehta@company.com</v>
      </c>
    </row>
    <row r="84" spans="1:3" x14ac:dyDescent="0.3">
      <c r="A84" s="26" t="str">
        <f>TRIM(PROPER(Sales_Data!F84))</f>
        <v>Rohit Singh</v>
      </c>
      <c r="B84" s="26" t="str">
        <f>_xlfn.CONCAT(LEFT(A84,3),RIGHT(Sales_Data!B84,3),LEFT(Sales_Data!I84,2))</f>
        <v>Roh003Mu</v>
      </c>
      <c r="C84" s="26" t="str">
        <f>IF(COUNTIF(Sales_Data!T84, "*@*"), LOWER(TRIM(Sales_Data!T84)), "Invalid Email")</f>
        <v>rohit.singh@company.com</v>
      </c>
    </row>
    <row r="85" spans="1:3" x14ac:dyDescent="0.3">
      <c r="A85" s="26" t="str">
        <f>TRIM(PROPER(Sales_Data!F85))</f>
        <v>Rohit Singh</v>
      </c>
      <c r="B85" s="26" t="str">
        <f>_xlfn.CONCAT(LEFT(A85,3),RIGHT(Sales_Data!B85,3),LEFT(Sales_Data!I85,2))</f>
        <v>Roh003Hy</v>
      </c>
      <c r="C85" s="26" t="str">
        <f>IF(COUNTIF(Sales_Data!T85, "*@*"), LOWER(TRIM(Sales_Data!T85)), "Invalid Email")</f>
        <v>rohit.singh@company.com</v>
      </c>
    </row>
    <row r="86" spans="1:3" x14ac:dyDescent="0.3">
      <c r="A86" s="26" t="str">
        <f>TRIM(PROPER(Sales_Data!F86))</f>
        <v>Kavya Nair</v>
      </c>
      <c r="B86" s="26" t="str">
        <f>_xlfn.CONCAT(LEFT(A86,3),RIGHT(Sales_Data!B86,3),LEFT(Sales_Data!I86,2))</f>
        <v>Kav008Mu</v>
      </c>
      <c r="C86" s="26" t="str">
        <f>IF(COUNTIF(Sales_Data!T86, "*@*"), LOWER(TRIM(Sales_Data!T86)), "Invalid Email")</f>
        <v>kavya.nair@company.com</v>
      </c>
    </row>
    <row r="87" spans="1:3" x14ac:dyDescent="0.3">
      <c r="A87" s="26" t="str">
        <f>TRIM(PROPER(Sales_Data!F87))</f>
        <v>Arjun Rao</v>
      </c>
      <c r="B87" s="26" t="str">
        <f>_xlfn.CONCAT(LEFT(A87,3),RIGHT(Sales_Data!B87,3),LEFT(Sales_Data!I87,2))</f>
        <v>Arj007Ah</v>
      </c>
      <c r="C87" s="26" t="str">
        <f>IF(COUNTIF(Sales_Data!T87, "*@*"), LOWER(TRIM(Sales_Data!T87)), "Invalid Email")</f>
        <v>arjun.rao@company.com</v>
      </c>
    </row>
    <row r="88" spans="1:3" x14ac:dyDescent="0.3">
      <c r="A88" s="26" t="str">
        <f>TRIM(PROPER(Sales_Data!F88))</f>
        <v>Sneha Joshi</v>
      </c>
      <c r="B88" s="26" t="str">
        <f>_xlfn.CONCAT(LEFT(A88,3),RIGHT(Sales_Data!B88,3),LEFT(Sales_Data!I88,2))</f>
        <v>Sne006Pu</v>
      </c>
      <c r="C88" s="26" t="str">
        <f>IF(COUNTIF(Sales_Data!T88, "*@*"), LOWER(TRIM(Sales_Data!T88)), "Invalid Email")</f>
        <v>sneha.joshi@company.com</v>
      </c>
    </row>
    <row r="89" spans="1:3" x14ac:dyDescent="0.3">
      <c r="A89" s="26" t="str">
        <f>TRIM(PROPER(Sales_Data!F89))</f>
        <v>Priya Patel</v>
      </c>
      <c r="B89" s="26" t="str">
        <f>_xlfn.CONCAT(LEFT(A89,3),RIGHT(Sales_Data!B89,3),LEFT(Sales_Data!I89,2))</f>
        <v>Pri002Ah</v>
      </c>
      <c r="C89" s="26" t="str">
        <f>IF(COUNTIF(Sales_Data!T89, "*@*"), LOWER(TRIM(Sales_Data!T89)), "Invalid Email")</f>
        <v>priya.patel@company.com</v>
      </c>
    </row>
    <row r="90" spans="1:3" x14ac:dyDescent="0.3">
      <c r="A90" s="26" t="str">
        <f>TRIM(PROPER(Sales_Data!F90))</f>
        <v>Amit Sharma</v>
      </c>
      <c r="B90" s="26" t="str">
        <f>_xlfn.CONCAT(LEFT(A90,3),RIGHT(Sales_Data!B90,3),LEFT(Sales_Data!I90,2))</f>
        <v>Ami001Ah</v>
      </c>
      <c r="C90" s="26" t="str">
        <f>IF(COUNTIF(Sales_Data!T90, "*@*"), LOWER(TRIM(Sales_Data!T90)), "Invalid Email")</f>
        <v>amit.sharma@company.com</v>
      </c>
    </row>
    <row r="91" spans="1:3" x14ac:dyDescent="0.3">
      <c r="A91" s="26" t="str">
        <f>TRIM(PROPER(Sales_Data!F91))</f>
        <v>Kavya Nair</v>
      </c>
      <c r="B91" s="26" t="str">
        <f>_xlfn.CONCAT(LEFT(A91,3),RIGHT(Sales_Data!B91,3),LEFT(Sales_Data!I91,2))</f>
        <v>Kav008Pu</v>
      </c>
      <c r="C91" s="26" t="str">
        <f>IF(COUNTIF(Sales_Data!T91, "*@*"), LOWER(TRIM(Sales_Data!T91)), "Invalid Email")</f>
        <v>kavya.nair@company.com</v>
      </c>
    </row>
    <row r="92" spans="1:3" x14ac:dyDescent="0.3">
      <c r="A92" s="26" t="str">
        <f>TRIM(PROPER(Sales_Data!F92))</f>
        <v>Pooja Shah</v>
      </c>
      <c r="B92" s="26" t="str">
        <f>_xlfn.CONCAT(LEFT(A92,3),RIGHT(Sales_Data!B92,3),LEFT(Sales_Data!I92,2))</f>
        <v>Poo010Ja</v>
      </c>
      <c r="C92" s="26" t="str">
        <f>IF(COUNTIF(Sales_Data!T92, "*@*"), LOWER(TRIM(Sales_Data!T92)), "Invalid Email")</f>
        <v>pooja.shah@company.com</v>
      </c>
    </row>
    <row r="93" spans="1:3" x14ac:dyDescent="0.3">
      <c r="A93" s="26" t="str">
        <f>TRIM(PROPER(Sales_Data!F93))</f>
        <v>Pooja Shah</v>
      </c>
      <c r="B93" s="26" t="str">
        <f>_xlfn.CONCAT(LEFT(A93,3),RIGHT(Sales_Data!B93,3),LEFT(Sales_Data!I93,2))</f>
        <v>Poo010Hy</v>
      </c>
      <c r="C93" s="26" t="str">
        <f>IF(COUNTIF(Sales_Data!T93, "*@*"), LOWER(TRIM(Sales_Data!T93)), "Invalid Email")</f>
        <v>pooja.shah@company.com</v>
      </c>
    </row>
    <row r="94" spans="1:3" x14ac:dyDescent="0.3">
      <c r="A94" s="26" t="str">
        <f>TRIM(PROPER(Sales_Data!F94))</f>
        <v>Kavya Nair</v>
      </c>
      <c r="B94" s="26" t="str">
        <f>_xlfn.CONCAT(LEFT(A94,3),RIGHT(Sales_Data!B94,3),LEFT(Sales_Data!I94,2))</f>
        <v>Kav008Be</v>
      </c>
      <c r="C94" s="26" t="str">
        <f>IF(COUNTIF(Sales_Data!T94, "*@*"), LOWER(TRIM(Sales_Data!T94)), "Invalid Email")</f>
        <v>kavya.nair@company.com</v>
      </c>
    </row>
    <row r="95" spans="1:3" x14ac:dyDescent="0.3">
      <c r="A95" s="26" t="str">
        <f>TRIM(PROPER(Sales_Data!F95))</f>
        <v>Anita Gupta</v>
      </c>
      <c r="B95" s="26" t="str">
        <f>_xlfn.CONCAT(LEFT(A95,3),RIGHT(Sales_Data!B95,3),LEFT(Sales_Data!I95,2))</f>
        <v>Ani004De</v>
      </c>
      <c r="C95" s="26" t="str">
        <f>IF(COUNTIF(Sales_Data!T95, "*@*"), LOWER(TRIM(Sales_Data!T95)), "Invalid Email")</f>
        <v>anita.gupta@company.com</v>
      </c>
    </row>
    <row r="96" spans="1:3" x14ac:dyDescent="0.3">
      <c r="A96" s="26" t="str">
        <f>TRIM(PROPER(Sales_Data!F96))</f>
        <v>Amit Sharma</v>
      </c>
      <c r="B96" s="26" t="str">
        <f>_xlfn.CONCAT(LEFT(A96,3),RIGHT(Sales_Data!B96,3),LEFT(Sales_Data!I96,2))</f>
        <v>Ami001De</v>
      </c>
      <c r="C96" s="26" t="str">
        <f>IF(COUNTIF(Sales_Data!T96, "*@*"), LOWER(TRIM(Sales_Data!T96)), "Invalid Email")</f>
        <v>amit.sharma@company.com</v>
      </c>
    </row>
    <row r="97" spans="1:3" x14ac:dyDescent="0.3">
      <c r="A97" s="26" t="str">
        <f>TRIM(PROPER(Sales_Data!F97))</f>
        <v>Priya Patel</v>
      </c>
      <c r="B97" s="26" t="str">
        <f>_xlfn.CONCAT(LEFT(A97,3),RIGHT(Sales_Data!B97,3),LEFT(Sales_Data!I97,2))</f>
        <v>Pri002Ko</v>
      </c>
      <c r="C97" s="26" t="str">
        <f>IF(COUNTIF(Sales_Data!T97, "*@*"), LOWER(TRIM(Sales_Data!T97)), "Invalid Email")</f>
        <v>priya.patel@company.com</v>
      </c>
    </row>
    <row r="98" spans="1:3" x14ac:dyDescent="0.3">
      <c r="A98" s="26" t="str">
        <f>TRIM(PROPER(Sales_Data!F98))</f>
        <v>Sneha Joshi</v>
      </c>
      <c r="B98" s="26" t="str">
        <f>_xlfn.CONCAT(LEFT(A98,3),RIGHT(Sales_Data!B98,3),LEFT(Sales_Data!I98,2))</f>
        <v>Sne006Ah</v>
      </c>
      <c r="C98" s="26" t="str">
        <f>IF(COUNTIF(Sales_Data!T98, "*@*"), LOWER(TRIM(Sales_Data!T98)), "Invalid Email")</f>
        <v>sneha.joshi@company.com</v>
      </c>
    </row>
    <row r="99" spans="1:3" x14ac:dyDescent="0.3">
      <c r="A99" s="26" t="str">
        <f>TRIM(PROPER(Sales_Data!F99))</f>
        <v>Amit Sharma</v>
      </c>
      <c r="B99" s="26" t="str">
        <f>_xlfn.CONCAT(LEFT(A99,3),RIGHT(Sales_Data!B99,3),LEFT(Sales_Data!I99,2))</f>
        <v>Ami001Pu</v>
      </c>
      <c r="C99" s="26" t="str">
        <f>IF(COUNTIF(Sales_Data!T99, "*@*"), LOWER(TRIM(Sales_Data!T99)), "Invalid Email")</f>
        <v>amit.sharma@company.com</v>
      </c>
    </row>
    <row r="100" spans="1:3" x14ac:dyDescent="0.3">
      <c r="A100" s="26" t="str">
        <f>TRIM(PROPER(Sales_Data!F100))</f>
        <v>Anita Gupta</v>
      </c>
      <c r="B100" s="26" t="str">
        <f>_xlfn.CONCAT(LEFT(A100,3),RIGHT(Sales_Data!B100,3),LEFT(Sales_Data!I100,2))</f>
        <v>Ani004De</v>
      </c>
      <c r="C100" s="26" t="str">
        <f>IF(COUNTIF(Sales_Data!T100, "*@*"), LOWER(TRIM(Sales_Data!T100)), "Invalid Email")</f>
        <v>anita.gupta@company.com</v>
      </c>
    </row>
    <row r="101" spans="1:3" x14ac:dyDescent="0.3">
      <c r="A101" s="26" t="str">
        <f>TRIM(PROPER(Sales_Data!F101))</f>
        <v>Arjun Rao</v>
      </c>
      <c r="B101" s="26" t="str">
        <f>_xlfn.CONCAT(LEFT(A101,3),RIGHT(Sales_Data!B101,3),LEFT(Sales_Data!I101,2))</f>
        <v>Arj007Be</v>
      </c>
      <c r="C101" s="26" t="str">
        <f>IF(COUNTIF(Sales_Data!T101, "*@*"), LOWER(TRIM(Sales_Data!T101)), "Invalid Email")</f>
        <v>arjun.rao@company.com</v>
      </c>
    </row>
    <row r="102" spans="1:3" x14ac:dyDescent="0.3">
      <c r="A102" s="26" t="str">
        <f>TRIM(PROPER(Sales_Data!F102))</f>
        <v>Rohit Singh</v>
      </c>
      <c r="B102" s="26" t="str">
        <f>_xlfn.CONCAT(LEFT(A102,3),RIGHT(Sales_Data!B102,3),LEFT(Sales_Data!I102,2))</f>
        <v>Roh003Ko</v>
      </c>
      <c r="C102" s="26" t="str">
        <f>IF(COUNTIF(Sales_Data!T102, "*@*"), LOWER(TRIM(Sales_Data!T102)), "Invalid Email")</f>
        <v>rohit.singh@company.com</v>
      </c>
    </row>
    <row r="103" spans="1:3" x14ac:dyDescent="0.3">
      <c r="A103" s="26" t="str">
        <f>TRIM(PROPER(Sales_Data!F103))</f>
        <v>Amit Sharma</v>
      </c>
      <c r="B103" s="26" t="str">
        <f>_xlfn.CONCAT(LEFT(A103,3),RIGHT(Sales_Data!B103,3),LEFT(Sales_Data!I103,2))</f>
        <v>Ami001Ah</v>
      </c>
      <c r="C103" s="26" t="str">
        <f>IF(COUNTIF(Sales_Data!T103, "*@*"), LOWER(TRIM(Sales_Data!T103)), "Invalid Email")</f>
        <v>amit.sharma@company.com</v>
      </c>
    </row>
    <row r="104" spans="1:3" x14ac:dyDescent="0.3">
      <c r="A104" s="26" t="str">
        <f>TRIM(PROPER(Sales_Data!F104))</f>
        <v>Amit Sharma</v>
      </c>
      <c r="B104" s="26" t="str">
        <f>_xlfn.CONCAT(LEFT(A104,3),RIGHT(Sales_Data!B104,3),LEFT(Sales_Data!I104,2))</f>
        <v>Ami001Pu</v>
      </c>
      <c r="C104" s="26" t="str">
        <f>IF(COUNTIF(Sales_Data!T104, "*@*"), LOWER(TRIM(Sales_Data!T104)), "Invalid Email")</f>
        <v>amit.sharma@company.com</v>
      </c>
    </row>
    <row r="105" spans="1:3" x14ac:dyDescent="0.3">
      <c r="A105" s="26" t="str">
        <f>TRIM(PROPER(Sales_Data!F105))</f>
        <v>Sneha Joshi</v>
      </c>
      <c r="B105" s="26" t="str">
        <f>_xlfn.CONCAT(LEFT(A105,3),RIGHT(Sales_Data!B105,3),LEFT(Sales_Data!I105,2))</f>
        <v>Sne006Be</v>
      </c>
      <c r="C105" s="26" t="str">
        <f>IF(COUNTIF(Sales_Data!T105, "*@*"), LOWER(TRIM(Sales_Data!T105)), "Invalid Email")</f>
        <v>sneha.joshi@company.com</v>
      </c>
    </row>
    <row r="106" spans="1:3" x14ac:dyDescent="0.3">
      <c r="A106" s="26" t="str">
        <f>TRIM(PROPER(Sales_Data!F106))</f>
        <v>Arjun Rao</v>
      </c>
      <c r="B106" s="26" t="str">
        <f>_xlfn.CONCAT(LEFT(A106,3),RIGHT(Sales_Data!B106,3),LEFT(Sales_Data!I106,2))</f>
        <v>Arj007Mu</v>
      </c>
      <c r="C106" s="26" t="str">
        <f>IF(COUNTIF(Sales_Data!T106, "*@*"), LOWER(TRIM(Sales_Data!T106)), "Invalid Email")</f>
        <v>arjun.rao@company.com</v>
      </c>
    </row>
    <row r="107" spans="1:3" x14ac:dyDescent="0.3">
      <c r="A107" s="26" t="str">
        <f>TRIM(PROPER(Sales_Data!F107))</f>
        <v>Pooja Shah</v>
      </c>
      <c r="B107" s="26" t="str">
        <f>_xlfn.CONCAT(LEFT(A107,3),RIGHT(Sales_Data!B107,3),LEFT(Sales_Data!I107,2))</f>
        <v>Poo010De</v>
      </c>
      <c r="C107" s="26" t="str">
        <f>IF(COUNTIF(Sales_Data!T107, "*@*"), LOWER(TRIM(Sales_Data!T107)), "Invalid Email")</f>
        <v>pooja.shah@company.com</v>
      </c>
    </row>
    <row r="108" spans="1:3" x14ac:dyDescent="0.3">
      <c r="A108" s="26" t="str">
        <f>TRIM(PROPER(Sales_Data!F108))</f>
        <v>Priya Patel</v>
      </c>
      <c r="B108" s="26" t="str">
        <f>_xlfn.CONCAT(LEFT(A108,3),RIGHT(Sales_Data!B108,3),LEFT(Sales_Data!I108,2))</f>
        <v>Pri002De</v>
      </c>
      <c r="C108" s="26" t="str">
        <f>IF(COUNTIF(Sales_Data!T108, "*@*"), LOWER(TRIM(Sales_Data!T108)), "Invalid Email")</f>
        <v>priya.patel@company.com</v>
      </c>
    </row>
    <row r="109" spans="1:3" x14ac:dyDescent="0.3">
      <c r="A109" s="26" t="str">
        <f>TRIM(PROPER(Sales_Data!F109))</f>
        <v>Vikas Mehta</v>
      </c>
      <c r="B109" s="26" t="str">
        <f>_xlfn.CONCAT(LEFT(A109,3),RIGHT(Sales_Data!B109,3),LEFT(Sales_Data!I109,2))</f>
        <v>Vik005Mu</v>
      </c>
      <c r="C109" s="26" t="str">
        <f>IF(COUNTIF(Sales_Data!T109, "*@*"), LOWER(TRIM(Sales_Data!T109)), "Invalid Email")</f>
        <v>vikas.mehta@company.com</v>
      </c>
    </row>
    <row r="110" spans="1:3" x14ac:dyDescent="0.3">
      <c r="A110" s="26" t="str">
        <f>TRIM(PROPER(Sales_Data!F110))</f>
        <v>Arjun Rao</v>
      </c>
      <c r="B110" s="26" t="str">
        <f>_xlfn.CONCAT(LEFT(A110,3),RIGHT(Sales_Data!B110,3),LEFT(Sales_Data!I110,2))</f>
        <v>Arj007Ja</v>
      </c>
      <c r="C110" s="26" t="str">
        <f>IF(COUNTIF(Sales_Data!T110, "*@*"), LOWER(TRIM(Sales_Data!T110)), "Invalid Email")</f>
        <v>arjun.rao@company.com</v>
      </c>
    </row>
    <row r="111" spans="1:3" x14ac:dyDescent="0.3">
      <c r="A111" s="26" t="str">
        <f>TRIM(PROPER(Sales_Data!F111))</f>
        <v>Vikas Mehta</v>
      </c>
      <c r="B111" s="26" t="str">
        <f>_xlfn.CONCAT(LEFT(A111,3),RIGHT(Sales_Data!B111,3),LEFT(Sales_Data!I111,2))</f>
        <v>Vik005Be</v>
      </c>
      <c r="C111" s="26" t="str">
        <f>IF(COUNTIF(Sales_Data!T111, "*@*"), LOWER(TRIM(Sales_Data!T111)), "Invalid Email")</f>
        <v>vikas.mehta@company.com</v>
      </c>
    </row>
    <row r="112" spans="1:3" x14ac:dyDescent="0.3">
      <c r="A112" s="26" t="str">
        <f>TRIM(PROPER(Sales_Data!F112))</f>
        <v>Rohit Singh</v>
      </c>
      <c r="B112" s="26" t="str">
        <f>_xlfn.CONCAT(LEFT(A112,3),RIGHT(Sales_Data!B112,3),LEFT(Sales_Data!I112,2))</f>
        <v>Roh003Hy</v>
      </c>
      <c r="C112" s="26" t="str">
        <f>IF(COUNTIF(Sales_Data!T112, "*@*"), LOWER(TRIM(Sales_Data!T112)), "Invalid Email")</f>
        <v>rohit.singh@company.com</v>
      </c>
    </row>
    <row r="113" spans="1:3" x14ac:dyDescent="0.3">
      <c r="A113" s="26" t="str">
        <f>TRIM(PROPER(Sales_Data!F113))</f>
        <v>Rohit Singh</v>
      </c>
      <c r="B113" s="26" t="str">
        <f>_xlfn.CONCAT(LEFT(A113,3),RIGHT(Sales_Data!B113,3),LEFT(Sales_Data!I113,2))</f>
        <v>Roh003Ko</v>
      </c>
      <c r="C113" s="26" t="str">
        <f>IF(COUNTIF(Sales_Data!T113, "*@*"), LOWER(TRIM(Sales_Data!T113)), "Invalid Email")</f>
        <v>rohit.singh@company.com</v>
      </c>
    </row>
    <row r="114" spans="1:3" x14ac:dyDescent="0.3">
      <c r="A114" s="26" t="str">
        <f>TRIM(PROPER(Sales_Data!F114))</f>
        <v>Pooja Shah</v>
      </c>
      <c r="B114" s="26" t="str">
        <f>_xlfn.CONCAT(LEFT(A114,3),RIGHT(Sales_Data!B114,3),LEFT(Sales_Data!I114,2))</f>
        <v>Poo010Hy</v>
      </c>
      <c r="C114" s="26" t="str">
        <f>IF(COUNTIF(Sales_Data!T114, "*@*"), LOWER(TRIM(Sales_Data!T114)), "Invalid Email")</f>
        <v>pooja.shah@company.com</v>
      </c>
    </row>
    <row r="115" spans="1:3" x14ac:dyDescent="0.3">
      <c r="A115" s="26" t="str">
        <f>TRIM(PROPER(Sales_Data!F115))</f>
        <v>Vikas Mehta</v>
      </c>
      <c r="B115" s="26" t="str">
        <f>_xlfn.CONCAT(LEFT(A115,3),RIGHT(Sales_Data!B115,3),LEFT(Sales_Data!I115,2))</f>
        <v>Vik005Pu</v>
      </c>
      <c r="C115" s="26" t="str">
        <f>IF(COUNTIF(Sales_Data!T115, "*@*"), LOWER(TRIM(Sales_Data!T115)), "Invalid Email")</f>
        <v>vikas.mehta@company.com</v>
      </c>
    </row>
    <row r="116" spans="1:3" x14ac:dyDescent="0.3">
      <c r="A116" s="26" t="str">
        <f>TRIM(PROPER(Sales_Data!F116))</f>
        <v>Pooja Shah</v>
      </c>
      <c r="B116" s="26" t="str">
        <f>_xlfn.CONCAT(LEFT(A116,3),RIGHT(Sales_Data!B116,3),LEFT(Sales_Data!I116,2))</f>
        <v>Poo010Ko</v>
      </c>
      <c r="C116" s="26" t="str">
        <f>IF(COUNTIF(Sales_Data!T116, "*@*"), LOWER(TRIM(Sales_Data!T116)), "Invalid Email")</f>
        <v>pooja.shah@company.com</v>
      </c>
    </row>
    <row r="117" spans="1:3" x14ac:dyDescent="0.3">
      <c r="A117" s="26" t="str">
        <f>TRIM(PROPER(Sales_Data!F117))</f>
        <v>Anita Gupta</v>
      </c>
      <c r="B117" s="26" t="str">
        <f>_xlfn.CONCAT(LEFT(A117,3),RIGHT(Sales_Data!B117,3),LEFT(Sales_Data!I117,2))</f>
        <v>Ani004De</v>
      </c>
      <c r="C117" s="26" t="str">
        <f>IF(COUNTIF(Sales_Data!T117, "*@*"), LOWER(TRIM(Sales_Data!T117)), "Invalid Email")</f>
        <v>anita.gupta@company.com</v>
      </c>
    </row>
    <row r="118" spans="1:3" x14ac:dyDescent="0.3">
      <c r="A118" s="26" t="str">
        <f>TRIM(PROPER(Sales_Data!F118))</f>
        <v>Priya Patel</v>
      </c>
      <c r="B118" s="26" t="str">
        <f>_xlfn.CONCAT(LEFT(A118,3),RIGHT(Sales_Data!B118,3),LEFT(Sales_Data!I118,2))</f>
        <v>Pri002Be</v>
      </c>
      <c r="C118" s="26" t="str">
        <f>IF(COUNTIF(Sales_Data!T118, "*@*"), LOWER(TRIM(Sales_Data!T118)), "Invalid Email")</f>
        <v>priya.patel@company.com</v>
      </c>
    </row>
    <row r="119" spans="1:3" x14ac:dyDescent="0.3">
      <c r="A119" s="26" t="str">
        <f>TRIM(PROPER(Sales_Data!F119))</f>
        <v>Amit Sharma</v>
      </c>
      <c r="B119" s="26" t="str">
        <f>_xlfn.CONCAT(LEFT(A119,3),RIGHT(Sales_Data!B119,3),LEFT(Sales_Data!I119,2))</f>
        <v>Ami001Pu</v>
      </c>
      <c r="C119" s="26" t="str">
        <f>IF(COUNTIF(Sales_Data!T119, "*@*"), LOWER(TRIM(Sales_Data!T119)), "Invalid Email")</f>
        <v>amit.sharma@company.com</v>
      </c>
    </row>
    <row r="120" spans="1:3" x14ac:dyDescent="0.3">
      <c r="A120" s="26" t="str">
        <f>TRIM(PROPER(Sales_Data!F120))</f>
        <v>Mohit Verma</v>
      </c>
      <c r="B120" s="26" t="str">
        <f>_xlfn.CONCAT(LEFT(A120,3),RIGHT(Sales_Data!B120,3),LEFT(Sales_Data!I120,2))</f>
        <v>Moh009Ah</v>
      </c>
      <c r="C120" s="26" t="str">
        <f>IF(COUNTIF(Sales_Data!T120, "*@*"), LOWER(TRIM(Sales_Data!T120)), "Invalid Email")</f>
        <v>mohit.verma@company.com</v>
      </c>
    </row>
    <row r="121" spans="1:3" x14ac:dyDescent="0.3">
      <c r="A121" s="26" t="str">
        <f>TRIM(PROPER(Sales_Data!F121))</f>
        <v>Priya Patel</v>
      </c>
      <c r="B121" s="26" t="str">
        <f>_xlfn.CONCAT(LEFT(A121,3),RIGHT(Sales_Data!B121,3),LEFT(Sales_Data!I121,2))</f>
        <v>Pri002Ja</v>
      </c>
      <c r="C121" s="26" t="str">
        <f>IF(COUNTIF(Sales_Data!T121, "*@*"), LOWER(TRIM(Sales_Data!T121)), "Invalid Email")</f>
        <v>priya.patel@company.com</v>
      </c>
    </row>
    <row r="122" spans="1:3" x14ac:dyDescent="0.3">
      <c r="A122" s="26" t="str">
        <f>TRIM(PROPER(Sales_Data!F122))</f>
        <v>Rohit Singh</v>
      </c>
      <c r="B122" s="26" t="str">
        <f>_xlfn.CONCAT(LEFT(A122,3),RIGHT(Sales_Data!B122,3),LEFT(Sales_Data!I122,2))</f>
        <v>Roh003Pu</v>
      </c>
      <c r="C122" s="26" t="str">
        <f>IF(COUNTIF(Sales_Data!T122, "*@*"), LOWER(TRIM(Sales_Data!T122)), "Invalid Email")</f>
        <v>rohit.singh@company.com</v>
      </c>
    </row>
    <row r="123" spans="1:3" x14ac:dyDescent="0.3">
      <c r="A123" s="26" t="str">
        <f>TRIM(PROPER(Sales_Data!F123))</f>
        <v>Arjun Rao</v>
      </c>
      <c r="B123" s="26" t="str">
        <f>_xlfn.CONCAT(LEFT(A123,3),RIGHT(Sales_Data!B123,3),LEFT(Sales_Data!I123,2))</f>
        <v>Arj007Be</v>
      </c>
      <c r="C123" s="26" t="str">
        <f>IF(COUNTIF(Sales_Data!T123, "*@*"), LOWER(TRIM(Sales_Data!T123)), "Invalid Email")</f>
        <v>arjun.rao@company.com</v>
      </c>
    </row>
    <row r="124" spans="1:3" x14ac:dyDescent="0.3">
      <c r="A124" s="26" t="str">
        <f>TRIM(PROPER(Sales_Data!F124))</f>
        <v>Amit Sharma</v>
      </c>
      <c r="B124" s="26" t="str">
        <f>_xlfn.CONCAT(LEFT(A124,3),RIGHT(Sales_Data!B124,3),LEFT(Sales_Data!I124,2))</f>
        <v>Ami001Ja</v>
      </c>
      <c r="C124" s="26" t="str">
        <f>IF(COUNTIF(Sales_Data!T124, "*@*"), LOWER(TRIM(Sales_Data!T124)), "Invalid Email")</f>
        <v>amit.sharma@company.com</v>
      </c>
    </row>
    <row r="125" spans="1:3" x14ac:dyDescent="0.3">
      <c r="A125" s="26" t="str">
        <f>TRIM(PROPER(Sales_Data!F125))</f>
        <v>Anita Gupta</v>
      </c>
      <c r="B125" s="26" t="str">
        <f>_xlfn.CONCAT(LEFT(A125,3),RIGHT(Sales_Data!B125,3),LEFT(Sales_Data!I125,2))</f>
        <v>Ani004Mu</v>
      </c>
      <c r="C125" s="26" t="str">
        <f>IF(COUNTIF(Sales_Data!T125, "*@*"), LOWER(TRIM(Sales_Data!T125)), "Invalid Email")</f>
        <v>anita.gupta@company.com</v>
      </c>
    </row>
    <row r="126" spans="1:3" x14ac:dyDescent="0.3">
      <c r="A126" s="26" t="str">
        <f>TRIM(PROPER(Sales_Data!F126))</f>
        <v>Priya Patel</v>
      </c>
      <c r="B126" s="26" t="str">
        <f>_xlfn.CONCAT(LEFT(A126,3),RIGHT(Sales_Data!B126,3),LEFT(Sales_Data!I126,2))</f>
        <v>Pri002De</v>
      </c>
      <c r="C126" s="26" t="str">
        <f>IF(COUNTIF(Sales_Data!T126, "*@*"), LOWER(TRIM(Sales_Data!T126)), "Invalid Email")</f>
        <v>priya.patel@company.com</v>
      </c>
    </row>
    <row r="127" spans="1:3" x14ac:dyDescent="0.3">
      <c r="A127" s="26" t="str">
        <f>TRIM(PROPER(Sales_Data!F127))</f>
        <v>Anita Gupta</v>
      </c>
      <c r="B127" s="26" t="str">
        <f>_xlfn.CONCAT(LEFT(A127,3),RIGHT(Sales_Data!B127,3),LEFT(Sales_Data!I127,2))</f>
        <v>Ani004Be</v>
      </c>
      <c r="C127" s="26" t="str">
        <f>IF(COUNTIF(Sales_Data!T127, "*@*"), LOWER(TRIM(Sales_Data!T127)), "Invalid Email")</f>
        <v>anita.gupta@company.com</v>
      </c>
    </row>
    <row r="128" spans="1:3" x14ac:dyDescent="0.3">
      <c r="A128" s="26" t="str">
        <f>TRIM(PROPER(Sales_Data!F128))</f>
        <v>Rohit Singh</v>
      </c>
      <c r="B128" s="26" t="str">
        <f>_xlfn.CONCAT(LEFT(A128,3),RIGHT(Sales_Data!B128,3),LEFT(Sales_Data!I128,2))</f>
        <v>Roh003Be</v>
      </c>
      <c r="C128" s="26" t="str">
        <f>IF(COUNTIF(Sales_Data!T128, "*@*"), LOWER(TRIM(Sales_Data!T128)), "Invalid Email")</f>
        <v>rohit.singh@company.com</v>
      </c>
    </row>
    <row r="129" spans="1:3" x14ac:dyDescent="0.3">
      <c r="A129" s="26" t="str">
        <f>TRIM(PROPER(Sales_Data!F129))</f>
        <v>Sneha Joshi</v>
      </c>
      <c r="B129" s="26" t="str">
        <f>_xlfn.CONCAT(LEFT(A129,3),RIGHT(Sales_Data!B129,3),LEFT(Sales_Data!I129,2))</f>
        <v>Sne006Ja</v>
      </c>
      <c r="C129" s="26" t="str">
        <f>IF(COUNTIF(Sales_Data!T129, "*@*"), LOWER(TRIM(Sales_Data!T129)), "Invalid Email")</f>
        <v>sneha.joshi@company.com</v>
      </c>
    </row>
    <row r="130" spans="1:3" x14ac:dyDescent="0.3">
      <c r="A130" s="26" t="str">
        <f>TRIM(PROPER(Sales_Data!F130))</f>
        <v>Priya Patel</v>
      </c>
      <c r="B130" s="26" t="str">
        <f>_xlfn.CONCAT(LEFT(A130,3),RIGHT(Sales_Data!B130,3),LEFT(Sales_Data!I130,2))</f>
        <v>Pri002Be</v>
      </c>
      <c r="C130" s="26" t="str">
        <f>IF(COUNTIF(Sales_Data!T130, "*@*"), LOWER(TRIM(Sales_Data!T130)), "Invalid Email")</f>
        <v>priya.patel@company.com</v>
      </c>
    </row>
    <row r="131" spans="1:3" x14ac:dyDescent="0.3">
      <c r="A131" s="26" t="str">
        <f>TRIM(PROPER(Sales_Data!F131))</f>
        <v>Sneha Joshi</v>
      </c>
      <c r="B131" s="26" t="str">
        <f>_xlfn.CONCAT(LEFT(A131,3),RIGHT(Sales_Data!B131,3),LEFT(Sales_Data!I131,2))</f>
        <v>Sne006Pu</v>
      </c>
      <c r="C131" s="26" t="str">
        <f>IF(COUNTIF(Sales_Data!T131, "*@*"), LOWER(TRIM(Sales_Data!T131)), "Invalid Email")</f>
        <v>sneha.joshi@company.com</v>
      </c>
    </row>
    <row r="132" spans="1:3" x14ac:dyDescent="0.3">
      <c r="A132" s="26" t="str">
        <f>TRIM(PROPER(Sales_Data!F132))</f>
        <v>Anita Gupta</v>
      </c>
      <c r="B132" s="26" t="str">
        <f>_xlfn.CONCAT(LEFT(A132,3),RIGHT(Sales_Data!B132,3),LEFT(Sales_Data!I132,2))</f>
        <v>Ani004Be</v>
      </c>
      <c r="C132" s="26" t="str">
        <f>IF(COUNTIF(Sales_Data!T132, "*@*"), LOWER(TRIM(Sales_Data!T132)), "Invalid Email")</f>
        <v>anita.gupta@company.com</v>
      </c>
    </row>
    <row r="133" spans="1:3" x14ac:dyDescent="0.3">
      <c r="A133" s="26" t="str">
        <f>TRIM(PROPER(Sales_Data!F133))</f>
        <v>Priya Patel</v>
      </c>
      <c r="B133" s="26" t="str">
        <f>_xlfn.CONCAT(LEFT(A133,3),RIGHT(Sales_Data!B133,3),LEFT(Sales_Data!I133,2))</f>
        <v>Pri002De</v>
      </c>
      <c r="C133" s="26" t="str">
        <f>IF(COUNTIF(Sales_Data!T133, "*@*"), LOWER(TRIM(Sales_Data!T133)), "Invalid Email")</f>
        <v>priya.patel@company.com</v>
      </c>
    </row>
    <row r="134" spans="1:3" x14ac:dyDescent="0.3">
      <c r="A134" s="26" t="str">
        <f>TRIM(PROPER(Sales_Data!F134))</f>
        <v>Mohit Verma</v>
      </c>
      <c r="B134" s="26" t="str">
        <f>_xlfn.CONCAT(LEFT(A134,3),RIGHT(Sales_Data!B134,3),LEFT(Sales_Data!I134,2))</f>
        <v>Moh009Pu</v>
      </c>
      <c r="C134" s="26" t="str">
        <f>IF(COUNTIF(Sales_Data!T134, "*@*"), LOWER(TRIM(Sales_Data!T134)), "Invalid Email")</f>
        <v>mohit.verma@company.com</v>
      </c>
    </row>
    <row r="135" spans="1:3" x14ac:dyDescent="0.3">
      <c r="A135" s="26" t="str">
        <f>TRIM(PROPER(Sales_Data!F135))</f>
        <v>Mohit Verma</v>
      </c>
      <c r="B135" s="26" t="str">
        <f>_xlfn.CONCAT(LEFT(A135,3),RIGHT(Sales_Data!B135,3),LEFT(Sales_Data!I135,2))</f>
        <v>Moh009Hy</v>
      </c>
      <c r="C135" s="26" t="str">
        <f>IF(COUNTIF(Sales_Data!T135, "*@*"), LOWER(TRIM(Sales_Data!T135)), "Invalid Email")</f>
        <v>mohit.verma@company.com</v>
      </c>
    </row>
    <row r="136" spans="1:3" x14ac:dyDescent="0.3">
      <c r="A136" s="26" t="str">
        <f>TRIM(PROPER(Sales_Data!F136))</f>
        <v>Pooja Shah</v>
      </c>
      <c r="B136" s="26" t="str">
        <f>_xlfn.CONCAT(LEFT(A136,3),RIGHT(Sales_Data!B136,3),LEFT(Sales_Data!I136,2))</f>
        <v>Poo010De</v>
      </c>
      <c r="C136" s="26" t="str">
        <f>IF(COUNTIF(Sales_Data!T136, "*@*"), LOWER(TRIM(Sales_Data!T136)), "Invalid Email")</f>
        <v>pooja.shah@company.com</v>
      </c>
    </row>
    <row r="137" spans="1:3" x14ac:dyDescent="0.3">
      <c r="A137" s="26" t="str">
        <f>TRIM(PROPER(Sales_Data!F137))</f>
        <v>Mohit Verma</v>
      </c>
      <c r="B137" s="26" t="str">
        <f>_xlfn.CONCAT(LEFT(A137,3),RIGHT(Sales_Data!B137,3),LEFT(Sales_Data!I137,2))</f>
        <v>Moh009Hy</v>
      </c>
      <c r="C137" s="26" t="str">
        <f>IF(COUNTIF(Sales_Data!T137, "*@*"), LOWER(TRIM(Sales_Data!T137)), "Invalid Email")</f>
        <v>mohit.verma@company.com</v>
      </c>
    </row>
    <row r="138" spans="1:3" x14ac:dyDescent="0.3">
      <c r="A138" s="26" t="str">
        <f>TRIM(PROPER(Sales_Data!F138))</f>
        <v>Kavya Nair</v>
      </c>
      <c r="B138" s="26" t="str">
        <f>_xlfn.CONCAT(LEFT(A138,3),RIGHT(Sales_Data!B138,3),LEFT(Sales_Data!I138,2))</f>
        <v>Kav008Be</v>
      </c>
      <c r="C138" s="26" t="str">
        <f>IF(COUNTIF(Sales_Data!T138, "*@*"), LOWER(TRIM(Sales_Data!T138)), "Invalid Email")</f>
        <v>kavya.nair@company.com</v>
      </c>
    </row>
    <row r="139" spans="1:3" x14ac:dyDescent="0.3">
      <c r="A139" s="26" t="str">
        <f>TRIM(PROPER(Sales_Data!F139))</f>
        <v>Amit Sharma</v>
      </c>
      <c r="B139" s="26" t="str">
        <f>_xlfn.CONCAT(LEFT(A139,3),RIGHT(Sales_Data!B139,3),LEFT(Sales_Data!I139,2))</f>
        <v>Ami001Ah</v>
      </c>
      <c r="C139" s="26" t="str">
        <f>IF(COUNTIF(Sales_Data!T139, "*@*"), LOWER(TRIM(Sales_Data!T139)), "Invalid Email")</f>
        <v>amit.sharma@company.com</v>
      </c>
    </row>
    <row r="140" spans="1:3" x14ac:dyDescent="0.3">
      <c r="A140" s="26" t="str">
        <f>TRIM(PROPER(Sales_Data!F140))</f>
        <v>Vikas Mehta</v>
      </c>
      <c r="B140" s="26" t="str">
        <f>_xlfn.CONCAT(LEFT(A140,3),RIGHT(Sales_Data!B140,3),LEFT(Sales_Data!I140,2))</f>
        <v>Vik005De</v>
      </c>
      <c r="C140" s="26" t="str">
        <f>IF(COUNTIF(Sales_Data!T140, "*@*"), LOWER(TRIM(Sales_Data!T140)), "Invalid Email")</f>
        <v>vikas.mehta@company.com</v>
      </c>
    </row>
    <row r="141" spans="1:3" x14ac:dyDescent="0.3">
      <c r="A141" s="26" t="str">
        <f>TRIM(PROPER(Sales_Data!F141))</f>
        <v>Arjun Rao</v>
      </c>
      <c r="B141" s="26" t="str">
        <f>_xlfn.CONCAT(LEFT(A141,3),RIGHT(Sales_Data!B141,3),LEFT(Sales_Data!I141,2))</f>
        <v>Arj007Ah</v>
      </c>
      <c r="C141" s="26" t="str">
        <f>IF(COUNTIF(Sales_Data!T141, "*@*"), LOWER(TRIM(Sales_Data!T141)), "Invalid Email")</f>
        <v>arjun.rao@company.com</v>
      </c>
    </row>
    <row r="142" spans="1:3" x14ac:dyDescent="0.3">
      <c r="A142" s="26" t="str">
        <f>TRIM(PROPER(Sales_Data!F142))</f>
        <v>Pooja Shah</v>
      </c>
      <c r="B142" s="26" t="str">
        <f>_xlfn.CONCAT(LEFT(A142,3),RIGHT(Sales_Data!B142,3),LEFT(Sales_Data!I142,2))</f>
        <v>Poo010Pu</v>
      </c>
      <c r="C142" s="26" t="str">
        <f>IF(COUNTIF(Sales_Data!T142, "*@*"), LOWER(TRIM(Sales_Data!T142)), "Invalid Email")</f>
        <v>pooja.shah@company.com</v>
      </c>
    </row>
    <row r="143" spans="1:3" x14ac:dyDescent="0.3">
      <c r="A143" s="26" t="str">
        <f>TRIM(PROPER(Sales_Data!F143))</f>
        <v>Arjun Rao</v>
      </c>
      <c r="B143" s="26" t="str">
        <f>_xlfn.CONCAT(LEFT(A143,3),RIGHT(Sales_Data!B143,3),LEFT(Sales_Data!I143,2))</f>
        <v>Arj007Pu</v>
      </c>
      <c r="C143" s="26" t="str">
        <f>IF(COUNTIF(Sales_Data!T143, "*@*"), LOWER(TRIM(Sales_Data!T143)), "Invalid Email")</f>
        <v>arjun.rao@company.com</v>
      </c>
    </row>
    <row r="144" spans="1:3" x14ac:dyDescent="0.3">
      <c r="A144" s="26" t="str">
        <f>TRIM(PROPER(Sales_Data!F144))</f>
        <v>Arjun Rao</v>
      </c>
      <c r="B144" s="26" t="str">
        <f>_xlfn.CONCAT(LEFT(A144,3),RIGHT(Sales_Data!B144,3),LEFT(Sales_Data!I144,2))</f>
        <v>Arj007Pu</v>
      </c>
      <c r="C144" s="26" t="str">
        <f>IF(COUNTIF(Sales_Data!T144, "*@*"), LOWER(TRIM(Sales_Data!T144)), "Invalid Email")</f>
        <v>arjun.rao@company.com</v>
      </c>
    </row>
    <row r="145" spans="1:3" x14ac:dyDescent="0.3">
      <c r="A145" s="26" t="str">
        <f>TRIM(PROPER(Sales_Data!F145))</f>
        <v>Vikas Mehta</v>
      </c>
      <c r="B145" s="26" t="str">
        <f>_xlfn.CONCAT(LEFT(A145,3),RIGHT(Sales_Data!B145,3),LEFT(Sales_Data!I145,2))</f>
        <v>Vik005Hy</v>
      </c>
      <c r="C145" s="26" t="str">
        <f>IF(COUNTIF(Sales_Data!T145, "*@*"), LOWER(TRIM(Sales_Data!T145)), "Invalid Email")</f>
        <v>vikas.mehta@company.com</v>
      </c>
    </row>
    <row r="146" spans="1:3" x14ac:dyDescent="0.3">
      <c r="A146" s="26" t="str">
        <f>TRIM(PROPER(Sales_Data!F146))</f>
        <v>Pooja Shah</v>
      </c>
      <c r="B146" s="26" t="str">
        <f>_xlfn.CONCAT(LEFT(A146,3),RIGHT(Sales_Data!B146,3),LEFT(Sales_Data!I146,2))</f>
        <v>Poo010Mu</v>
      </c>
      <c r="C146" s="26" t="str">
        <f>IF(COUNTIF(Sales_Data!T146, "*@*"), LOWER(TRIM(Sales_Data!T146)), "Invalid Email")</f>
        <v>pooja.shah@company.com</v>
      </c>
    </row>
    <row r="147" spans="1:3" x14ac:dyDescent="0.3">
      <c r="A147" s="26" t="str">
        <f>TRIM(PROPER(Sales_Data!F147))</f>
        <v>Mohit Verma</v>
      </c>
      <c r="B147" s="26" t="str">
        <f>_xlfn.CONCAT(LEFT(A147,3),RIGHT(Sales_Data!B147,3),LEFT(Sales_Data!I147,2))</f>
        <v>Moh009De</v>
      </c>
      <c r="C147" s="26" t="str">
        <f>IF(COUNTIF(Sales_Data!T147, "*@*"), LOWER(TRIM(Sales_Data!T147)), "Invalid Email")</f>
        <v>mohit.verma@company.com</v>
      </c>
    </row>
    <row r="148" spans="1:3" x14ac:dyDescent="0.3">
      <c r="A148" s="26" t="str">
        <f>TRIM(PROPER(Sales_Data!F148))</f>
        <v>Rohit Singh</v>
      </c>
      <c r="B148" s="26" t="str">
        <f>_xlfn.CONCAT(LEFT(A148,3),RIGHT(Sales_Data!B148,3),LEFT(Sales_Data!I148,2))</f>
        <v>Roh003Pu</v>
      </c>
      <c r="C148" s="26" t="str">
        <f>IF(COUNTIF(Sales_Data!T148, "*@*"), LOWER(TRIM(Sales_Data!T148)), "Invalid Email")</f>
        <v>rohit.singh@company.com</v>
      </c>
    </row>
    <row r="149" spans="1:3" x14ac:dyDescent="0.3">
      <c r="A149" s="26" t="str">
        <f>TRIM(PROPER(Sales_Data!F149))</f>
        <v>Sneha Joshi</v>
      </c>
      <c r="B149" s="26" t="str">
        <f>_xlfn.CONCAT(LEFT(A149,3),RIGHT(Sales_Data!B149,3),LEFT(Sales_Data!I149,2))</f>
        <v>Sne006Ko</v>
      </c>
      <c r="C149" s="26" t="str">
        <f>IF(COUNTIF(Sales_Data!T149, "*@*"), LOWER(TRIM(Sales_Data!T149)), "Invalid Email")</f>
        <v>sneha.joshi@company.com</v>
      </c>
    </row>
    <row r="150" spans="1:3" x14ac:dyDescent="0.3">
      <c r="A150" s="26" t="str">
        <f>TRIM(PROPER(Sales_Data!F150))</f>
        <v>Priya Patel</v>
      </c>
      <c r="B150" s="26" t="str">
        <f>_xlfn.CONCAT(LEFT(A150,3),RIGHT(Sales_Data!B150,3),LEFT(Sales_Data!I150,2))</f>
        <v>Pri002Ja</v>
      </c>
      <c r="C150" s="26" t="str">
        <f>IF(COUNTIF(Sales_Data!T150, "*@*"), LOWER(TRIM(Sales_Data!T150)), "Invalid Email")</f>
        <v>priya.patel@company.com</v>
      </c>
    </row>
    <row r="151" spans="1:3" x14ac:dyDescent="0.3">
      <c r="A151" s="26" t="str">
        <f>TRIM(PROPER(Sales_Data!F151))</f>
        <v>Rohit Singh</v>
      </c>
      <c r="B151" s="26" t="str">
        <f>_xlfn.CONCAT(LEFT(A151,3),RIGHT(Sales_Data!B151,3),LEFT(Sales_Data!I151,2))</f>
        <v>Roh003Pu</v>
      </c>
      <c r="C151" s="26" t="str">
        <f>IF(COUNTIF(Sales_Data!T151, "*@*"), LOWER(TRIM(Sales_Data!T151)), "Invalid Email")</f>
        <v>rohit.singh@company.com</v>
      </c>
    </row>
    <row r="152" spans="1:3" x14ac:dyDescent="0.3">
      <c r="A152" s="26" t="str">
        <f>TRIM(PROPER(Sales_Data!F152))</f>
        <v>Pooja Shah</v>
      </c>
      <c r="B152" s="26" t="str">
        <f>_xlfn.CONCAT(LEFT(A152,3),RIGHT(Sales_Data!B152,3),LEFT(Sales_Data!I152,2))</f>
        <v>Poo010De</v>
      </c>
      <c r="C152" s="26" t="str">
        <f>IF(COUNTIF(Sales_Data!T152, "*@*"), LOWER(TRIM(Sales_Data!T152)), "Invalid Email")</f>
        <v>pooja.shah@company.com</v>
      </c>
    </row>
    <row r="153" spans="1:3" x14ac:dyDescent="0.3">
      <c r="A153" s="26" t="str">
        <f>TRIM(PROPER(Sales_Data!F153))</f>
        <v>Kavya Nair</v>
      </c>
      <c r="B153" s="26" t="str">
        <f>_xlfn.CONCAT(LEFT(A153,3),RIGHT(Sales_Data!B153,3),LEFT(Sales_Data!I153,2))</f>
        <v>Kav008Be</v>
      </c>
      <c r="C153" s="26" t="str">
        <f>IF(COUNTIF(Sales_Data!T153, "*@*"), LOWER(TRIM(Sales_Data!T153)), "Invalid Email")</f>
        <v>kavya.nair@company.com</v>
      </c>
    </row>
    <row r="154" spans="1:3" x14ac:dyDescent="0.3">
      <c r="A154" s="26" t="str">
        <f>TRIM(PROPER(Sales_Data!F154))</f>
        <v>Priya Patel</v>
      </c>
      <c r="B154" s="26" t="str">
        <f>_xlfn.CONCAT(LEFT(A154,3),RIGHT(Sales_Data!B154,3),LEFT(Sales_Data!I154,2))</f>
        <v>Pri002Pu</v>
      </c>
      <c r="C154" s="26" t="str">
        <f>IF(COUNTIF(Sales_Data!T154, "*@*"), LOWER(TRIM(Sales_Data!T154)), "Invalid Email")</f>
        <v>priya.patel@company.com</v>
      </c>
    </row>
    <row r="155" spans="1:3" x14ac:dyDescent="0.3">
      <c r="A155" s="26" t="str">
        <f>TRIM(PROPER(Sales_Data!F155))</f>
        <v>Vikas Mehta</v>
      </c>
      <c r="B155" s="26" t="str">
        <f>_xlfn.CONCAT(LEFT(A155,3),RIGHT(Sales_Data!B155,3),LEFT(Sales_Data!I155,2))</f>
        <v>Vik005Pu</v>
      </c>
      <c r="C155" s="26" t="str">
        <f>IF(COUNTIF(Sales_Data!T155, "*@*"), LOWER(TRIM(Sales_Data!T155)), "Invalid Email")</f>
        <v>vikas.mehta@company.com</v>
      </c>
    </row>
    <row r="156" spans="1:3" x14ac:dyDescent="0.3">
      <c r="A156" s="26" t="str">
        <f>TRIM(PROPER(Sales_Data!F156))</f>
        <v>Kavya Nair</v>
      </c>
      <c r="B156" s="26" t="str">
        <f>_xlfn.CONCAT(LEFT(A156,3),RIGHT(Sales_Data!B156,3),LEFT(Sales_Data!I156,2))</f>
        <v>Kav008De</v>
      </c>
      <c r="C156" s="26" t="str">
        <f>IF(COUNTIF(Sales_Data!T156, "*@*"), LOWER(TRIM(Sales_Data!T156)), "Invalid Email")</f>
        <v>kavya.nair@company.com</v>
      </c>
    </row>
    <row r="157" spans="1:3" x14ac:dyDescent="0.3">
      <c r="A157" s="26" t="str">
        <f>TRIM(PROPER(Sales_Data!F157))</f>
        <v>Pooja Shah</v>
      </c>
      <c r="B157" s="26" t="str">
        <f>_xlfn.CONCAT(LEFT(A157,3),RIGHT(Sales_Data!B157,3),LEFT(Sales_Data!I157,2))</f>
        <v>Poo010Hy</v>
      </c>
      <c r="C157" s="26" t="str">
        <f>IF(COUNTIF(Sales_Data!T157, "*@*"), LOWER(TRIM(Sales_Data!T157)), "Invalid Email")</f>
        <v>pooja.shah@company.com</v>
      </c>
    </row>
    <row r="158" spans="1:3" x14ac:dyDescent="0.3">
      <c r="A158" s="26" t="str">
        <f>TRIM(PROPER(Sales_Data!F158))</f>
        <v>Vikas Mehta</v>
      </c>
      <c r="B158" s="26" t="str">
        <f>_xlfn.CONCAT(LEFT(A158,3),RIGHT(Sales_Data!B158,3),LEFT(Sales_Data!I158,2))</f>
        <v>Vik005Ko</v>
      </c>
      <c r="C158" s="26" t="str">
        <f>IF(COUNTIF(Sales_Data!T158, "*@*"), LOWER(TRIM(Sales_Data!T158)), "Invalid Email")</f>
        <v>vikas.mehta@company.com</v>
      </c>
    </row>
    <row r="159" spans="1:3" x14ac:dyDescent="0.3">
      <c r="A159" s="26" t="str">
        <f>TRIM(PROPER(Sales_Data!F159))</f>
        <v>Amit Sharma</v>
      </c>
      <c r="B159" s="26" t="str">
        <f>_xlfn.CONCAT(LEFT(A159,3),RIGHT(Sales_Data!B159,3),LEFT(Sales_Data!I159,2))</f>
        <v>Ami001Hy</v>
      </c>
      <c r="C159" s="26" t="str">
        <f>IF(COUNTIF(Sales_Data!T159, "*@*"), LOWER(TRIM(Sales_Data!T159)), "Invalid Email")</f>
        <v>amit.sharma@company.com</v>
      </c>
    </row>
    <row r="160" spans="1:3" x14ac:dyDescent="0.3">
      <c r="A160" s="26" t="str">
        <f>TRIM(PROPER(Sales_Data!F160))</f>
        <v>Mohit Verma</v>
      </c>
      <c r="B160" s="26" t="str">
        <f>_xlfn.CONCAT(LEFT(A160,3),RIGHT(Sales_Data!B160,3),LEFT(Sales_Data!I160,2))</f>
        <v>Moh009De</v>
      </c>
      <c r="C160" s="26" t="str">
        <f>IF(COUNTIF(Sales_Data!T160, "*@*"), LOWER(TRIM(Sales_Data!T160)), "Invalid Email")</f>
        <v>mohit.verma@company.com</v>
      </c>
    </row>
    <row r="161" spans="1:3" x14ac:dyDescent="0.3">
      <c r="A161" s="26" t="str">
        <f>TRIM(PROPER(Sales_Data!F161))</f>
        <v>Vikas Mehta</v>
      </c>
      <c r="B161" s="26" t="str">
        <f>_xlfn.CONCAT(LEFT(A161,3),RIGHT(Sales_Data!B161,3),LEFT(Sales_Data!I161,2))</f>
        <v>Vik005Ja</v>
      </c>
      <c r="C161" s="26" t="str">
        <f>IF(COUNTIF(Sales_Data!T161, "*@*"), LOWER(TRIM(Sales_Data!T161)), "Invalid Email")</f>
        <v>vikas.mehta@company.com</v>
      </c>
    </row>
    <row r="162" spans="1:3" x14ac:dyDescent="0.3">
      <c r="A162" s="26" t="str">
        <f>TRIM(PROPER(Sales_Data!F162))</f>
        <v>Amit Sharma</v>
      </c>
      <c r="B162" s="26" t="str">
        <f>_xlfn.CONCAT(LEFT(A162,3),RIGHT(Sales_Data!B162,3),LEFT(Sales_Data!I162,2))</f>
        <v>Ami001De</v>
      </c>
      <c r="C162" s="26" t="str">
        <f>IF(COUNTIF(Sales_Data!T162, "*@*"), LOWER(TRIM(Sales_Data!T162)), "Invalid Email")</f>
        <v>amit.sharma@company.com</v>
      </c>
    </row>
    <row r="163" spans="1:3" x14ac:dyDescent="0.3">
      <c r="A163" s="26" t="str">
        <f>TRIM(PROPER(Sales_Data!F163))</f>
        <v>Anita Gupta</v>
      </c>
      <c r="B163" s="26" t="str">
        <f>_xlfn.CONCAT(LEFT(A163,3),RIGHT(Sales_Data!B163,3),LEFT(Sales_Data!I163,2))</f>
        <v>Ani004Ko</v>
      </c>
      <c r="C163" s="26" t="str">
        <f>IF(COUNTIF(Sales_Data!T163, "*@*"), LOWER(TRIM(Sales_Data!T163)), "Invalid Email")</f>
        <v>anita.gupta@company.com</v>
      </c>
    </row>
    <row r="164" spans="1:3" x14ac:dyDescent="0.3">
      <c r="A164" s="26" t="str">
        <f>TRIM(PROPER(Sales_Data!F164))</f>
        <v>Anita Gupta</v>
      </c>
      <c r="B164" s="26" t="str">
        <f>_xlfn.CONCAT(LEFT(A164,3),RIGHT(Sales_Data!B164,3),LEFT(Sales_Data!I164,2))</f>
        <v>Ani004Pu</v>
      </c>
      <c r="C164" s="26" t="str">
        <f>IF(COUNTIF(Sales_Data!T164, "*@*"), LOWER(TRIM(Sales_Data!T164)), "Invalid Email")</f>
        <v>anita.gupta@company.com</v>
      </c>
    </row>
    <row r="165" spans="1:3" x14ac:dyDescent="0.3">
      <c r="A165" s="26" t="str">
        <f>TRIM(PROPER(Sales_Data!F165))</f>
        <v>Amit Sharma</v>
      </c>
      <c r="B165" s="26" t="str">
        <f>_xlfn.CONCAT(LEFT(A165,3),RIGHT(Sales_Data!B165,3),LEFT(Sales_Data!I165,2))</f>
        <v>Ami001Ja</v>
      </c>
      <c r="C165" s="26" t="str">
        <f>IF(COUNTIF(Sales_Data!T165, "*@*"), LOWER(TRIM(Sales_Data!T165)), "Invalid Email")</f>
        <v>amit.sharma@company.com</v>
      </c>
    </row>
    <row r="166" spans="1:3" x14ac:dyDescent="0.3">
      <c r="A166" s="26" t="str">
        <f>TRIM(PROPER(Sales_Data!F166))</f>
        <v>Anita Gupta</v>
      </c>
      <c r="B166" s="26" t="str">
        <f>_xlfn.CONCAT(LEFT(A166,3),RIGHT(Sales_Data!B166,3),LEFT(Sales_Data!I166,2))</f>
        <v>Ani004Pu</v>
      </c>
      <c r="C166" s="26" t="str">
        <f>IF(COUNTIF(Sales_Data!T166, "*@*"), LOWER(TRIM(Sales_Data!T166)), "Invalid Email")</f>
        <v>anita.gupta@company.com</v>
      </c>
    </row>
    <row r="167" spans="1:3" x14ac:dyDescent="0.3">
      <c r="A167" s="26" t="str">
        <f>TRIM(PROPER(Sales_Data!F167))</f>
        <v>Anita Gupta</v>
      </c>
      <c r="B167" s="26" t="str">
        <f>_xlfn.CONCAT(LEFT(A167,3),RIGHT(Sales_Data!B167,3),LEFT(Sales_Data!I167,2))</f>
        <v>Ani004Ah</v>
      </c>
      <c r="C167" s="26" t="str">
        <f>IF(COUNTIF(Sales_Data!T167, "*@*"), LOWER(TRIM(Sales_Data!T167)), "Invalid Email")</f>
        <v>anita.gupta@company.com</v>
      </c>
    </row>
    <row r="168" spans="1:3" x14ac:dyDescent="0.3">
      <c r="A168" s="26" t="str">
        <f>TRIM(PROPER(Sales_Data!F168))</f>
        <v>Rohit Singh</v>
      </c>
      <c r="B168" s="26" t="str">
        <f>_xlfn.CONCAT(LEFT(A168,3),RIGHT(Sales_Data!B168,3),LEFT(Sales_Data!I168,2))</f>
        <v>Roh003Ko</v>
      </c>
      <c r="C168" s="26" t="str">
        <f>IF(COUNTIF(Sales_Data!T168, "*@*"), LOWER(TRIM(Sales_Data!T168)), "Invalid Email")</f>
        <v>rohit.singh@company.com</v>
      </c>
    </row>
    <row r="169" spans="1:3" x14ac:dyDescent="0.3">
      <c r="A169" s="26" t="str">
        <f>TRIM(PROPER(Sales_Data!F169))</f>
        <v>Amit Sharma</v>
      </c>
      <c r="B169" s="26" t="str">
        <f>_xlfn.CONCAT(LEFT(A169,3),RIGHT(Sales_Data!B169,3),LEFT(Sales_Data!I169,2))</f>
        <v>Ami001Be</v>
      </c>
      <c r="C169" s="26" t="str">
        <f>IF(COUNTIF(Sales_Data!T169, "*@*"), LOWER(TRIM(Sales_Data!T169)), "Invalid Email")</f>
        <v>amit.sharma@company.com</v>
      </c>
    </row>
    <row r="170" spans="1:3" x14ac:dyDescent="0.3">
      <c r="A170" s="26" t="str">
        <f>TRIM(PROPER(Sales_Data!F170))</f>
        <v>Pooja Shah</v>
      </c>
      <c r="B170" s="26" t="str">
        <f>_xlfn.CONCAT(LEFT(A170,3),RIGHT(Sales_Data!B170,3),LEFT(Sales_Data!I170,2))</f>
        <v>Poo010Mu</v>
      </c>
      <c r="C170" s="26" t="str">
        <f>IF(COUNTIF(Sales_Data!T170, "*@*"), LOWER(TRIM(Sales_Data!T170)), "Invalid Email")</f>
        <v>pooja.shah@company.com</v>
      </c>
    </row>
    <row r="171" spans="1:3" x14ac:dyDescent="0.3">
      <c r="A171" s="26" t="str">
        <f>TRIM(PROPER(Sales_Data!F171))</f>
        <v>Sneha Joshi</v>
      </c>
      <c r="B171" s="26" t="str">
        <f>_xlfn.CONCAT(LEFT(A171,3),RIGHT(Sales_Data!B171,3),LEFT(Sales_Data!I171,2))</f>
        <v>Sne006Hy</v>
      </c>
      <c r="C171" s="26" t="str">
        <f>IF(COUNTIF(Sales_Data!T171, "*@*"), LOWER(TRIM(Sales_Data!T171)), "Invalid Email")</f>
        <v>sneha.joshi@company.com</v>
      </c>
    </row>
    <row r="172" spans="1:3" x14ac:dyDescent="0.3">
      <c r="A172" s="26" t="str">
        <f>TRIM(PROPER(Sales_Data!F172))</f>
        <v>Rohit Singh</v>
      </c>
      <c r="B172" s="26" t="str">
        <f>_xlfn.CONCAT(LEFT(A172,3),RIGHT(Sales_Data!B172,3),LEFT(Sales_Data!I172,2))</f>
        <v>Roh003Ah</v>
      </c>
      <c r="C172" s="26" t="str">
        <f>IF(COUNTIF(Sales_Data!T172, "*@*"), LOWER(TRIM(Sales_Data!T172)), "Invalid Email")</f>
        <v>rohit.singh@company.com</v>
      </c>
    </row>
    <row r="173" spans="1:3" x14ac:dyDescent="0.3">
      <c r="A173" s="26" t="str">
        <f>TRIM(PROPER(Sales_Data!F173))</f>
        <v>Vikas Mehta</v>
      </c>
      <c r="B173" s="26" t="str">
        <f>_xlfn.CONCAT(LEFT(A173,3),RIGHT(Sales_Data!B173,3),LEFT(Sales_Data!I173,2))</f>
        <v>Vik005Ah</v>
      </c>
      <c r="C173" s="26" t="str">
        <f>IF(COUNTIF(Sales_Data!T173, "*@*"), LOWER(TRIM(Sales_Data!T173)), "Invalid Email")</f>
        <v>vikas.mehta@company.com</v>
      </c>
    </row>
    <row r="174" spans="1:3" x14ac:dyDescent="0.3">
      <c r="A174" s="26" t="str">
        <f>TRIM(PROPER(Sales_Data!F174))</f>
        <v>Kavya Nair</v>
      </c>
      <c r="B174" s="26" t="str">
        <f>_xlfn.CONCAT(LEFT(A174,3),RIGHT(Sales_Data!B174,3),LEFT(Sales_Data!I174,2))</f>
        <v>Kav008Ja</v>
      </c>
      <c r="C174" s="26" t="str">
        <f>IF(COUNTIF(Sales_Data!T174, "*@*"), LOWER(TRIM(Sales_Data!T174)), "Invalid Email")</f>
        <v>kavya.nair@company.com</v>
      </c>
    </row>
    <row r="175" spans="1:3" x14ac:dyDescent="0.3">
      <c r="A175" s="26" t="str">
        <f>TRIM(PROPER(Sales_Data!F175))</f>
        <v>Vikas Mehta</v>
      </c>
      <c r="B175" s="26" t="str">
        <f>_xlfn.CONCAT(LEFT(A175,3),RIGHT(Sales_Data!B175,3),LEFT(Sales_Data!I175,2))</f>
        <v>Vik005Ja</v>
      </c>
      <c r="C175" s="26" t="str">
        <f>IF(COUNTIF(Sales_Data!T175, "*@*"), LOWER(TRIM(Sales_Data!T175)), "Invalid Email")</f>
        <v>Invalid Email</v>
      </c>
    </row>
    <row r="176" spans="1:3" x14ac:dyDescent="0.3">
      <c r="A176" s="26" t="str">
        <f>TRIM(PROPER(Sales_Data!F176))</f>
        <v>Sneha Joshi</v>
      </c>
      <c r="B176" s="26" t="str">
        <f>_xlfn.CONCAT(LEFT(A176,3),RIGHT(Sales_Data!B176,3),LEFT(Sales_Data!I176,2))</f>
        <v>Sne006Pu</v>
      </c>
      <c r="C176" s="26" t="str">
        <f>IF(COUNTIF(Sales_Data!T176, "*@*"), LOWER(TRIM(Sales_Data!T176)), "Invalid Email")</f>
        <v>sneha.joshi@company.com</v>
      </c>
    </row>
    <row r="177" spans="1:3" x14ac:dyDescent="0.3">
      <c r="A177" s="26" t="str">
        <f>TRIM(PROPER(Sales_Data!F177))</f>
        <v>Kavya Nair</v>
      </c>
      <c r="B177" s="26" t="str">
        <f>_xlfn.CONCAT(LEFT(A177,3),RIGHT(Sales_Data!B177,3),LEFT(Sales_Data!I177,2))</f>
        <v>Kav008Pu</v>
      </c>
      <c r="C177" s="26" t="str">
        <f>IF(COUNTIF(Sales_Data!T177, "*@*"), LOWER(TRIM(Sales_Data!T177)), "Invalid Email")</f>
        <v>kavya.nair@company.com</v>
      </c>
    </row>
    <row r="178" spans="1:3" x14ac:dyDescent="0.3">
      <c r="A178" s="26" t="str">
        <f>TRIM(PROPER(Sales_Data!F178))</f>
        <v>Sneha Joshi</v>
      </c>
      <c r="B178" s="26" t="str">
        <f>_xlfn.CONCAT(LEFT(A178,3),RIGHT(Sales_Data!B178,3),LEFT(Sales_Data!I178,2))</f>
        <v>Sne006Ah</v>
      </c>
      <c r="C178" s="26" t="str">
        <f>IF(COUNTIF(Sales_Data!T178, "*@*"), LOWER(TRIM(Sales_Data!T178)), "Invalid Email")</f>
        <v>sneha.joshi@company.com</v>
      </c>
    </row>
    <row r="179" spans="1:3" x14ac:dyDescent="0.3">
      <c r="A179" s="26" t="str">
        <f>TRIM(PROPER(Sales_Data!F179))</f>
        <v>Anita Gupta</v>
      </c>
      <c r="B179" s="26" t="str">
        <f>_xlfn.CONCAT(LEFT(A179,3),RIGHT(Sales_Data!B179,3),LEFT(Sales_Data!I179,2))</f>
        <v>Ani004De</v>
      </c>
      <c r="C179" s="26" t="str">
        <f>IF(COUNTIF(Sales_Data!T179, "*@*"), LOWER(TRIM(Sales_Data!T179)), "Invalid Email")</f>
        <v>anita.gupta@company.com</v>
      </c>
    </row>
    <row r="180" spans="1:3" x14ac:dyDescent="0.3">
      <c r="A180" s="26" t="str">
        <f>TRIM(PROPER(Sales_Data!F180))</f>
        <v>Priya Patel</v>
      </c>
      <c r="B180" s="26" t="str">
        <f>_xlfn.CONCAT(LEFT(A180,3),RIGHT(Sales_Data!B180,3),LEFT(Sales_Data!I180,2))</f>
        <v>Pri005Ko</v>
      </c>
      <c r="C180" s="26" t="str">
        <f>IF(COUNTIF(Sales_Data!T180, "*@*"), LOWER(TRIM(Sales_Data!T180)), "Invalid Email")</f>
        <v>vikas.mehta@company.com</v>
      </c>
    </row>
    <row r="181" spans="1:3" x14ac:dyDescent="0.3">
      <c r="A181" s="26" t="str">
        <f>TRIM(PROPER(Sales_Data!F181))</f>
        <v>Kavya Nair</v>
      </c>
      <c r="B181" s="26" t="str">
        <f>_xlfn.CONCAT(LEFT(A181,3),RIGHT(Sales_Data!B181,3),LEFT(Sales_Data!I181,2))</f>
        <v>Kav008Hy</v>
      </c>
      <c r="C181" s="26" t="str">
        <f>IF(COUNTIF(Sales_Data!T181, "*@*"), LOWER(TRIM(Sales_Data!T181)), "Invalid Email")</f>
        <v>kavya.nair@company.com</v>
      </c>
    </row>
    <row r="182" spans="1:3" x14ac:dyDescent="0.3">
      <c r="A182" s="26" t="str">
        <f>TRIM(PROPER(Sales_Data!F182))</f>
        <v>Priya Patel</v>
      </c>
      <c r="B182" s="26" t="str">
        <f>_xlfn.CONCAT(LEFT(A182,3),RIGHT(Sales_Data!B182,3),LEFT(Sales_Data!I182,2))</f>
        <v>Pri002Ah</v>
      </c>
      <c r="C182" s="26" t="str">
        <f>IF(COUNTIF(Sales_Data!T182, "*@*"), LOWER(TRIM(Sales_Data!T182)), "Invalid Email")</f>
        <v>priya.patel@company.com</v>
      </c>
    </row>
    <row r="183" spans="1:3" x14ac:dyDescent="0.3">
      <c r="A183" s="26" t="str">
        <f>TRIM(PROPER(Sales_Data!F183))</f>
        <v>Sneha Joshi</v>
      </c>
      <c r="B183" s="26" t="str">
        <f>_xlfn.CONCAT(LEFT(A183,3),RIGHT(Sales_Data!B183,3),LEFT(Sales_Data!I183,2))</f>
        <v>Sne006Ja</v>
      </c>
      <c r="C183" s="26" t="str">
        <f>IF(COUNTIF(Sales_Data!T183, "*@*"), LOWER(TRIM(Sales_Data!T183)), "Invalid Email")</f>
        <v>sneha.joshi@company.com</v>
      </c>
    </row>
    <row r="184" spans="1:3" x14ac:dyDescent="0.3">
      <c r="A184" s="26" t="str">
        <f>TRIM(PROPER(Sales_Data!F184))</f>
        <v>Priya Patel</v>
      </c>
      <c r="B184" s="26" t="str">
        <f>_xlfn.CONCAT(LEFT(A184,3),RIGHT(Sales_Data!B184,3),LEFT(Sales_Data!I184,2))</f>
        <v>Pri002Be</v>
      </c>
      <c r="C184" s="26" t="str">
        <f>IF(COUNTIF(Sales_Data!T184, "*@*"), LOWER(TRIM(Sales_Data!T184)), "Invalid Email")</f>
        <v>priya.patel@company.com</v>
      </c>
    </row>
    <row r="185" spans="1:3" x14ac:dyDescent="0.3">
      <c r="A185" s="26" t="str">
        <f>TRIM(PROPER(Sales_Data!F185))</f>
        <v>Mohit Verma</v>
      </c>
      <c r="B185" s="26" t="str">
        <f>_xlfn.CONCAT(LEFT(A185,3),RIGHT(Sales_Data!B185,3),LEFT(Sales_Data!I185,2))</f>
        <v>Moh009De</v>
      </c>
      <c r="C185" s="26" t="str">
        <f>IF(COUNTIF(Sales_Data!T185, "*@*"), LOWER(TRIM(Sales_Data!T185)), "Invalid Email")</f>
        <v>mohit.verma@company.com</v>
      </c>
    </row>
    <row r="186" spans="1:3" x14ac:dyDescent="0.3">
      <c r="A186" s="26" t="str">
        <f>TRIM(PROPER(Sales_Data!F186))</f>
        <v>Priya Patel</v>
      </c>
      <c r="B186" s="26" t="str">
        <f>_xlfn.CONCAT(LEFT(A186,3),RIGHT(Sales_Data!B186,3),LEFT(Sales_Data!I186,2))</f>
        <v>Pri002Ko</v>
      </c>
      <c r="C186" s="26" t="str">
        <f>IF(COUNTIF(Sales_Data!T186, "*@*"), LOWER(TRIM(Sales_Data!T186)), "Invalid Email")</f>
        <v>priya.patel@company.com</v>
      </c>
    </row>
    <row r="187" spans="1:3" x14ac:dyDescent="0.3">
      <c r="A187" s="26" t="str">
        <f>TRIM(PROPER(Sales_Data!F187))</f>
        <v>Sneha Joshi</v>
      </c>
      <c r="B187" s="26" t="str">
        <f>_xlfn.CONCAT(LEFT(A187,3),RIGHT(Sales_Data!B187,3),LEFT(Sales_Data!I187,2))</f>
        <v>Sne006Hy</v>
      </c>
      <c r="C187" s="26" t="str">
        <f>IF(COUNTIF(Sales_Data!T187, "*@*"), LOWER(TRIM(Sales_Data!T187)), "Invalid Email")</f>
        <v>sneha.joshi@company.com</v>
      </c>
    </row>
    <row r="188" spans="1:3" x14ac:dyDescent="0.3">
      <c r="A188" s="26" t="str">
        <f>TRIM(PROPER(Sales_Data!F188))</f>
        <v>Rohit Singh</v>
      </c>
      <c r="B188" s="26" t="str">
        <f>_xlfn.CONCAT(LEFT(A188,3),RIGHT(Sales_Data!B188,3),LEFT(Sales_Data!I188,2))</f>
        <v>Roh003Pu</v>
      </c>
      <c r="C188" s="26" t="str">
        <f>IF(COUNTIF(Sales_Data!T188, "*@*"), LOWER(TRIM(Sales_Data!T188)), "Invalid Email")</f>
        <v>rohit.singh@company.com</v>
      </c>
    </row>
    <row r="189" spans="1:3" x14ac:dyDescent="0.3">
      <c r="A189" s="26" t="str">
        <f>TRIM(PROPER(Sales_Data!F189))</f>
        <v>Vikas Mehta</v>
      </c>
      <c r="B189" s="26" t="str">
        <f>_xlfn.CONCAT(LEFT(A189,3),RIGHT(Sales_Data!B189,3),LEFT(Sales_Data!I189,2))</f>
        <v>Vik005Hy</v>
      </c>
      <c r="C189" s="26" t="str">
        <f>IF(COUNTIF(Sales_Data!T189, "*@*"), LOWER(TRIM(Sales_Data!T189)), "Invalid Email")</f>
        <v>vikas.mehta@company.com</v>
      </c>
    </row>
    <row r="190" spans="1:3" x14ac:dyDescent="0.3">
      <c r="A190" s="26" t="str">
        <f>TRIM(PROPER(Sales_Data!F190))</f>
        <v>Amit Sharma</v>
      </c>
      <c r="B190" s="26" t="str">
        <f>_xlfn.CONCAT(LEFT(A190,3),RIGHT(Sales_Data!B190,3),LEFT(Sales_Data!I190,2))</f>
        <v>Ami001Pu</v>
      </c>
      <c r="C190" s="26" t="str">
        <f>IF(COUNTIF(Sales_Data!T190, "*@*"), LOWER(TRIM(Sales_Data!T190)), "Invalid Email")</f>
        <v>amit.sharma@company.com</v>
      </c>
    </row>
    <row r="191" spans="1:3" x14ac:dyDescent="0.3">
      <c r="A191" s="26" t="str">
        <f>TRIM(PROPER(Sales_Data!F191))</f>
        <v>Amit Sharma</v>
      </c>
      <c r="B191" s="26" t="str">
        <f>_xlfn.CONCAT(LEFT(A191,3),RIGHT(Sales_Data!B191,3),LEFT(Sales_Data!I191,2))</f>
        <v>Ami001Be</v>
      </c>
      <c r="C191" s="26" t="str">
        <f>IF(COUNTIF(Sales_Data!T191, "*@*"), LOWER(TRIM(Sales_Data!T191)), "Invalid Email")</f>
        <v>amit.sharma@company.com</v>
      </c>
    </row>
    <row r="192" spans="1:3" x14ac:dyDescent="0.3">
      <c r="A192" s="26" t="str">
        <f>TRIM(PROPER(Sales_Data!F192))</f>
        <v>Vikas Mehta</v>
      </c>
      <c r="B192" s="26" t="str">
        <f>_xlfn.CONCAT(LEFT(A192,3),RIGHT(Sales_Data!B192,3),LEFT(Sales_Data!I192,2))</f>
        <v>Vik005Pu</v>
      </c>
      <c r="C192" s="26" t="str">
        <f>IF(COUNTIF(Sales_Data!T192, "*@*"), LOWER(TRIM(Sales_Data!T192)), "Invalid Email")</f>
        <v>vikas.mehta@company.com</v>
      </c>
    </row>
    <row r="193" spans="1:3" x14ac:dyDescent="0.3">
      <c r="A193" s="26" t="str">
        <f>TRIM(PROPER(Sales_Data!F193))</f>
        <v>Amit Sharma</v>
      </c>
      <c r="B193" s="26" t="str">
        <f>_xlfn.CONCAT(LEFT(A193,3),RIGHT(Sales_Data!B193,3),LEFT(Sales_Data!I193,2))</f>
        <v>Ami001Ja</v>
      </c>
      <c r="C193" s="26" t="str">
        <f>IF(COUNTIF(Sales_Data!T193, "*@*"), LOWER(TRIM(Sales_Data!T193)), "Invalid Email")</f>
        <v>amit.sharma@company.com</v>
      </c>
    </row>
    <row r="194" spans="1:3" x14ac:dyDescent="0.3">
      <c r="A194" s="26" t="str">
        <f>TRIM(PROPER(Sales_Data!F194))</f>
        <v>Anita Gupta</v>
      </c>
      <c r="B194" s="26" t="str">
        <f>_xlfn.CONCAT(LEFT(A194,3),RIGHT(Sales_Data!B194,3),LEFT(Sales_Data!I194,2))</f>
        <v>Ani004Ja</v>
      </c>
      <c r="C194" s="26" t="str">
        <f>IF(COUNTIF(Sales_Data!T194, "*@*"), LOWER(TRIM(Sales_Data!T194)), "Invalid Email")</f>
        <v>anita.gupta@company.com</v>
      </c>
    </row>
    <row r="195" spans="1:3" x14ac:dyDescent="0.3">
      <c r="A195" s="26" t="str">
        <f>TRIM(PROPER(Sales_Data!F195))</f>
        <v>Sneha Joshi</v>
      </c>
      <c r="B195" s="26" t="str">
        <f>_xlfn.CONCAT(LEFT(A195,3),RIGHT(Sales_Data!B195,3),LEFT(Sales_Data!I195,2))</f>
        <v>Sne006De</v>
      </c>
      <c r="C195" s="26" t="str">
        <f>IF(COUNTIF(Sales_Data!T195, "*@*"), LOWER(TRIM(Sales_Data!T195)), "Invalid Email")</f>
        <v>sneha.joshi@company.com</v>
      </c>
    </row>
    <row r="196" spans="1:3" x14ac:dyDescent="0.3">
      <c r="A196" s="26" t="str">
        <f>TRIM(PROPER(Sales_Data!F196))</f>
        <v>Sneha Joshi</v>
      </c>
      <c r="B196" s="26" t="str">
        <f>_xlfn.CONCAT(LEFT(A196,3),RIGHT(Sales_Data!B196,3),LEFT(Sales_Data!I196,2))</f>
        <v>Sne006Ah</v>
      </c>
      <c r="C196" s="26" t="str">
        <f>IF(COUNTIF(Sales_Data!T196, "*@*"), LOWER(TRIM(Sales_Data!T196)), "Invalid Email")</f>
        <v>sneha.joshi@company.com</v>
      </c>
    </row>
    <row r="197" spans="1:3" x14ac:dyDescent="0.3">
      <c r="A197" s="26" t="str">
        <f>TRIM(PROPER(Sales_Data!F197))</f>
        <v>Arjun Rao</v>
      </c>
      <c r="B197" s="26" t="str">
        <f>_xlfn.CONCAT(LEFT(A197,3),RIGHT(Sales_Data!B197,3),LEFT(Sales_Data!I197,2))</f>
        <v>Arj007De</v>
      </c>
      <c r="C197" s="26" t="str">
        <f>IF(COUNTIF(Sales_Data!T197, "*@*"), LOWER(TRIM(Sales_Data!T197)), "Invalid Email")</f>
        <v>arjun.rao@company.com</v>
      </c>
    </row>
    <row r="198" spans="1:3" x14ac:dyDescent="0.3">
      <c r="A198" s="26" t="str">
        <f>TRIM(PROPER(Sales_Data!F198))</f>
        <v>Vikas Mehta</v>
      </c>
      <c r="B198" s="26" t="str">
        <f>_xlfn.CONCAT(LEFT(A198,3),RIGHT(Sales_Data!B198,3),LEFT(Sales_Data!I198,2))</f>
        <v>Vik005Hy</v>
      </c>
      <c r="C198" s="26" t="str">
        <f>IF(COUNTIF(Sales_Data!T198, "*@*"), LOWER(TRIM(Sales_Data!T198)), "Invalid Email")</f>
        <v>vikas.mehta@company.com</v>
      </c>
    </row>
    <row r="199" spans="1:3" x14ac:dyDescent="0.3">
      <c r="A199" s="26" t="str">
        <f>TRIM(PROPER(Sales_Data!F199))</f>
        <v>Priya Patel</v>
      </c>
      <c r="B199" s="26" t="str">
        <f>_xlfn.CONCAT(LEFT(A199,3),RIGHT(Sales_Data!B199,3),LEFT(Sales_Data!I199,2))</f>
        <v>Pri002Pu</v>
      </c>
      <c r="C199" s="26" t="str">
        <f>IF(COUNTIF(Sales_Data!T199, "*@*"), LOWER(TRIM(Sales_Data!T199)), "Invalid Email")</f>
        <v>priya.patel@company.com</v>
      </c>
    </row>
    <row r="200" spans="1:3" x14ac:dyDescent="0.3">
      <c r="A200" s="26" t="str">
        <f>TRIM(PROPER(Sales_Data!F200))</f>
        <v>Vikas Mehta</v>
      </c>
      <c r="B200" s="26" t="str">
        <f>_xlfn.CONCAT(LEFT(A200,3),RIGHT(Sales_Data!B200,3),LEFT(Sales_Data!I200,2))</f>
        <v>Vik005Be</v>
      </c>
      <c r="C200" s="26" t="str">
        <f>IF(COUNTIF(Sales_Data!T200, "*@*"), LOWER(TRIM(Sales_Data!T200)), "Invalid Email")</f>
        <v>vikas.mehta@company.com</v>
      </c>
    </row>
    <row r="201" spans="1:3" x14ac:dyDescent="0.3">
      <c r="A201" s="26" t="str">
        <f>TRIM(PROPER(Sales_Data!F201))</f>
        <v>Priya Patel</v>
      </c>
      <c r="B201" s="26" t="str">
        <f>_xlfn.CONCAT(LEFT(A201,3),RIGHT(Sales_Data!B201,3),LEFT(Sales_Data!I201,2))</f>
        <v>Pri002Ja</v>
      </c>
      <c r="C201" s="26" t="str">
        <f>IF(COUNTIF(Sales_Data!T201, "*@*"), LOWER(TRIM(Sales_Data!T201)), "Invalid Email")</f>
        <v>priya.patel@company.com</v>
      </c>
    </row>
    <row r="202" spans="1:3" x14ac:dyDescent="0.3">
      <c r="A202" s="26" t="str">
        <f>TRIM(PROPER(Sales_Data!F202))</f>
        <v>Vikas Mehta</v>
      </c>
      <c r="B202" s="26" t="str">
        <f>_xlfn.CONCAT(LEFT(A202,3),RIGHT(Sales_Data!B202,3),LEFT(Sales_Data!I202,2))</f>
        <v>Vik005Ah</v>
      </c>
      <c r="C202" s="26" t="str">
        <f>IF(COUNTIF(Sales_Data!T202, "*@*"), LOWER(TRIM(Sales_Data!T202)), "Invalid Email")</f>
        <v>vikas.mehta@company.com</v>
      </c>
    </row>
    <row r="203" spans="1:3" x14ac:dyDescent="0.3">
      <c r="A203" s="26" t="str">
        <f>TRIM(PROPER(Sales_Data!F203))</f>
        <v>Mohit Verma</v>
      </c>
      <c r="B203" s="26" t="str">
        <f>_xlfn.CONCAT(LEFT(A203,3),RIGHT(Sales_Data!B203,3),LEFT(Sales_Data!I203,2))</f>
        <v>Moh009Hy</v>
      </c>
      <c r="C203" s="26" t="str">
        <f>IF(COUNTIF(Sales_Data!T203, "*@*"), LOWER(TRIM(Sales_Data!T203)), "Invalid Email")</f>
        <v>mohit.verma@company.com</v>
      </c>
    </row>
    <row r="204" spans="1:3" x14ac:dyDescent="0.3">
      <c r="A204" s="26" t="str">
        <f>TRIM(PROPER(Sales_Data!F204))</f>
        <v>Pooja Shah</v>
      </c>
      <c r="B204" s="26" t="str">
        <f>_xlfn.CONCAT(LEFT(A204,3),RIGHT(Sales_Data!B204,3),LEFT(Sales_Data!I204,2))</f>
        <v>Poo010Be</v>
      </c>
      <c r="C204" s="26" t="str">
        <f>IF(COUNTIF(Sales_Data!T204, "*@*"), LOWER(TRIM(Sales_Data!T204)), "Invalid Email")</f>
        <v>pooja.shah@company.com</v>
      </c>
    </row>
    <row r="205" spans="1:3" x14ac:dyDescent="0.3">
      <c r="A205" s="26" t="str">
        <f>TRIM(PROPER(Sales_Data!F205))</f>
        <v>Rohit Singh</v>
      </c>
      <c r="B205" s="26" t="str">
        <f>_xlfn.CONCAT(LEFT(A205,3),RIGHT(Sales_Data!B205,3),LEFT(Sales_Data!I205,2))</f>
        <v>Roh003Ja</v>
      </c>
      <c r="C205" s="26" t="str">
        <f>IF(COUNTIF(Sales_Data!T205, "*@*"), LOWER(TRIM(Sales_Data!T205)), "Invalid Email")</f>
        <v>rohit.singh@company.com</v>
      </c>
    </row>
    <row r="206" spans="1:3" x14ac:dyDescent="0.3">
      <c r="A206" s="26" t="str">
        <f>TRIM(PROPER(Sales_Data!F206))</f>
        <v>Anita Gupta</v>
      </c>
      <c r="B206" s="26" t="str">
        <f>_xlfn.CONCAT(LEFT(A206,3),RIGHT(Sales_Data!B206,3),LEFT(Sales_Data!I206,2))</f>
        <v>Ani004Pu</v>
      </c>
      <c r="C206" s="26" t="str">
        <f>IF(COUNTIF(Sales_Data!T206, "*@*"), LOWER(TRIM(Sales_Data!T206)), "Invalid Email")</f>
        <v>anita.gupta@company.com</v>
      </c>
    </row>
    <row r="207" spans="1:3" x14ac:dyDescent="0.3">
      <c r="A207" s="26" t="str">
        <f>TRIM(PROPER(Sales_Data!F207))</f>
        <v>Amit Sharma</v>
      </c>
      <c r="B207" s="26" t="str">
        <f>_xlfn.CONCAT(LEFT(A207,3),RIGHT(Sales_Data!B207,3),LEFT(Sales_Data!I207,2))</f>
        <v>Ami001Mu</v>
      </c>
      <c r="C207" s="26" t="str">
        <f>IF(COUNTIF(Sales_Data!T207, "*@*"), LOWER(TRIM(Sales_Data!T207)), "Invalid Email")</f>
        <v>amit.sharma@company.com</v>
      </c>
    </row>
    <row r="208" spans="1:3" x14ac:dyDescent="0.3">
      <c r="A208" s="26" t="str">
        <f>TRIM(PROPER(Sales_Data!F208))</f>
        <v>Vikas Mehta</v>
      </c>
      <c r="B208" s="26" t="str">
        <f>_xlfn.CONCAT(LEFT(A208,3),RIGHT(Sales_Data!B208,3),LEFT(Sales_Data!I208,2))</f>
        <v>Vik005Hy</v>
      </c>
      <c r="C208" s="26" t="str">
        <f>IF(COUNTIF(Sales_Data!T208, "*@*"), LOWER(TRIM(Sales_Data!T208)), "Invalid Email")</f>
        <v>vikas.mehta@company.com</v>
      </c>
    </row>
    <row r="209" spans="1:3" x14ac:dyDescent="0.3">
      <c r="A209" s="26" t="str">
        <f>TRIM(PROPER(Sales_Data!F209))</f>
        <v>Amit Sharma</v>
      </c>
      <c r="B209" s="26" t="str">
        <f>_xlfn.CONCAT(LEFT(A209,3),RIGHT(Sales_Data!B209,3),LEFT(Sales_Data!I209,2))</f>
        <v>Ami001Pu</v>
      </c>
      <c r="C209" s="26" t="str">
        <f>IF(COUNTIF(Sales_Data!T209, "*@*"), LOWER(TRIM(Sales_Data!T209)), "Invalid Email")</f>
        <v>amit.sharma@company.com</v>
      </c>
    </row>
    <row r="210" spans="1:3" x14ac:dyDescent="0.3">
      <c r="A210" s="26" t="str">
        <f>TRIM(PROPER(Sales_Data!F210))</f>
        <v>Kavya Nair</v>
      </c>
      <c r="B210" s="26" t="str">
        <f>_xlfn.CONCAT(LEFT(A210,3),RIGHT(Sales_Data!B210,3),LEFT(Sales_Data!I210,2))</f>
        <v>Kav008Mu</v>
      </c>
      <c r="C210" s="26" t="str">
        <f>IF(COUNTIF(Sales_Data!T210, "*@*"), LOWER(TRIM(Sales_Data!T210)), "Invalid Email")</f>
        <v>kavya.nair@company.com</v>
      </c>
    </row>
    <row r="211" spans="1:3" x14ac:dyDescent="0.3">
      <c r="A211" s="26" t="str">
        <f>TRIM(PROPER(Sales_Data!F211))</f>
        <v>Sneha Joshi</v>
      </c>
      <c r="B211" s="26" t="str">
        <f>_xlfn.CONCAT(LEFT(A211,3),RIGHT(Sales_Data!B211,3),LEFT(Sales_Data!I211,2))</f>
        <v>Sne006Mu</v>
      </c>
      <c r="C211" s="26" t="str">
        <f>IF(COUNTIF(Sales_Data!T211, "*@*"), LOWER(TRIM(Sales_Data!T211)), "Invalid Email")</f>
        <v>sneha.joshi@company.com</v>
      </c>
    </row>
    <row r="212" spans="1:3" x14ac:dyDescent="0.3">
      <c r="A212" s="26" t="str">
        <f>TRIM(PROPER(Sales_Data!F212))</f>
        <v>Amit Sharma</v>
      </c>
      <c r="B212" s="26" t="str">
        <f>_xlfn.CONCAT(LEFT(A212,3),RIGHT(Sales_Data!B212,3),LEFT(Sales_Data!I212,2))</f>
        <v>Ami001Mu</v>
      </c>
      <c r="C212" s="26" t="str">
        <f>IF(COUNTIF(Sales_Data!T212, "*@*"), LOWER(TRIM(Sales_Data!T212)), "Invalid Email")</f>
        <v>amit.sharma@company.com</v>
      </c>
    </row>
    <row r="213" spans="1:3" x14ac:dyDescent="0.3">
      <c r="A213" s="26" t="str">
        <f>TRIM(PROPER(Sales_Data!F213))</f>
        <v>Sneha Joshi</v>
      </c>
      <c r="B213" s="26" t="str">
        <f>_xlfn.CONCAT(LEFT(A213,3),RIGHT(Sales_Data!B213,3),LEFT(Sales_Data!I213,2))</f>
        <v>Sne006Ah</v>
      </c>
      <c r="C213" s="26" t="str">
        <f>IF(COUNTIF(Sales_Data!T213, "*@*"), LOWER(TRIM(Sales_Data!T213)), "Invalid Email")</f>
        <v>sneha.joshi@company.com</v>
      </c>
    </row>
    <row r="214" spans="1:3" x14ac:dyDescent="0.3">
      <c r="A214" s="26" t="str">
        <f>TRIM(PROPER(Sales_Data!F214))</f>
        <v>Kavya Nair</v>
      </c>
      <c r="B214" s="26" t="str">
        <f>_xlfn.CONCAT(LEFT(A214,3),RIGHT(Sales_Data!B214,3),LEFT(Sales_Data!I214,2))</f>
        <v>Kav008Hy</v>
      </c>
      <c r="C214" s="26" t="str">
        <f>IF(COUNTIF(Sales_Data!T214, "*@*"), LOWER(TRIM(Sales_Data!T214)), "Invalid Email")</f>
        <v>kavya.nair@company.com</v>
      </c>
    </row>
    <row r="215" spans="1:3" x14ac:dyDescent="0.3">
      <c r="A215" s="26" t="str">
        <f>TRIM(PROPER(Sales_Data!F215))</f>
        <v>Pooja Shah</v>
      </c>
      <c r="B215" s="26" t="str">
        <f>_xlfn.CONCAT(LEFT(A215,3),RIGHT(Sales_Data!B215,3),LEFT(Sales_Data!I215,2))</f>
        <v>Poo010Pu</v>
      </c>
      <c r="C215" s="26" t="str">
        <f>IF(COUNTIF(Sales_Data!T215, "*@*"), LOWER(TRIM(Sales_Data!T215)), "Invalid Email")</f>
        <v>pooja.shah@company.com</v>
      </c>
    </row>
    <row r="216" spans="1:3" x14ac:dyDescent="0.3">
      <c r="A216" s="26" t="str">
        <f>TRIM(PROPER(Sales_Data!F216))</f>
        <v>Priya Patel</v>
      </c>
      <c r="B216" s="26" t="str">
        <f>_xlfn.CONCAT(LEFT(A216,3),RIGHT(Sales_Data!B216,3),LEFT(Sales_Data!I216,2))</f>
        <v>Pri002Be</v>
      </c>
      <c r="C216" s="26" t="str">
        <f>IF(COUNTIF(Sales_Data!T216, "*@*"), LOWER(TRIM(Sales_Data!T216)), "Invalid Email")</f>
        <v>priya.patel@company.com</v>
      </c>
    </row>
    <row r="217" spans="1:3" x14ac:dyDescent="0.3">
      <c r="A217" s="26" t="str">
        <f>TRIM(PROPER(Sales_Data!F217))</f>
        <v>Kavya Nair</v>
      </c>
      <c r="B217" s="26" t="str">
        <f>_xlfn.CONCAT(LEFT(A217,3),RIGHT(Sales_Data!B217,3),LEFT(Sales_Data!I217,2))</f>
        <v>Kav008Ko</v>
      </c>
      <c r="C217" s="26" t="str">
        <f>IF(COUNTIF(Sales_Data!T217, "*@*"), LOWER(TRIM(Sales_Data!T217)), "Invalid Email")</f>
        <v>kavya.nair@company.com</v>
      </c>
    </row>
    <row r="218" spans="1:3" x14ac:dyDescent="0.3">
      <c r="A218" s="26" t="str">
        <f>TRIM(PROPER(Sales_Data!F218))</f>
        <v>Vikas Mehta</v>
      </c>
      <c r="B218" s="26" t="str">
        <f>_xlfn.CONCAT(LEFT(A218,3),RIGHT(Sales_Data!B218,3),LEFT(Sales_Data!I218,2))</f>
        <v>Vik005Be</v>
      </c>
      <c r="C218" s="26" t="str">
        <f>IF(COUNTIF(Sales_Data!T218, "*@*"), LOWER(TRIM(Sales_Data!T218)), "Invalid Email")</f>
        <v>vikas.mehta@company.com</v>
      </c>
    </row>
    <row r="219" spans="1:3" x14ac:dyDescent="0.3">
      <c r="A219" s="26" t="str">
        <f>TRIM(PROPER(Sales_Data!F219))</f>
        <v>Arjun Rao</v>
      </c>
      <c r="B219" s="26" t="str">
        <f>_xlfn.CONCAT(LEFT(A219,3),RIGHT(Sales_Data!B219,3),LEFT(Sales_Data!I219,2))</f>
        <v>Arj007Ko</v>
      </c>
      <c r="C219" s="26" t="str">
        <f>IF(COUNTIF(Sales_Data!T219, "*@*"), LOWER(TRIM(Sales_Data!T219)), "Invalid Email")</f>
        <v>arjun.rao@company.com</v>
      </c>
    </row>
    <row r="220" spans="1:3" x14ac:dyDescent="0.3">
      <c r="A220" s="26" t="str">
        <f>TRIM(PROPER(Sales_Data!F220))</f>
        <v>Pooja Shah</v>
      </c>
      <c r="B220" s="26" t="str">
        <f>_xlfn.CONCAT(LEFT(A220,3),RIGHT(Sales_Data!B220,3),LEFT(Sales_Data!I220,2))</f>
        <v>Poo010Pu</v>
      </c>
      <c r="C220" s="26" t="str">
        <f>IF(COUNTIF(Sales_Data!T220, "*@*"), LOWER(TRIM(Sales_Data!T220)), "Invalid Email")</f>
        <v>pooja.shah@company.com</v>
      </c>
    </row>
    <row r="221" spans="1:3" x14ac:dyDescent="0.3">
      <c r="A221" s="26" t="str">
        <f>TRIM(PROPER(Sales_Data!F221))</f>
        <v>Priya Patel</v>
      </c>
      <c r="B221" s="26" t="str">
        <f>_xlfn.CONCAT(LEFT(A221,3),RIGHT(Sales_Data!B221,3),LEFT(Sales_Data!I221,2))</f>
        <v>Pri002Ko</v>
      </c>
      <c r="C221" s="26" t="str">
        <f>IF(COUNTIF(Sales_Data!T221, "*@*"), LOWER(TRIM(Sales_Data!T221)), "Invalid Email")</f>
        <v>priya.patel@company.com</v>
      </c>
    </row>
    <row r="222" spans="1:3" x14ac:dyDescent="0.3">
      <c r="A222" s="26" t="str">
        <f>TRIM(PROPER(Sales_Data!F222))</f>
        <v>Sneha Joshi</v>
      </c>
      <c r="B222" s="26" t="str">
        <f>_xlfn.CONCAT(LEFT(A222,3),RIGHT(Sales_Data!B222,3),LEFT(Sales_Data!I222,2))</f>
        <v>Sne006De</v>
      </c>
      <c r="C222" s="26" t="str">
        <f>IF(COUNTIF(Sales_Data!T222, "*@*"), LOWER(TRIM(Sales_Data!T222)), "Invalid Email")</f>
        <v>sneha.joshi@company.com</v>
      </c>
    </row>
    <row r="223" spans="1:3" x14ac:dyDescent="0.3">
      <c r="A223" s="26" t="str">
        <f>TRIM(PROPER(Sales_Data!F223))</f>
        <v>Pooja Shah</v>
      </c>
      <c r="B223" s="26" t="str">
        <f>_xlfn.CONCAT(LEFT(A223,3),RIGHT(Sales_Data!B223,3),LEFT(Sales_Data!I223,2))</f>
        <v>Poo010Ko</v>
      </c>
      <c r="C223" s="26" t="str">
        <f>IF(COUNTIF(Sales_Data!T223, "*@*"), LOWER(TRIM(Sales_Data!T223)), "Invalid Email")</f>
        <v>pooja.shah@company.com</v>
      </c>
    </row>
    <row r="224" spans="1:3" x14ac:dyDescent="0.3">
      <c r="A224" s="26" t="str">
        <f>TRIM(PROPER(Sales_Data!F224))</f>
        <v>Amit Sharma</v>
      </c>
      <c r="B224" s="26" t="str">
        <f>_xlfn.CONCAT(LEFT(A224,3),RIGHT(Sales_Data!B224,3),LEFT(Sales_Data!I224,2))</f>
        <v>Ami001Ko</v>
      </c>
      <c r="C224" s="26" t="str">
        <f>IF(COUNTIF(Sales_Data!T224, "*@*"), LOWER(TRIM(Sales_Data!T224)), "Invalid Email")</f>
        <v>amit.sharma@company.com</v>
      </c>
    </row>
    <row r="225" spans="1:3" x14ac:dyDescent="0.3">
      <c r="A225" s="26" t="str">
        <f>TRIM(PROPER(Sales_Data!F225))</f>
        <v>Kavya Nair</v>
      </c>
      <c r="B225" s="26" t="str">
        <f>_xlfn.CONCAT(LEFT(A225,3),RIGHT(Sales_Data!B225,3),LEFT(Sales_Data!I225,2))</f>
        <v>Kav008De</v>
      </c>
      <c r="C225" s="26" t="str">
        <f>IF(COUNTIF(Sales_Data!T225, "*@*"), LOWER(TRIM(Sales_Data!T225)), "Invalid Email")</f>
        <v>kavya.nair@company.com</v>
      </c>
    </row>
    <row r="226" spans="1:3" x14ac:dyDescent="0.3">
      <c r="A226" s="26" t="str">
        <f>TRIM(PROPER(Sales_Data!F226))</f>
        <v>Arjun Rao</v>
      </c>
      <c r="B226" s="26" t="str">
        <f>_xlfn.CONCAT(LEFT(A226,3),RIGHT(Sales_Data!B226,3),LEFT(Sales_Data!I226,2))</f>
        <v>Arj007Mu</v>
      </c>
      <c r="C226" s="26" t="str">
        <f>IF(COUNTIF(Sales_Data!T226, "*@*"), LOWER(TRIM(Sales_Data!T226)), "Invalid Email")</f>
        <v>arjun.rao@company.com</v>
      </c>
    </row>
    <row r="227" spans="1:3" x14ac:dyDescent="0.3">
      <c r="A227" s="26" t="str">
        <f>TRIM(PROPER(Sales_Data!F227))</f>
        <v>Priya Patel</v>
      </c>
      <c r="B227" s="26" t="str">
        <f>_xlfn.CONCAT(LEFT(A227,3),RIGHT(Sales_Data!B227,3),LEFT(Sales_Data!I227,2))</f>
        <v>Pri002Hy</v>
      </c>
      <c r="C227" s="26" t="str">
        <f>IF(COUNTIF(Sales_Data!T227, "*@*"), LOWER(TRIM(Sales_Data!T227)), "Invalid Email")</f>
        <v>priya.patel@company.com</v>
      </c>
    </row>
    <row r="228" spans="1:3" x14ac:dyDescent="0.3">
      <c r="A228" s="26" t="str">
        <f>TRIM(PROPER(Sales_Data!F228))</f>
        <v>Anita Gupta</v>
      </c>
      <c r="B228" s="26" t="str">
        <f>_xlfn.CONCAT(LEFT(A228,3),RIGHT(Sales_Data!B228,3),LEFT(Sales_Data!I228,2))</f>
        <v>Ani004Hy</v>
      </c>
      <c r="C228" s="26" t="str">
        <f>IF(COUNTIF(Sales_Data!T228, "*@*"), LOWER(TRIM(Sales_Data!T228)), "Invalid Email")</f>
        <v>anita.gupta@company.com</v>
      </c>
    </row>
    <row r="229" spans="1:3" x14ac:dyDescent="0.3">
      <c r="A229" s="26" t="str">
        <f>TRIM(PROPER(Sales_Data!F229))</f>
        <v>Mohit Verma</v>
      </c>
      <c r="B229" s="26" t="str">
        <f>_xlfn.CONCAT(LEFT(A229,3),RIGHT(Sales_Data!B229,3),LEFT(Sales_Data!I229,2))</f>
        <v>Moh009Ko</v>
      </c>
      <c r="C229" s="26" t="str">
        <f>IF(COUNTIF(Sales_Data!T229, "*@*"), LOWER(TRIM(Sales_Data!T229)), "Invalid Email")</f>
        <v>mohit.verma@company.com</v>
      </c>
    </row>
    <row r="230" spans="1:3" x14ac:dyDescent="0.3">
      <c r="A230" s="26" t="str">
        <f>TRIM(PROPER(Sales_Data!F230))</f>
        <v>Priya Patel</v>
      </c>
      <c r="B230" s="26" t="str">
        <f>_xlfn.CONCAT(LEFT(A230,3),RIGHT(Sales_Data!B230,3),LEFT(Sales_Data!I230,2))</f>
        <v>Pri002Hy</v>
      </c>
      <c r="C230" s="26" t="str">
        <f>IF(COUNTIF(Sales_Data!T230, "*@*"), LOWER(TRIM(Sales_Data!T230)), "Invalid Email")</f>
        <v>priya.patel@company.com</v>
      </c>
    </row>
    <row r="231" spans="1:3" x14ac:dyDescent="0.3">
      <c r="A231" s="26" t="str">
        <f>TRIM(PROPER(Sales_Data!F231))</f>
        <v>Mohit Verma</v>
      </c>
      <c r="B231" s="26" t="str">
        <f>_xlfn.CONCAT(LEFT(A231,3),RIGHT(Sales_Data!B231,3),LEFT(Sales_Data!I231,2))</f>
        <v>Moh009Pu</v>
      </c>
      <c r="C231" s="26" t="str">
        <f>IF(COUNTIF(Sales_Data!T231, "*@*"), LOWER(TRIM(Sales_Data!T231)), "Invalid Email")</f>
        <v>mohit.verma@company.com</v>
      </c>
    </row>
    <row r="232" spans="1:3" x14ac:dyDescent="0.3">
      <c r="A232" s="26" t="str">
        <f>TRIM(PROPER(Sales_Data!F232))</f>
        <v>Priya Patel</v>
      </c>
      <c r="B232" s="26" t="str">
        <f>_xlfn.CONCAT(LEFT(A232,3),RIGHT(Sales_Data!B232,3),LEFT(Sales_Data!I232,2))</f>
        <v>Pri002Ko</v>
      </c>
      <c r="C232" s="26" t="str">
        <f>IF(COUNTIF(Sales_Data!T232, "*@*"), LOWER(TRIM(Sales_Data!T232)), "Invalid Email")</f>
        <v>priya.patel@company.com</v>
      </c>
    </row>
    <row r="233" spans="1:3" x14ac:dyDescent="0.3">
      <c r="A233" s="26" t="str">
        <f>TRIM(PROPER(Sales_Data!F233))</f>
        <v>Priya Patel</v>
      </c>
      <c r="B233" s="26" t="str">
        <f>_xlfn.CONCAT(LEFT(A233,3),RIGHT(Sales_Data!B233,3),LEFT(Sales_Data!I233,2))</f>
        <v>Pri002Mu</v>
      </c>
      <c r="C233" s="26" t="str">
        <f>IF(COUNTIF(Sales_Data!T233, "*@*"), LOWER(TRIM(Sales_Data!T233)), "Invalid Email")</f>
        <v>priya.patel@company.com</v>
      </c>
    </row>
    <row r="234" spans="1:3" x14ac:dyDescent="0.3">
      <c r="A234" s="26" t="str">
        <f>TRIM(PROPER(Sales_Data!F234))</f>
        <v>Sneha Joshi</v>
      </c>
      <c r="B234" s="26" t="str">
        <f>_xlfn.CONCAT(LEFT(A234,3),RIGHT(Sales_Data!B234,3),LEFT(Sales_Data!I234,2))</f>
        <v>Sne006Ko</v>
      </c>
      <c r="C234" s="26" t="str">
        <f>IF(COUNTIF(Sales_Data!T234, "*@*"), LOWER(TRIM(Sales_Data!T234)), "Invalid Email")</f>
        <v>sneha.joshi@company.com</v>
      </c>
    </row>
    <row r="235" spans="1:3" x14ac:dyDescent="0.3">
      <c r="A235" s="26" t="str">
        <f>TRIM(PROPER(Sales_Data!F235))</f>
        <v>Kavya Nair</v>
      </c>
      <c r="B235" s="26" t="str">
        <f>_xlfn.CONCAT(LEFT(A235,3),RIGHT(Sales_Data!B235,3),LEFT(Sales_Data!I235,2))</f>
        <v>Kav008Be</v>
      </c>
      <c r="C235" s="26" t="str">
        <f>IF(COUNTIF(Sales_Data!T235, "*@*"), LOWER(TRIM(Sales_Data!T235)), "Invalid Email")</f>
        <v>kavya.nair@company.com</v>
      </c>
    </row>
    <row r="236" spans="1:3" x14ac:dyDescent="0.3">
      <c r="A236" s="26" t="str">
        <f>TRIM(PROPER(Sales_Data!F236))</f>
        <v>Mohit Verma</v>
      </c>
      <c r="B236" s="26" t="str">
        <f>_xlfn.CONCAT(LEFT(A236,3),RIGHT(Sales_Data!B236,3),LEFT(Sales_Data!I236,2))</f>
        <v>Moh009Mu</v>
      </c>
      <c r="C236" s="26" t="str">
        <f>IF(COUNTIF(Sales_Data!T236, "*@*"), LOWER(TRIM(Sales_Data!T236)), "Invalid Email")</f>
        <v>mohit.verma@company.com</v>
      </c>
    </row>
    <row r="237" spans="1:3" x14ac:dyDescent="0.3">
      <c r="A237" s="26" t="str">
        <f>TRIM(PROPER(Sales_Data!F237))</f>
        <v>Rohit Singh</v>
      </c>
      <c r="B237" s="26" t="str">
        <f>_xlfn.CONCAT(LEFT(A237,3),RIGHT(Sales_Data!B237,3),LEFT(Sales_Data!I237,2))</f>
        <v>Roh003De</v>
      </c>
      <c r="C237" s="26" t="str">
        <f>IF(COUNTIF(Sales_Data!T237, "*@*"), LOWER(TRIM(Sales_Data!T237)), "Invalid Email")</f>
        <v>rohit.singh@company.com</v>
      </c>
    </row>
    <row r="238" spans="1:3" x14ac:dyDescent="0.3">
      <c r="A238" s="26" t="str">
        <f>TRIM(PROPER(Sales_Data!F238))</f>
        <v>Rohit Singh</v>
      </c>
      <c r="B238" s="26" t="str">
        <f>_xlfn.CONCAT(LEFT(A238,3),RIGHT(Sales_Data!B238,3),LEFT(Sales_Data!I238,2))</f>
        <v>Roh003Mu</v>
      </c>
      <c r="C238" s="26" t="str">
        <f>IF(COUNTIF(Sales_Data!T238, "*@*"), LOWER(TRIM(Sales_Data!T238)), "Invalid Email")</f>
        <v>rohit.singh@company.com</v>
      </c>
    </row>
    <row r="239" spans="1:3" x14ac:dyDescent="0.3">
      <c r="A239" s="26" t="str">
        <f>TRIM(PROPER(Sales_Data!F239))</f>
        <v>Vikas Mehta</v>
      </c>
      <c r="B239" s="26" t="str">
        <f>_xlfn.CONCAT(LEFT(A239,3),RIGHT(Sales_Data!B239,3),LEFT(Sales_Data!I239,2))</f>
        <v>Vik005Hy</v>
      </c>
      <c r="C239" s="26" t="str">
        <f>IF(COUNTIF(Sales_Data!T239, "*@*"), LOWER(TRIM(Sales_Data!T239)), "Invalid Email")</f>
        <v>vikas.mehta@company.com</v>
      </c>
    </row>
    <row r="240" spans="1:3" x14ac:dyDescent="0.3">
      <c r="A240" s="26" t="str">
        <f>TRIM(PROPER(Sales_Data!F240))</f>
        <v>Pooja Shah</v>
      </c>
      <c r="B240" s="26" t="str">
        <f>_xlfn.CONCAT(LEFT(A240,3),RIGHT(Sales_Data!B240,3),LEFT(Sales_Data!I240,2))</f>
        <v>Poo010Pu</v>
      </c>
      <c r="C240" s="26" t="str">
        <f>IF(COUNTIF(Sales_Data!T240, "*@*"), LOWER(TRIM(Sales_Data!T240)), "Invalid Email")</f>
        <v>pooja.shah@company.com</v>
      </c>
    </row>
    <row r="241" spans="1:3" x14ac:dyDescent="0.3">
      <c r="A241" s="26" t="str">
        <f>TRIM(PROPER(Sales_Data!F241))</f>
        <v>Pooja Shah</v>
      </c>
      <c r="B241" s="26" t="str">
        <f>_xlfn.CONCAT(LEFT(A241,3),RIGHT(Sales_Data!B241,3),LEFT(Sales_Data!I241,2))</f>
        <v>Poo010Hy</v>
      </c>
      <c r="C241" s="26" t="str">
        <f>IF(COUNTIF(Sales_Data!T241, "*@*"), LOWER(TRIM(Sales_Data!T241)), "Invalid Email")</f>
        <v>pooja.shah@company.com</v>
      </c>
    </row>
    <row r="242" spans="1:3" x14ac:dyDescent="0.3">
      <c r="A242" s="26" t="str">
        <f>TRIM(PROPER(Sales_Data!F242))</f>
        <v>Anita Gupta</v>
      </c>
      <c r="B242" s="26" t="str">
        <f>_xlfn.CONCAT(LEFT(A242,3),RIGHT(Sales_Data!B242,3),LEFT(Sales_Data!I242,2))</f>
        <v>Ani004Pu</v>
      </c>
      <c r="C242" s="26" t="str">
        <f>IF(COUNTIF(Sales_Data!T242, "*@*"), LOWER(TRIM(Sales_Data!T242)), "Invalid Email")</f>
        <v>anita.gupta@company.com</v>
      </c>
    </row>
    <row r="243" spans="1:3" x14ac:dyDescent="0.3">
      <c r="A243" s="26" t="str">
        <f>TRIM(PROPER(Sales_Data!F243))</f>
        <v>Anita Gupta</v>
      </c>
      <c r="B243" s="26" t="str">
        <f>_xlfn.CONCAT(LEFT(A243,3),RIGHT(Sales_Data!B243,3),LEFT(Sales_Data!I243,2))</f>
        <v>Ani004Ko</v>
      </c>
      <c r="C243" s="26" t="str">
        <f>IF(COUNTIF(Sales_Data!T243, "*@*"), LOWER(TRIM(Sales_Data!T243)), "Invalid Email")</f>
        <v>anita.gupta@company.com</v>
      </c>
    </row>
    <row r="244" spans="1:3" x14ac:dyDescent="0.3">
      <c r="A244" s="26" t="str">
        <f>TRIM(PROPER(Sales_Data!F244))</f>
        <v>Arjun Rao</v>
      </c>
      <c r="B244" s="26" t="str">
        <f>_xlfn.CONCAT(LEFT(A244,3),RIGHT(Sales_Data!B244,3),LEFT(Sales_Data!I244,2))</f>
        <v>Arj007Be</v>
      </c>
      <c r="C244" s="26" t="str">
        <f>IF(COUNTIF(Sales_Data!T244, "*@*"), LOWER(TRIM(Sales_Data!T244)), "Invalid Email")</f>
        <v>arjun.rao@company.com</v>
      </c>
    </row>
    <row r="245" spans="1:3" x14ac:dyDescent="0.3">
      <c r="A245" s="26" t="str">
        <f>TRIM(PROPER(Sales_Data!F245))</f>
        <v>Pooja Shah</v>
      </c>
      <c r="B245" s="26" t="str">
        <f>_xlfn.CONCAT(LEFT(A245,3),RIGHT(Sales_Data!B245,3),LEFT(Sales_Data!I245,2))</f>
        <v>Poo010Mu</v>
      </c>
      <c r="C245" s="26" t="str">
        <f>IF(COUNTIF(Sales_Data!T245, "*@*"), LOWER(TRIM(Sales_Data!T245)), "Invalid Email")</f>
        <v>pooja.shah@company.com</v>
      </c>
    </row>
    <row r="246" spans="1:3" x14ac:dyDescent="0.3">
      <c r="A246" s="26" t="str">
        <f>TRIM(PROPER(Sales_Data!F246))</f>
        <v>Kavya Nair</v>
      </c>
      <c r="B246" s="26" t="str">
        <f>_xlfn.CONCAT(LEFT(A246,3),RIGHT(Sales_Data!B246,3),LEFT(Sales_Data!I246,2))</f>
        <v>Kav008Be</v>
      </c>
      <c r="C246" s="26" t="str">
        <f>IF(COUNTIF(Sales_Data!T246, "*@*"), LOWER(TRIM(Sales_Data!T246)), "Invalid Email")</f>
        <v>kavya.nair@company.com</v>
      </c>
    </row>
    <row r="247" spans="1:3" x14ac:dyDescent="0.3">
      <c r="A247" s="26" t="str">
        <f>TRIM(PROPER(Sales_Data!F247))</f>
        <v>Amit Sharma</v>
      </c>
      <c r="B247" s="26" t="str">
        <f>_xlfn.CONCAT(LEFT(A247,3),RIGHT(Sales_Data!B247,3),LEFT(Sales_Data!I247,2))</f>
        <v>Ami001Hy</v>
      </c>
      <c r="C247" s="26" t="str">
        <f>IF(COUNTIF(Sales_Data!T247, "*@*"), LOWER(TRIM(Sales_Data!T247)), "Invalid Email")</f>
        <v>amit.sharma@company.com</v>
      </c>
    </row>
    <row r="248" spans="1:3" x14ac:dyDescent="0.3">
      <c r="A248" s="26" t="str">
        <f>TRIM(PROPER(Sales_Data!F248))</f>
        <v>Rohit Singh</v>
      </c>
      <c r="B248" s="26" t="str">
        <f>_xlfn.CONCAT(LEFT(A248,3),RIGHT(Sales_Data!B248,3),LEFT(Sales_Data!I248,2))</f>
        <v>Roh003Ko</v>
      </c>
      <c r="C248" s="26" t="str">
        <f>IF(COUNTIF(Sales_Data!T248, "*@*"), LOWER(TRIM(Sales_Data!T248)), "Invalid Email")</f>
        <v>rohit.singh@company.com</v>
      </c>
    </row>
    <row r="249" spans="1:3" x14ac:dyDescent="0.3">
      <c r="A249" s="26" t="str">
        <f>TRIM(PROPER(Sales_Data!F249))</f>
        <v>Mohit Verma</v>
      </c>
      <c r="B249" s="26" t="str">
        <f>_xlfn.CONCAT(LEFT(A249,3),RIGHT(Sales_Data!B249,3),LEFT(Sales_Data!I249,2))</f>
        <v>Moh009Mu</v>
      </c>
      <c r="C249" s="26" t="str">
        <f>IF(COUNTIF(Sales_Data!T249, "*@*"), LOWER(TRIM(Sales_Data!T249)), "Invalid Email")</f>
        <v>mohit.verma@company.com</v>
      </c>
    </row>
    <row r="250" spans="1:3" x14ac:dyDescent="0.3">
      <c r="A250" s="26" t="str">
        <f>TRIM(PROPER(Sales_Data!F250))</f>
        <v>Mohit Verma</v>
      </c>
      <c r="B250" s="26" t="str">
        <f>_xlfn.CONCAT(LEFT(A250,3),RIGHT(Sales_Data!B250,3),LEFT(Sales_Data!I250,2))</f>
        <v>Moh009Be</v>
      </c>
      <c r="C250" s="26" t="str">
        <f>IF(COUNTIF(Sales_Data!T250, "*@*"), LOWER(TRIM(Sales_Data!T250)), "Invalid Email")</f>
        <v>mohit.verma@company.com</v>
      </c>
    </row>
    <row r="251" spans="1:3" x14ac:dyDescent="0.3">
      <c r="A251" s="26" t="str">
        <f>TRIM(PROPER(Sales_Data!F251))</f>
        <v>Amit Sharma</v>
      </c>
      <c r="B251" s="26" t="str">
        <f>_xlfn.CONCAT(LEFT(A251,3),RIGHT(Sales_Data!B251,3),LEFT(Sales_Data!I251,2))</f>
        <v>Ami001Be</v>
      </c>
      <c r="C251" s="26" t="str">
        <f>IF(COUNTIF(Sales_Data!T251, "*@*"), LOWER(TRIM(Sales_Data!T251)), "Invalid Email")</f>
        <v>amit.sharma@company.com</v>
      </c>
    </row>
    <row r="252" spans="1:3" x14ac:dyDescent="0.3">
      <c r="A252" s="26" t="str">
        <f>TRIM(PROPER(Sales_Data!F252))</f>
        <v>Vikas Mehta</v>
      </c>
      <c r="B252" s="26" t="str">
        <f>_xlfn.CONCAT(LEFT(A252,3),RIGHT(Sales_Data!B252,3),LEFT(Sales_Data!I252,2))</f>
        <v>Vik005De</v>
      </c>
      <c r="C252" s="26" t="str">
        <f>IF(COUNTIF(Sales_Data!T252, "*@*"), LOWER(TRIM(Sales_Data!T252)), "Invalid Email")</f>
        <v>vikas.mehta@company.com</v>
      </c>
    </row>
    <row r="253" spans="1:3" x14ac:dyDescent="0.3">
      <c r="A253" s="26" t="str">
        <f>TRIM(PROPER(Sales_Data!F253))</f>
        <v>Kavya Nair</v>
      </c>
      <c r="B253" s="26" t="str">
        <f>_xlfn.CONCAT(LEFT(A253,3),RIGHT(Sales_Data!B253,3),LEFT(Sales_Data!I253,2))</f>
        <v>Kav008Ko</v>
      </c>
      <c r="C253" s="26" t="str">
        <f>IF(COUNTIF(Sales_Data!T253, "*@*"), LOWER(TRIM(Sales_Data!T253)), "Invalid Email")</f>
        <v>kavya.nair@company.com</v>
      </c>
    </row>
    <row r="254" spans="1:3" x14ac:dyDescent="0.3">
      <c r="A254" s="26" t="str">
        <f>TRIM(PROPER(Sales_Data!F254))</f>
        <v>Amit Sharma</v>
      </c>
      <c r="B254" s="26" t="str">
        <f>_xlfn.CONCAT(LEFT(A254,3),RIGHT(Sales_Data!B254,3),LEFT(Sales_Data!I254,2))</f>
        <v>Ami001De</v>
      </c>
      <c r="C254" s="26" t="str">
        <f>IF(COUNTIF(Sales_Data!T254, "*@*"), LOWER(TRIM(Sales_Data!T254)), "Invalid Email")</f>
        <v>amit.sharma@company.com</v>
      </c>
    </row>
    <row r="255" spans="1:3" x14ac:dyDescent="0.3">
      <c r="A255" s="26" t="str">
        <f>TRIM(PROPER(Sales_Data!F255))</f>
        <v>Rohit Singh</v>
      </c>
      <c r="B255" s="26" t="str">
        <f>_xlfn.CONCAT(LEFT(A255,3),RIGHT(Sales_Data!B255,3),LEFT(Sales_Data!I255,2))</f>
        <v>Roh003Ko</v>
      </c>
      <c r="C255" s="26" t="str">
        <f>IF(COUNTIF(Sales_Data!T255, "*@*"), LOWER(TRIM(Sales_Data!T255)), "Invalid Email")</f>
        <v>rohit.singh@company.com</v>
      </c>
    </row>
    <row r="256" spans="1:3" x14ac:dyDescent="0.3">
      <c r="A256" s="26" t="str">
        <f>TRIM(PROPER(Sales_Data!F256))</f>
        <v>Vikas Mehta</v>
      </c>
      <c r="B256" s="26" t="str">
        <f>_xlfn.CONCAT(LEFT(A256,3),RIGHT(Sales_Data!B256,3),LEFT(Sales_Data!I256,2))</f>
        <v>Vik005Pu</v>
      </c>
      <c r="C256" s="26" t="str">
        <f>IF(COUNTIF(Sales_Data!T256, "*@*"), LOWER(TRIM(Sales_Data!T256)), "Invalid Email")</f>
        <v>vikas.mehta@company.com</v>
      </c>
    </row>
    <row r="257" spans="1:3" x14ac:dyDescent="0.3">
      <c r="A257" s="26" t="str">
        <f>TRIM(PROPER(Sales_Data!F257))</f>
        <v>Vikas Mehta</v>
      </c>
      <c r="B257" s="26" t="str">
        <f>_xlfn.CONCAT(LEFT(A257,3),RIGHT(Sales_Data!B257,3),LEFT(Sales_Data!I257,2))</f>
        <v>Vik005Hy</v>
      </c>
      <c r="C257" s="26" t="str">
        <f>IF(COUNTIF(Sales_Data!T257, "*@*"), LOWER(TRIM(Sales_Data!T257)), "Invalid Email")</f>
        <v>vikas.mehta@company.com</v>
      </c>
    </row>
    <row r="258" spans="1:3" x14ac:dyDescent="0.3">
      <c r="A258" s="26" t="str">
        <f>TRIM(PROPER(Sales_Data!F258))</f>
        <v>Rohit Singh</v>
      </c>
      <c r="B258" s="26" t="str">
        <f>_xlfn.CONCAT(LEFT(A258,3),RIGHT(Sales_Data!B258,3),LEFT(Sales_Data!I258,2))</f>
        <v>Roh003Hy</v>
      </c>
      <c r="C258" s="26" t="str">
        <f>IF(COUNTIF(Sales_Data!T258, "*@*"), LOWER(TRIM(Sales_Data!T258)), "Invalid Email")</f>
        <v>rohit.singh@company.com</v>
      </c>
    </row>
    <row r="259" spans="1:3" x14ac:dyDescent="0.3">
      <c r="A259" s="26" t="str">
        <f>TRIM(PROPER(Sales_Data!F259))</f>
        <v>Kavya Nair</v>
      </c>
      <c r="B259" s="26" t="str">
        <f>_xlfn.CONCAT(LEFT(A259,3),RIGHT(Sales_Data!B259,3),LEFT(Sales_Data!I259,2))</f>
        <v>Kav008Be</v>
      </c>
      <c r="C259" s="26" t="str">
        <f>IF(COUNTIF(Sales_Data!T259, "*@*"), LOWER(TRIM(Sales_Data!T259)), "Invalid Email")</f>
        <v>kavya.nair@company.com</v>
      </c>
    </row>
    <row r="260" spans="1:3" x14ac:dyDescent="0.3">
      <c r="A260" s="26" t="str">
        <f>TRIM(PROPER(Sales_Data!F260))</f>
        <v>Kavya Nair</v>
      </c>
      <c r="B260" s="26" t="str">
        <f>_xlfn.CONCAT(LEFT(A260,3),RIGHT(Sales_Data!B260,3),LEFT(Sales_Data!I260,2))</f>
        <v>Kav008Mu</v>
      </c>
      <c r="C260" s="26" t="str">
        <f>IF(COUNTIF(Sales_Data!T260, "*@*"), LOWER(TRIM(Sales_Data!T260)), "Invalid Email")</f>
        <v>kavya.nair@company.com</v>
      </c>
    </row>
    <row r="261" spans="1:3" x14ac:dyDescent="0.3">
      <c r="A261" s="26" t="str">
        <f>TRIM(PROPER(Sales_Data!F261))</f>
        <v>Arjun Rao</v>
      </c>
      <c r="B261" s="26" t="str">
        <f>_xlfn.CONCAT(LEFT(A261,3),RIGHT(Sales_Data!B261,3),LEFT(Sales_Data!I261,2))</f>
        <v>Arj007Ja</v>
      </c>
      <c r="C261" s="26" t="str">
        <f>IF(COUNTIF(Sales_Data!T261, "*@*"), LOWER(TRIM(Sales_Data!T261)), "Invalid Email")</f>
        <v>arjun.rao@company.com</v>
      </c>
    </row>
    <row r="262" spans="1:3" x14ac:dyDescent="0.3">
      <c r="A262" s="26" t="str">
        <f>TRIM(PROPER(Sales_Data!F262))</f>
        <v>Kavya Nair</v>
      </c>
      <c r="B262" s="26" t="str">
        <f>_xlfn.CONCAT(LEFT(A262,3),RIGHT(Sales_Data!B262,3),LEFT(Sales_Data!I262,2))</f>
        <v>Kav008Ko</v>
      </c>
      <c r="C262" s="26" t="str">
        <f>IF(COUNTIF(Sales_Data!T262, "*@*"), LOWER(TRIM(Sales_Data!T262)), "Invalid Email")</f>
        <v>kavya.nair@company.com</v>
      </c>
    </row>
    <row r="263" spans="1:3" x14ac:dyDescent="0.3">
      <c r="A263" s="26" t="str">
        <f>TRIM(PROPER(Sales_Data!F263))</f>
        <v>Amit Sharma</v>
      </c>
      <c r="B263" s="26" t="str">
        <f>_xlfn.CONCAT(LEFT(A263,3),RIGHT(Sales_Data!B263,3),LEFT(Sales_Data!I263,2))</f>
        <v>Ami001Pu</v>
      </c>
      <c r="C263" s="26" t="str">
        <f>IF(COUNTIF(Sales_Data!T263, "*@*"), LOWER(TRIM(Sales_Data!T263)), "Invalid Email")</f>
        <v>amit.sharma@company.com</v>
      </c>
    </row>
    <row r="264" spans="1:3" x14ac:dyDescent="0.3">
      <c r="A264" s="26" t="str">
        <f>TRIM(PROPER(Sales_Data!F264))</f>
        <v>Sneha Joshi</v>
      </c>
      <c r="B264" s="26" t="str">
        <f>_xlfn.CONCAT(LEFT(A264,3),RIGHT(Sales_Data!B264,3),LEFT(Sales_Data!I264,2))</f>
        <v>Sne006Ko</v>
      </c>
      <c r="C264" s="26" t="str">
        <f>IF(COUNTIF(Sales_Data!T264, "*@*"), LOWER(TRIM(Sales_Data!T264)), "Invalid Email")</f>
        <v>sneha.joshi@company.com</v>
      </c>
    </row>
    <row r="265" spans="1:3" x14ac:dyDescent="0.3">
      <c r="A265" s="26" t="str">
        <f>TRIM(PROPER(Sales_Data!F265))</f>
        <v>Kavya Nair</v>
      </c>
      <c r="B265" s="26" t="str">
        <f>_xlfn.CONCAT(LEFT(A265,3),RIGHT(Sales_Data!B265,3),LEFT(Sales_Data!I265,2))</f>
        <v>Kav008Ah</v>
      </c>
      <c r="C265" s="26" t="str">
        <f>IF(COUNTIF(Sales_Data!T265, "*@*"), LOWER(TRIM(Sales_Data!T265)), "Invalid Email")</f>
        <v>kavya.nair@company.com</v>
      </c>
    </row>
    <row r="266" spans="1:3" x14ac:dyDescent="0.3">
      <c r="A266" s="26" t="str">
        <f>TRIM(PROPER(Sales_Data!F266))</f>
        <v>Mohit Verma</v>
      </c>
      <c r="B266" s="26" t="str">
        <f>_xlfn.CONCAT(LEFT(A266,3),RIGHT(Sales_Data!B266,3),LEFT(Sales_Data!I266,2))</f>
        <v>Moh009De</v>
      </c>
      <c r="C266" s="26" t="str">
        <f>IF(COUNTIF(Sales_Data!T266, "*@*"), LOWER(TRIM(Sales_Data!T266)), "Invalid Email")</f>
        <v>mohit.verma@company.com</v>
      </c>
    </row>
    <row r="267" spans="1:3" x14ac:dyDescent="0.3">
      <c r="A267" s="26" t="str">
        <f>TRIM(PROPER(Sales_Data!F267))</f>
        <v>Kavya Nair</v>
      </c>
      <c r="B267" s="26" t="str">
        <f>_xlfn.CONCAT(LEFT(A267,3),RIGHT(Sales_Data!B267,3),LEFT(Sales_Data!I267,2))</f>
        <v>Kav008Ja</v>
      </c>
      <c r="C267" s="26" t="str">
        <f>IF(COUNTIF(Sales_Data!T267, "*@*"), LOWER(TRIM(Sales_Data!T267)), "Invalid Email")</f>
        <v>kavya.nair@company.com</v>
      </c>
    </row>
    <row r="268" spans="1:3" x14ac:dyDescent="0.3">
      <c r="A268" s="26" t="str">
        <f>TRIM(PROPER(Sales_Data!F268))</f>
        <v>Pooja Shah</v>
      </c>
      <c r="B268" s="26" t="str">
        <f>_xlfn.CONCAT(LEFT(A268,3),RIGHT(Sales_Data!B268,3),LEFT(Sales_Data!I268,2))</f>
        <v>Poo010Mu</v>
      </c>
      <c r="C268" s="26" t="str">
        <f>IF(COUNTIF(Sales_Data!T268, "*@*"), LOWER(TRIM(Sales_Data!T268)), "Invalid Email")</f>
        <v>pooja.shah@company.com</v>
      </c>
    </row>
    <row r="269" spans="1:3" x14ac:dyDescent="0.3">
      <c r="A269" s="26" t="str">
        <f>TRIM(PROPER(Sales_Data!F269))</f>
        <v>Rohit Singh</v>
      </c>
      <c r="B269" s="26" t="str">
        <f>_xlfn.CONCAT(LEFT(A269,3),RIGHT(Sales_Data!B269,3),LEFT(Sales_Data!I269,2))</f>
        <v>Roh003Hy</v>
      </c>
      <c r="C269" s="26" t="str">
        <f>IF(COUNTIF(Sales_Data!T269, "*@*"), LOWER(TRIM(Sales_Data!T269)), "Invalid Email")</f>
        <v>rohit.singh@company.com</v>
      </c>
    </row>
    <row r="270" spans="1:3" x14ac:dyDescent="0.3">
      <c r="A270" s="26" t="str">
        <f>TRIM(PROPER(Sales_Data!F270))</f>
        <v>Sneha Joshi</v>
      </c>
      <c r="B270" s="26" t="str">
        <f>_xlfn.CONCAT(LEFT(A270,3),RIGHT(Sales_Data!B270,3),LEFT(Sales_Data!I270,2))</f>
        <v>Sne006Ja</v>
      </c>
      <c r="C270" s="26" t="str">
        <f>IF(COUNTIF(Sales_Data!T270, "*@*"), LOWER(TRIM(Sales_Data!T270)), "Invalid Email")</f>
        <v>sneha.joshi@company.com</v>
      </c>
    </row>
    <row r="271" spans="1:3" x14ac:dyDescent="0.3">
      <c r="A271" s="26" t="str">
        <f>TRIM(PROPER(Sales_Data!F271))</f>
        <v>Mohit Verma</v>
      </c>
      <c r="B271" s="26" t="str">
        <f>_xlfn.CONCAT(LEFT(A271,3),RIGHT(Sales_Data!B271,3),LEFT(Sales_Data!I271,2))</f>
        <v>Moh009Ko</v>
      </c>
      <c r="C271" s="26" t="str">
        <f>IF(COUNTIF(Sales_Data!T271, "*@*"), LOWER(TRIM(Sales_Data!T271)), "Invalid Email")</f>
        <v>mohit.verma@company.com</v>
      </c>
    </row>
    <row r="272" spans="1:3" x14ac:dyDescent="0.3">
      <c r="A272" s="26" t="str">
        <f>TRIM(PROPER(Sales_Data!F272))</f>
        <v>Rohit Singh</v>
      </c>
      <c r="B272" s="26" t="str">
        <f>_xlfn.CONCAT(LEFT(A272,3),RIGHT(Sales_Data!B272,3),LEFT(Sales_Data!I272,2))</f>
        <v>Roh003Ah</v>
      </c>
      <c r="C272" s="26" t="str">
        <f>IF(COUNTIF(Sales_Data!T272, "*@*"), LOWER(TRIM(Sales_Data!T272)), "Invalid Email")</f>
        <v>rohit.singh@company.com</v>
      </c>
    </row>
    <row r="273" spans="1:3" x14ac:dyDescent="0.3">
      <c r="A273" s="26" t="str">
        <f>TRIM(PROPER(Sales_Data!F273))</f>
        <v>Kavya Nair</v>
      </c>
      <c r="B273" s="26" t="str">
        <f>_xlfn.CONCAT(LEFT(A273,3),RIGHT(Sales_Data!B273,3),LEFT(Sales_Data!I273,2))</f>
        <v>Kav008Mu</v>
      </c>
      <c r="C273" s="26" t="str">
        <f>IF(COUNTIF(Sales_Data!T273, "*@*"), LOWER(TRIM(Sales_Data!T273)), "Invalid Email")</f>
        <v>kavya.nair@company.com</v>
      </c>
    </row>
    <row r="274" spans="1:3" x14ac:dyDescent="0.3">
      <c r="A274" s="26" t="str">
        <f>TRIM(PROPER(Sales_Data!F274))</f>
        <v>Arjun Rao</v>
      </c>
      <c r="B274" s="26" t="str">
        <f>_xlfn.CONCAT(LEFT(A274,3),RIGHT(Sales_Data!B274,3),LEFT(Sales_Data!I274,2))</f>
        <v>Arj007Ja</v>
      </c>
      <c r="C274" s="26" t="str">
        <f>IF(COUNTIF(Sales_Data!T274, "*@*"), LOWER(TRIM(Sales_Data!T274)), "Invalid Email")</f>
        <v>arjun.rao@company.com</v>
      </c>
    </row>
    <row r="275" spans="1:3" x14ac:dyDescent="0.3">
      <c r="A275" s="26" t="str">
        <f>TRIM(PROPER(Sales_Data!F275))</f>
        <v>Pooja Shah</v>
      </c>
      <c r="B275" s="26" t="str">
        <f>_xlfn.CONCAT(LEFT(A275,3),RIGHT(Sales_Data!B275,3),LEFT(Sales_Data!I275,2))</f>
        <v>Poo010Pu</v>
      </c>
      <c r="C275" s="26" t="str">
        <f>IF(COUNTIF(Sales_Data!T275, "*@*"), LOWER(TRIM(Sales_Data!T275)), "Invalid Email")</f>
        <v>pooja.shah@company.com</v>
      </c>
    </row>
    <row r="276" spans="1:3" x14ac:dyDescent="0.3">
      <c r="A276" s="26" t="str">
        <f>TRIM(PROPER(Sales_Data!F276))</f>
        <v>Vikas Mehta</v>
      </c>
      <c r="B276" s="26" t="str">
        <f>_xlfn.CONCAT(LEFT(A276,3),RIGHT(Sales_Data!B276,3),LEFT(Sales_Data!I276,2))</f>
        <v>Vik005Ko</v>
      </c>
      <c r="C276" s="26" t="str">
        <f>IF(COUNTIF(Sales_Data!T276, "*@*"), LOWER(TRIM(Sales_Data!T276)), "Invalid Email")</f>
        <v>vikas.mehta@company.com</v>
      </c>
    </row>
    <row r="277" spans="1:3" x14ac:dyDescent="0.3">
      <c r="A277" s="26" t="str">
        <f>TRIM(PROPER(Sales_Data!F277))</f>
        <v>Priya Patel</v>
      </c>
      <c r="B277" s="26" t="str">
        <f>_xlfn.CONCAT(LEFT(A277,3),RIGHT(Sales_Data!B277,3),LEFT(Sales_Data!I277,2))</f>
        <v>Pri002Ah</v>
      </c>
      <c r="C277" s="26" t="str">
        <f>IF(COUNTIF(Sales_Data!T277, "*@*"), LOWER(TRIM(Sales_Data!T277)), "Invalid Email")</f>
        <v>priya.patel@company.com</v>
      </c>
    </row>
    <row r="278" spans="1:3" x14ac:dyDescent="0.3">
      <c r="A278" s="26" t="str">
        <f>TRIM(PROPER(Sales_Data!F278))</f>
        <v>Arjun Rao</v>
      </c>
      <c r="B278" s="26" t="str">
        <f>_xlfn.CONCAT(LEFT(A278,3),RIGHT(Sales_Data!B278,3),LEFT(Sales_Data!I278,2))</f>
        <v>Arj007Be</v>
      </c>
      <c r="C278" s="26" t="str">
        <f>IF(COUNTIF(Sales_Data!T278, "*@*"), LOWER(TRIM(Sales_Data!T278)), "Invalid Email")</f>
        <v>arjun.rao@company.com</v>
      </c>
    </row>
    <row r="279" spans="1:3" x14ac:dyDescent="0.3">
      <c r="A279" s="26" t="str">
        <f>TRIM(PROPER(Sales_Data!F279))</f>
        <v>Anita Gupta</v>
      </c>
      <c r="B279" s="26" t="str">
        <f>_xlfn.CONCAT(LEFT(A279,3),RIGHT(Sales_Data!B279,3),LEFT(Sales_Data!I279,2))</f>
        <v>Ani004Mu</v>
      </c>
      <c r="C279" s="26" t="str">
        <f>IF(COUNTIF(Sales_Data!T279, "*@*"), LOWER(TRIM(Sales_Data!T279)), "Invalid Email")</f>
        <v>anita.gupta@company.com</v>
      </c>
    </row>
    <row r="280" spans="1:3" x14ac:dyDescent="0.3">
      <c r="A280" s="26" t="str">
        <f>TRIM(PROPER(Sales_Data!F280))</f>
        <v>Priya Patel</v>
      </c>
      <c r="B280" s="26" t="str">
        <f>_xlfn.CONCAT(LEFT(A280,3),RIGHT(Sales_Data!B280,3),LEFT(Sales_Data!I280,2))</f>
        <v>Pri002Mu</v>
      </c>
      <c r="C280" s="26" t="str">
        <f>IF(COUNTIF(Sales_Data!T280, "*@*"), LOWER(TRIM(Sales_Data!T280)), "Invalid Email")</f>
        <v>priya.patel@company.com</v>
      </c>
    </row>
    <row r="281" spans="1:3" x14ac:dyDescent="0.3">
      <c r="A281" s="26" t="str">
        <f>TRIM(PROPER(Sales_Data!F281))</f>
        <v>Sneha Joshi</v>
      </c>
      <c r="B281" s="26" t="str">
        <f>_xlfn.CONCAT(LEFT(A281,3),RIGHT(Sales_Data!B281,3),LEFT(Sales_Data!I281,2))</f>
        <v>Sne006Ah</v>
      </c>
      <c r="C281" s="26" t="str">
        <f>IF(COUNTIF(Sales_Data!T281, "*@*"), LOWER(TRIM(Sales_Data!T281)), "Invalid Email")</f>
        <v>sneha.joshi@company.com</v>
      </c>
    </row>
    <row r="282" spans="1:3" x14ac:dyDescent="0.3">
      <c r="A282" s="26" t="str">
        <f>TRIM(PROPER(Sales_Data!F282))</f>
        <v>Mohit Verma</v>
      </c>
      <c r="B282" s="26" t="str">
        <f>_xlfn.CONCAT(LEFT(A282,3),RIGHT(Sales_Data!B282,3),LEFT(Sales_Data!I282,2))</f>
        <v>Moh009Ja</v>
      </c>
      <c r="C282" s="26" t="str">
        <f>IF(COUNTIF(Sales_Data!T282, "*@*"), LOWER(TRIM(Sales_Data!T282)), "Invalid Email")</f>
        <v>mohit.verma@company.com</v>
      </c>
    </row>
    <row r="283" spans="1:3" x14ac:dyDescent="0.3">
      <c r="A283" s="26" t="str">
        <f>TRIM(PROPER(Sales_Data!F283))</f>
        <v>Sneha Joshi</v>
      </c>
      <c r="B283" s="26" t="str">
        <f>_xlfn.CONCAT(LEFT(A283,3),RIGHT(Sales_Data!B283,3),LEFT(Sales_Data!I283,2))</f>
        <v>Sne006Ja</v>
      </c>
      <c r="C283" s="26" t="str">
        <f>IF(COUNTIF(Sales_Data!T283, "*@*"), LOWER(TRIM(Sales_Data!T283)), "Invalid Email")</f>
        <v>sneha.joshi@company.com</v>
      </c>
    </row>
    <row r="284" spans="1:3" x14ac:dyDescent="0.3">
      <c r="A284" s="26" t="str">
        <f>TRIM(PROPER(Sales_Data!F284))</f>
        <v>Arjun Rao</v>
      </c>
      <c r="B284" s="26" t="str">
        <f>_xlfn.CONCAT(LEFT(A284,3),RIGHT(Sales_Data!B284,3),LEFT(Sales_Data!I284,2))</f>
        <v>Arj007Mu</v>
      </c>
      <c r="C284" s="26" t="str">
        <f>IF(COUNTIF(Sales_Data!T284, "*@*"), LOWER(TRIM(Sales_Data!T284)), "Invalid Email")</f>
        <v>arjun.rao@company.com</v>
      </c>
    </row>
    <row r="285" spans="1:3" x14ac:dyDescent="0.3">
      <c r="A285" s="26" t="str">
        <f>TRIM(PROPER(Sales_Data!F285))</f>
        <v>Mohit Verma</v>
      </c>
      <c r="B285" s="26" t="str">
        <f>_xlfn.CONCAT(LEFT(A285,3),RIGHT(Sales_Data!B285,3),LEFT(Sales_Data!I285,2))</f>
        <v>Moh009Ah</v>
      </c>
      <c r="C285" s="26" t="str">
        <f>IF(COUNTIF(Sales_Data!T285, "*@*"), LOWER(TRIM(Sales_Data!T285)), "Invalid Email")</f>
        <v>mohit.verma@company.com</v>
      </c>
    </row>
    <row r="286" spans="1:3" x14ac:dyDescent="0.3">
      <c r="A286" s="26" t="str">
        <f>TRIM(PROPER(Sales_Data!F286))</f>
        <v>Sneha Joshi</v>
      </c>
      <c r="B286" s="26" t="str">
        <f>_xlfn.CONCAT(LEFT(A286,3),RIGHT(Sales_Data!B286,3),LEFT(Sales_Data!I286,2))</f>
        <v>Sne006Hy</v>
      </c>
      <c r="C286" s="26" t="str">
        <f>IF(COUNTIF(Sales_Data!T286, "*@*"), LOWER(TRIM(Sales_Data!T286)), "Invalid Email")</f>
        <v>sneha.joshi@company.com</v>
      </c>
    </row>
    <row r="287" spans="1:3" x14ac:dyDescent="0.3">
      <c r="A287" s="26" t="str">
        <f>TRIM(PROPER(Sales_Data!F287))</f>
        <v>Sneha Joshi</v>
      </c>
      <c r="B287" s="26" t="str">
        <f>_xlfn.CONCAT(LEFT(A287,3),RIGHT(Sales_Data!B287,3),LEFT(Sales_Data!I287,2))</f>
        <v>Sne006Be</v>
      </c>
      <c r="C287" s="26" t="str">
        <f>IF(COUNTIF(Sales_Data!T287, "*@*"), LOWER(TRIM(Sales_Data!T287)), "Invalid Email")</f>
        <v>sneha.joshi@company.com</v>
      </c>
    </row>
    <row r="288" spans="1:3" x14ac:dyDescent="0.3">
      <c r="A288" s="26" t="str">
        <f>TRIM(PROPER(Sales_Data!F288))</f>
        <v>Anita Gupta</v>
      </c>
      <c r="B288" s="26" t="str">
        <f>_xlfn.CONCAT(LEFT(A288,3),RIGHT(Sales_Data!B288,3),LEFT(Sales_Data!I288,2))</f>
        <v>Ani004Hy</v>
      </c>
      <c r="C288" s="26" t="str">
        <f>IF(COUNTIF(Sales_Data!T288, "*@*"), LOWER(TRIM(Sales_Data!T288)), "Invalid Email")</f>
        <v>anita.gupta@company.com</v>
      </c>
    </row>
    <row r="289" spans="1:3" x14ac:dyDescent="0.3">
      <c r="A289" s="26" t="str">
        <f>TRIM(PROPER(Sales_Data!F289))</f>
        <v>Priya Patel</v>
      </c>
      <c r="B289" s="26" t="str">
        <f>_xlfn.CONCAT(LEFT(A289,3),RIGHT(Sales_Data!B289,3),LEFT(Sales_Data!I289,2))</f>
        <v>Pri002Mu</v>
      </c>
      <c r="C289" s="26" t="str">
        <f>IF(COUNTIF(Sales_Data!T289, "*@*"), LOWER(TRIM(Sales_Data!T289)), "Invalid Email")</f>
        <v>Invalid Email</v>
      </c>
    </row>
    <row r="290" spans="1:3" x14ac:dyDescent="0.3">
      <c r="A290" s="26" t="str">
        <f>TRIM(PROPER(Sales_Data!F290))</f>
        <v>Mohit Verma</v>
      </c>
      <c r="B290" s="26" t="str">
        <f>_xlfn.CONCAT(LEFT(A290,3),RIGHT(Sales_Data!B290,3),LEFT(Sales_Data!I290,2))</f>
        <v>Moh009Pu</v>
      </c>
      <c r="C290" s="26" t="str">
        <f>IF(COUNTIF(Sales_Data!T290, "*@*"), LOWER(TRIM(Sales_Data!T290)), "Invalid Email")</f>
        <v>mohit.verma@company.com</v>
      </c>
    </row>
    <row r="291" spans="1:3" x14ac:dyDescent="0.3">
      <c r="A291" s="26" t="str">
        <f>TRIM(PROPER(Sales_Data!F291))</f>
        <v>Mohit Verma</v>
      </c>
      <c r="B291" s="26" t="str">
        <f>_xlfn.CONCAT(LEFT(A291,3),RIGHT(Sales_Data!B291,3),LEFT(Sales_Data!I291,2))</f>
        <v>Moh009Pu</v>
      </c>
      <c r="C291" s="26" t="str">
        <f>IF(COUNTIF(Sales_Data!T291, "*@*"), LOWER(TRIM(Sales_Data!T291)), "Invalid Email")</f>
        <v>mohit.verma@company.com</v>
      </c>
    </row>
    <row r="292" spans="1:3" x14ac:dyDescent="0.3">
      <c r="A292" s="26" t="str">
        <f>TRIM(PROPER(Sales_Data!F292))</f>
        <v>Rohit Singh</v>
      </c>
      <c r="B292" s="26" t="str">
        <f>_xlfn.CONCAT(LEFT(A292,3),RIGHT(Sales_Data!B292,3),LEFT(Sales_Data!I292,2))</f>
        <v>Roh003Mu</v>
      </c>
      <c r="C292" s="26" t="str">
        <f>IF(COUNTIF(Sales_Data!T292, "*@*"), LOWER(TRIM(Sales_Data!T292)), "Invalid Email")</f>
        <v>rohit.singh@company.com</v>
      </c>
    </row>
    <row r="293" spans="1:3" x14ac:dyDescent="0.3">
      <c r="A293" s="26" t="str">
        <f>TRIM(PROPER(Sales_Data!F293))</f>
        <v>Amit Sharma</v>
      </c>
      <c r="B293" s="26" t="str">
        <f>_xlfn.CONCAT(LEFT(A293,3),RIGHT(Sales_Data!B293,3),LEFT(Sales_Data!I293,2))</f>
        <v>Ami001Ja</v>
      </c>
      <c r="C293" s="26" t="str">
        <f>IF(COUNTIF(Sales_Data!T293, "*@*"), LOWER(TRIM(Sales_Data!T293)), "Invalid Email")</f>
        <v>amit.sharma@company.com</v>
      </c>
    </row>
    <row r="294" spans="1:3" x14ac:dyDescent="0.3">
      <c r="A294" s="26" t="str">
        <f>TRIM(PROPER(Sales_Data!F294))</f>
        <v>Pooja Shah</v>
      </c>
      <c r="B294" s="26" t="str">
        <f>_xlfn.CONCAT(LEFT(A294,3),RIGHT(Sales_Data!B294,3),LEFT(Sales_Data!I294,2))</f>
        <v>Poo010Ja</v>
      </c>
      <c r="C294" s="26" t="str">
        <f>IF(COUNTIF(Sales_Data!T294, "*@*"), LOWER(TRIM(Sales_Data!T294)), "Invalid Email")</f>
        <v>pooja.shah@company.com</v>
      </c>
    </row>
    <row r="295" spans="1:3" x14ac:dyDescent="0.3">
      <c r="A295" s="26" t="str">
        <f>TRIM(PROPER(Sales_Data!F295))</f>
        <v>Kavya Nair</v>
      </c>
      <c r="B295" s="26" t="str">
        <f>_xlfn.CONCAT(LEFT(A295,3),RIGHT(Sales_Data!B295,3),LEFT(Sales_Data!I295,2))</f>
        <v>Kav008Ah</v>
      </c>
      <c r="C295" s="26" t="str">
        <f>IF(COUNTIF(Sales_Data!T295, "*@*"), LOWER(TRIM(Sales_Data!T295)), "Invalid Email")</f>
        <v>kavya.nair@company.com</v>
      </c>
    </row>
    <row r="296" spans="1:3" x14ac:dyDescent="0.3">
      <c r="A296" s="26" t="str">
        <f>TRIM(PROPER(Sales_Data!F296))</f>
        <v>Anita Gupta</v>
      </c>
      <c r="B296" s="26" t="str">
        <f>_xlfn.CONCAT(LEFT(A296,3),RIGHT(Sales_Data!B296,3),LEFT(Sales_Data!I296,2))</f>
        <v>Ani004Mu</v>
      </c>
      <c r="C296" s="26" t="str">
        <f>IF(COUNTIF(Sales_Data!T296, "*@*"), LOWER(TRIM(Sales_Data!T296)), "Invalid Email")</f>
        <v>anita.gupta@company.com</v>
      </c>
    </row>
    <row r="297" spans="1:3" x14ac:dyDescent="0.3">
      <c r="A297" s="26" t="str">
        <f>TRIM(PROPER(Sales_Data!F297))</f>
        <v>Priya Patel</v>
      </c>
      <c r="B297" s="26" t="str">
        <f>_xlfn.CONCAT(LEFT(A297,3),RIGHT(Sales_Data!B297,3),LEFT(Sales_Data!I297,2))</f>
        <v>Pri002De</v>
      </c>
      <c r="C297" s="26" t="str">
        <f>IF(COUNTIF(Sales_Data!T297, "*@*"), LOWER(TRIM(Sales_Data!T297)), "Invalid Email")</f>
        <v>priya.patel@company.com</v>
      </c>
    </row>
    <row r="298" spans="1:3" x14ac:dyDescent="0.3">
      <c r="A298" s="26" t="str">
        <f>TRIM(PROPER(Sales_Data!F298))</f>
        <v>Amit Sharma</v>
      </c>
      <c r="B298" s="26" t="str">
        <f>_xlfn.CONCAT(LEFT(A298,3),RIGHT(Sales_Data!B298,3),LEFT(Sales_Data!I298,2))</f>
        <v>Ami001Ah</v>
      </c>
      <c r="C298" s="26" t="str">
        <f>IF(COUNTIF(Sales_Data!T298, "*@*"), LOWER(TRIM(Sales_Data!T298)), "Invalid Email")</f>
        <v>amit.sharma@company.com</v>
      </c>
    </row>
    <row r="299" spans="1:3" x14ac:dyDescent="0.3">
      <c r="A299" s="26" t="str">
        <f>TRIM(PROPER(Sales_Data!F299))</f>
        <v>Rohit Singh</v>
      </c>
      <c r="B299" s="26" t="str">
        <f>_xlfn.CONCAT(LEFT(A299,3),RIGHT(Sales_Data!B299,3),LEFT(Sales_Data!I299,2))</f>
        <v>Roh003Hy</v>
      </c>
      <c r="C299" s="26" t="str">
        <f>IF(COUNTIF(Sales_Data!T299, "*@*"), LOWER(TRIM(Sales_Data!T299)), "Invalid Email")</f>
        <v>rohit.singh@company.com</v>
      </c>
    </row>
    <row r="300" spans="1:3" x14ac:dyDescent="0.3">
      <c r="A300" s="26" t="str">
        <f>TRIM(PROPER(Sales_Data!F300))</f>
        <v>Arjun Rao</v>
      </c>
      <c r="B300" s="26" t="str">
        <f>_xlfn.CONCAT(LEFT(A300,3),RIGHT(Sales_Data!B300,3),LEFT(Sales_Data!I300,2))</f>
        <v>Arj007Ja</v>
      </c>
      <c r="C300" s="26" t="str">
        <f>IF(COUNTIF(Sales_Data!T300, "*@*"), LOWER(TRIM(Sales_Data!T300)), "Invalid Email")</f>
        <v>arjun.rao@company.com</v>
      </c>
    </row>
    <row r="301" spans="1:3" x14ac:dyDescent="0.3">
      <c r="A301" s="26" t="str">
        <f>TRIM(PROPER(Sales_Data!F301))</f>
        <v>Mohit Verma</v>
      </c>
      <c r="B301" s="26" t="str">
        <f>_xlfn.CONCAT(LEFT(A301,3),RIGHT(Sales_Data!B301,3),LEFT(Sales_Data!I301,2))</f>
        <v>Moh009Hy</v>
      </c>
      <c r="C301" s="26" t="str">
        <f>IF(COUNTIF(Sales_Data!T301, "*@*"), LOWER(TRIM(Sales_Data!T301)), "Invalid Email")</f>
        <v>mohit.verma@company.com</v>
      </c>
    </row>
    <row r="302" spans="1:3" x14ac:dyDescent="0.3">
      <c r="A302" s="26" t="str">
        <f>TRIM(PROPER(Sales_Data!F302))</f>
        <v>Amit Sharma</v>
      </c>
      <c r="B302" s="26" t="str">
        <f>_xlfn.CONCAT(LEFT(A302,3),RIGHT(Sales_Data!B302,3),LEFT(Sales_Data!I302,2))</f>
        <v>Ami001Be</v>
      </c>
      <c r="C302" s="26" t="str">
        <f>IF(COUNTIF(Sales_Data!T302, "*@*"), LOWER(TRIM(Sales_Data!T302)), "Invalid Email")</f>
        <v>amit.sharma@company.com</v>
      </c>
    </row>
    <row r="303" spans="1:3" x14ac:dyDescent="0.3">
      <c r="A303" s="26" t="str">
        <f>TRIM(PROPER(Sales_Data!F303))</f>
        <v>Rohit Singh</v>
      </c>
      <c r="B303" s="26" t="str">
        <f>_xlfn.CONCAT(LEFT(A303,3),RIGHT(Sales_Data!B303,3),LEFT(Sales_Data!I303,2))</f>
        <v>Roh003Be</v>
      </c>
      <c r="C303" s="26" t="str">
        <f>IF(COUNTIF(Sales_Data!T303, "*@*"), LOWER(TRIM(Sales_Data!T303)), "Invalid Email")</f>
        <v>rohit.singh@company.com</v>
      </c>
    </row>
    <row r="304" spans="1:3" x14ac:dyDescent="0.3">
      <c r="A304" s="26" t="str">
        <f>TRIM(PROPER(Sales_Data!F304))</f>
        <v>Sneha Joshi</v>
      </c>
      <c r="B304" s="26" t="str">
        <f>_xlfn.CONCAT(LEFT(A304,3),RIGHT(Sales_Data!B304,3),LEFT(Sales_Data!I304,2))</f>
        <v>Sne006De</v>
      </c>
      <c r="C304" s="26" t="str">
        <f>IF(COUNTIF(Sales_Data!T304, "*@*"), LOWER(TRIM(Sales_Data!T304)), "Invalid Email")</f>
        <v>sneha.joshi@company.com</v>
      </c>
    </row>
    <row r="305" spans="1:3" x14ac:dyDescent="0.3">
      <c r="A305" s="26" t="str">
        <f>TRIM(PROPER(Sales_Data!F305))</f>
        <v>Kavya Nair</v>
      </c>
      <c r="B305" s="26" t="str">
        <f>_xlfn.CONCAT(LEFT(A305,3),RIGHT(Sales_Data!B305,3),LEFT(Sales_Data!I305,2))</f>
        <v>Kav008Ah</v>
      </c>
      <c r="C305" s="26" t="str">
        <f>IF(COUNTIF(Sales_Data!T305, "*@*"), LOWER(TRIM(Sales_Data!T305)), "Invalid Email")</f>
        <v>kavya.nair@company.com</v>
      </c>
    </row>
    <row r="306" spans="1:3" x14ac:dyDescent="0.3">
      <c r="A306" s="26" t="str">
        <f>TRIM(PROPER(Sales_Data!F306))</f>
        <v>Vikas Mehta</v>
      </c>
      <c r="B306" s="26" t="str">
        <f>_xlfn.CONCAT(LEFT(A306,3),RIGHT(Sales_Data!B306,3),LEFT(Sales_Data!I306,2))</f>
        <v>Vik005Ja</v>
      </c>
      <c r="C306" s="26" t="str">
        <f>IF(COUNTIF(Sales_Data!T306, "*@*"), LOWER(TRIM(Sales_Data!T306)), "Invalid Email")</f>
        <v>vikas.mehta@company.com</v>
      </c>
    </row>
    <row r="307" spans="1:3" x14ac:dyDescent="0.3">
      <c r="A307" s="26" t="str">
        <f>TRIM(PROPER(Sales_Data!F307))</f>
        <v>Kavya Nair</v>
      </c>
      <c r="B307" s="26" t="str">
        <f>_xlfn.CONCAT(LEFT(A307,3),RIGHT(Sales_Data!B307,3),LEFT(Sales_Data!I307,2))</f>
        <v>Kav008Hy</v>
      </c>
      <c r="C307" s="26" t="str">
        <f>IF(COUNTIF(Sales_Data!T307, "*@*"), LOWER(TRIM(Sales_Data!T307)), "Invalid Email")</f>
        <v>kavya.nair@company.com</v>
      </c>
    </row>
    <row r="308" spans="1:3" x14ac:dyDescent="0.3">
      <c r="A308" s="26" t="str">
        <f>TRIM(PROPER(Sales_Data!F308))</f>
        <v>Sneha Joshi</v>
      </c>
      <c r="B308" s="26" t="str">
        <f>_xlfn.CONCAT(LEFT(A308,3),RIGHT(Sales_Data!B308,3),LEFT(Sales_Data!I308,2))</f>
        <v>Sne006Mu</v>
      </c>
      <c r="C308" s="26" t="str">
        <f>IF(COUNTIF(Sales_Data!T308, "*@*"), LOWER(TRIM(Sales_Data!T308)), "Invalid Email")</f>
        <v>sneha.joshi@company.com</v>
      </c>
    </row>
    <row r="309" spans="1:3" x14ac:dyDescent="0.3">
      <c r="A309" s="26" t="str">
        <f>TRIM(PROPER(Sales_Data!F309))</f>
        <v>Sneha Joshi</v>
      </c>
      <c r="B309" s="26" t="str">
        <f>_xlfn.CONCAT(LEFT(A309,3),RIGHT(Sales_Data!B309,3),LEFT(Sales_Data!I309,2))</f>
        <v>Sne006Pu</v>
      </c>
      <c r="C309" s="26" t="str">
        <f>IF(COUNTIF(Sales_Data!T309, "*@*"), LOWER(TRIM(Sales_Data!T309)), "Invalid Email")</f>
        <v>sneha.joshi@company.com</v>
      </c>
    </row>
    <row r="310" spans="1:3" x14ac:dyDescent="0.3">
      <c r="A310" s="26" t="str">
        <f>TRIM(PROPER(Sales_Data!F310))</f>
        <v>Pooja Shah</v>
      </c>
      <c r="B310" s="26" t="str">
        <f>_xlfn.CONCAT(LEFT(A310,3),RIGHT(Sales_Data!B310,3),LEFT(Sales_Data!I310,2))</f>
        <v>Poo010Hy</v>
      </c>
      <c r="C310" s="26" t="str">
        <f>IF(COUNTIF(Sales_Data!T310, "*@*"), LOWER(TRIM(Sales_Data!T310)), "Invalid Email")</f>
        <v>pooja.shah@company.com</v>
      </c>
    </row>
    <row r="311" spans="1:3" x14ac:dyDescent="0.3">
      <c r="A311" s="26" t="str">
        <f>TRIM(PROPER(Sales_Data!F311))</f>
        <v>Mohit Verma</v>
      </c>
      <c r="B311" s="26" t="str">
        <f>_xlfn.CONCAT(LEFT(A311,3),RIGHT(Sales_Data!B311,3),LEFT(Sales_Data!I311,2))</f>
        <v>Moh009Ah</v>
      </c>
      <c r="C311" s="26" t="str">
        <f>IF(COUNTIF(Sales_Data!T311, "*@*"), LOWER(TRIM(Sales_Data!T311)), "Invalid Email")</f>
        <v>mohit.verma@company.com</v>
      </c>
    </row>
    <row r="312" spans="1:3" x14ac:dyDescent="0.3">
      <c r="A312" s="26" t="str">
        <f>TRIM(PROPER(Sales_Data!F312))</f>
        <v>Vikas Mehta</v>
      </c>
      <c r="B312" s="26" t="str">
        <f>_xlfn.CONCAT(LEFT(A312,3),RIGHT(Sales_Data!B312,3),LEFT(Sales_Data!I312,2))</f>
        <v>Vik005De</v>
      </c>
      <c r="C312" s="26" t="str">
        <f>IF(COUNTIF(Sales_Data!T312, "*@*"), LOWER(TRIM(Sales_Data!T312)), "Invalid Email")</f>
        <v>vikas.mehta@company.com</v>
      </c>
    </row>
    <row r="313" spans="1:3" x14ac:dyDescent="0.3">
      <c r="A313" s="26" t="str">
        <f>TRIM(PROPER(Sales_Data!F313))</f>
        <v>Priya Patel</v>
      </c>
      <c r="B313" s="26" t="str">
        <f>_xlfn.CONCAT(LEFT(A313,3),RIGHT(Sales_Data!B313,3),LEFT(Sales_Data!I313,2))</f>
        <v>Pri002Ko</v>
      </c>
      <c r="C313" s="26" t="str">
        <f>IF(COUNTIF(Sales_Data!T313, "*@*"), LOWER(TRIM(Sales_Data!T313)), "Invalid Email")</f>
        <v>priya.patel@company.com</v>
      </c>
    </row>
    <row r="314" spans="1:3" x14ac:dyDescent="0.3">
      <c r="A314" s="26" t="str">
        <f>TRIM(PROPER(Sales_Data!F314))</f>
        <v>Pooja Shah</v>
      </c>
      <c r="B314" s="26" t="str">
        <f>_xlfn.CONCAT(LEFT(A314,3),RIGHT(Sales_Data!B314,3),LEFT(Sales_Data!I314,2))</f>
        <v>Poo010Ja</v>
      </c>
      <c r="C314" s="26" t="str">
        <f>IF(COUNTIF(Sales_Data!T314, "*@*"), LOWER(TRIM(Sales_Data!T314)), "Invalid Email")</f>
        <v>pooja.shah@company.com</v>
      </c>
    </row>
    <row r="315" spans="1:3" x14ac:dyDescent="0.3">
      <c r="A315" s="26" t="str">
        <f>TRIM(PROPER(Sales_Data!F315))</f>
        <v>Mohit Verma</v>
      </c>
      <c r="B315" s="26" t="str">
        <f>_xlfn.CONCAT(LEFT(A315,3),RIGHT(Sales_Data!B315,3),LEFT(Sales_Data!I315,2))</f>
        <v>Moh009Pu</v>
      </c>
      <c r="C315" s="26" t="str">
        <f>IF(COUNTIF(Sales_Data!T315, "*@*"), LOWER(TRIM(Sales_Data!T315)), "Invalid Email")</f>
        <v>mohit.verma@company.com</v>
      </c>
    </row>
    <row r="316" spans="1:3" x14ac:dyDescent="0.3">
      <c r="A316" s="26" t="str">
        <f>TRIM(PROPER(Sales_Data!F316))</f>
        <v>Priya Patel</v>
      </c>
      <c r="B316" s="26" t="str">
        <f>_xlfn.CONCAT(LEFT(A316,3),RIGHT(Sales_Data!B316,3),LEFT(Sales_Data!I316,2))</f>
        <v>Pri002Be</v>
      </c>
      <c r="C316" s="26" t="str">
        <f>IF(COUNTIF(Sales_Data!T316, "*@*"), LOWER(TRIM(Sales_Data!T316)), "Invalid Email")</f>
        <v>priya.patel@company.com</v>
      </c>
    </row>
    <row r="317" spans="1:3" x14ac:dyDescent="0.3">
      <c r="A317" s="26" t="str">
        <f>TRIM(PROPER(Sales_Data!F317))</f>
        <v>Arjun Rao</v>
      </c>
      <c r="B317" s="26" t="str">
        <f>_xlfn.CONCAT(LEFT(A317,3),RIGHT(Sales_Data!B317,3),LEFT(Sales_Data!I317,2))</f>
        <v>Arj007Ja</v>
      </c>
      <c r="C317" s="26" t="str">
        <f>IF(COUNTIF(Sales_Data!T317, "*@*"), LOWER(TRIM(Sales_Data!T317)), "Invalid Email")</f>
        <v>arjun.rao@company.com</v>
      </c>
    </row>
    <row r="318" spans="1:3" x14ac:dyDescent="0.3">
      <c r="A318" s="26" t="str">
        <f>TRIM(PROPER(Sales_Data!F318))</f>
        <v>Arjun Rao</v>
      </c>
      <c r="B318" s="26" t="str">
        <f>_xlfn.CONCAT(LEFT(A318,3),RIGHT(Sales_Data!B318,3),LEFT(Sales_Data!I318,2))</f>
        <v>Arj007Be</v>
      </c>
      <c r="C318" s="26" t="str">
        <f>IF(COUNTIF(Sales_Data!T318, "*@*"), LOWER(TRIM(Sales_Data!T318)), "Invalid Email")</f>
        <v>arjun.rao@company.com</v>
      </c>
    </row>
    <row r="319" spans="1:3" x14ac:dyDescent="0.3">
      <c r="A319" s="26" t="str">
        <f>TRIM(PROPER(Sales_Data!F319))</f>
        <v>Anita Gupta</v>
      </c>
      <c r="B319" s="26" t="str">
        <f>_xlfn.CONCAT(LEFT(A319,3),RIGHT(Sales_Data!B319,3),LEFT(Sales_Data!I319,2))</f>
        <v>Ani004De</v>
      </c>
      <c r="C319" s="26" t="str">
        <f>IF(COUNTIF(Sales_Data!T319, "*@*"), LOWER(TRIM(Sales_Data!T319)), "Invalid Email")</f>
        <v>anita.gupta@company.com</v>
      </c>
    </row>
    <row r="320" spans="1:3" x14ac:dyDescent="0.3">
      <c r="A320" s="26" t="str">
        <f>TRIM(PROPER(Sales_Data!F320))</f>
        <v>Priya Patel</v>
      </c>
      <c r="B320" s="26" t="str">
        <f>_xlfn.CONCAT(LEFT(A320,3),RIGHT(Sales_Data!B320,3),LEFT(Sales_Data!I320,2))</f>
        <v>Pri002Ja</v>
      </c>
      <c r="C320" s="26" t="str">
        <f>IF(COUNTIF(Sales_Data!T320, "*@*"), LOWER(TRIM(Sales_Data!T320)), "Invalid Email")</f>
        <v>priya.patel@company.com</v>
      </c>
    </row>
    <row r="321" spans="1:3" x14ac:dyDescent="0.3">
      <c r="A321" s="26" t="str">
        <f>TRIM(PROPER(Sales_Data!F321))</f>
        <v>Vikas Mehta</v>
      </c>
      <c r="B321" s="26" t="str">
        <f>_xlfn.CONCAT(LEFT(A321,3),RIGHT(Sales_Data!B321,3),LEFT(Sales_Data!I321,2))</f>
        <v>Vik005De</v>
      </c>
      <c r="C321" s="26" t="str">
        <f>IF(COUNTIF(Sales_Data!T321, "*@*"), LOWER(TRIM(Sales_Data!T321)), "Invalid Email")</f>
        <v>vikas.mehta@company.com</v>
      </c>
    </row>
    <row r="322" spans="1:3" x14ac:dyDescent="0.3">
      <c r="A322" s="26" t="str">
        <f>TRIM(PROPER(Sales_Data!F322))</f>
        <v>Amit Sharma</v>
      </c>
      <c r="B322" s="26" t="str">
        <f>_xlfn.CONCAT(LEFT(A322,3),RIGHT(Sales_Data!B322,3),LEFT(Sales_Data!I322,2))</f>
        <v>Ami001Ja</v>
      </c>
      <c r="C322" s="26" t="str">
        <f>IF(COUNTIF(Sales_Data!T322, "*@*"), LOWER(TRIM(Sales_Data!T322)), "Invalid Email")</f>
        <v>amit.sharma@company.com</v>
      </c>
    </row>
    <row r="323" spans="1:3" x14ac:dyDescent="0.3">
      <c r="A323" s="26" t="str">
        <f>TRIM(PROPER(Sales_Data!F323))</f>
        <v>Arjun Rao</v>
      </c>
      <c r="B323" s="26" t="str">
        <f>_xlfn.CONCAT(LEFT(A323,3),RIGHT(Sales_Data!B323,3),LEFT(Sales_Data!I323,2))</f>
        <v>Arj007Pu</v>
      </c>
      <c r="C323" s="26" t="str">
        <f>IF(COUNTIF(Sales_Data!T323, "*@*"), LOWER(TRIM(Sales_Data!T323)), "Invalid Email")</f>
        <v>arjun.rao@company.com</v>
      </c>
    </row>
    <row r="324" spans="1:3" x14ac:dyDescent="0.3">
      <c r="A324" s="26" t="str">
        <f>TRIM(PROPER(Sales_Data!F324))</f>
        <v>Kavya Nair</v>
      </c>
      <c r="B324" s="26" t="str">
        <f>_xlfn.CONCAT(LEFT(A324,3),RIGHT(Sales_Data!B324,3),LEFT(Sales_Data!I324,2))</f>
        <v>Kav008Ah</v>
      </c>
      <c r="C324" s="26" t="str">
        <f>IF(COUNTIF(Sales_Data!T324, "*@*"), LOWER(TRIM(Sales_Data!T324)), "Invalid Email")</f>
        <v>kavya.nair@company.com</v>
      </c>
    </row>
    <row r="325" spans="1:3" x14ac:dyDescent="0.3">
      <c r="A325" s="26" t="str">
        <f>TRIM(PROPER(Sales_Data!F325))</f>
        <v>Sneha Joshi</v>
      </c>
      <c r="B325" s="26" t="str">
        <f>_xlfn.CONCAT(LEFT(A325,3),RIGHT(Sales_Data!B325,3),LEFT(Sales_Data!I325,2))</f>
        <v>Sne006Mu</v>
      </c>
      <c r="C325" s="26" t="str">
        <f>IF(COUNTIF(Sales_Data!T325, "*@*"), LOWER(TRIM(Sales_Data!T325)), "Invalid Email")</f>
        <v>sneha.joshi@company.com</v>
      </c>
    </row>
    <row r="326" spans="1:3" x14ac:dyDescent="0.3">
      <c r="A326" s="26" t="str">
        <f>TRIM(PROPER(Sales_Data!F326))</f>
        <v>Sneha Joshi</v>
      </c>
      <c r="B326" s="26" t="str">
        <f>_xlfn.CONCAT(LEFT(A326,3),RIGHT(Sales_Data!B326,3),LEFT(Sales_Data!I326,2))</f>
        <v>Sne006Ah</v>
      </c>
      <c r="C326" s="26" t="str">
        <f>IF(COUNTIF(Sales_Data!T326, "*@*"), LOWER(TRIM(Sales_Data!T326)), "Invalid Email")</f>
        <v>sneha.joshi@company.com</v>
      </c>
    </row>
    <row r="327" spans="1:3" x14ac:dyDescent="0.3">
      <c r="A327" s="26" t="str">
        <f>TRIM(PROPER(Sales_Data!F327))</f>
        <v>Sneha Joshi</v>
      </c>
      <c r="B327" s="26" t="str">
        <f>_xlfn.CONCAT(LEFT(A327,3),RIGHT(Sales_Data!B327,3),LEFT(Sales_Data!I327,2))</f>
        <v>Sne006Mu</v>
      </c>
      <c r="C327" s="26" t="str">
        <f>IF(COUNTIF(Sales_Data!T327, "*@*"), LOWER(TRIM(Sales_Data!T327)), "Invalid Email")</f>
        <v>sneha.joshi@company.com</v>
      </c>
    </row>
    <row r="328" spans="1:3" x14ac:dyDescent="0.3">
      <c r="A328" s="26" t="str">
        <f>TRIM(PROPER(Sales_Data!F328))</f>
        <v>Arjun Rao</v>
      </c>
      <c r="B328" s="26" t="str">
        <f>_xlfn.CONCAT(LEFT(A328,3),RIGHT(Sales_Data!B328,3),LEFT(Sales_Data!I328,2))</f>
        <v>Arj007Be</v>
      </c>
      <c r="C328" s="26" t="str">
        <f>IF(COUNTIF(Sales_Data!T328, "*@*"), LOWER(TRIM(Sales_Data!T328)), "Invalid Email")</f>
        <v>arjun.rao@company.com</v>
      </c>
    </row>
    <row r="329" spans="1:3" x14ac:dyDescent="0.3">
      <c r="A329" s="26" t="str">
        <f>TRIM(PROPER(Sales_Data!F329))</f>
        <v>Vikas Mehta</v>
      </c>
      <c r="B329" s="26" t="str">
        <f>_xlfn.CONCAT(LEFT(A329,3),RIGHT(Sales_Data!B329,3),LEFT(Sales_Data!I329,2))</f>
        <v>Vik005Pu</v>
      </c>
      <c r="C329" s="26" t="str">
        <f>IF(COUNTIF(Sales_Data!T329, "*@*"), LOWER(TRIM(Sales_Data!T329)), "Invalid Email")</f>
        <v>vikas.mehta@company.com</v>
      </c>
    </row>
    <row r="330" spans="1:3" x14ac:dyDescent="0.3">
      <c r="A330" s="26" t="str">
        <f>TRIM(PROPER(Sales_Data!F330))</f>
        <v>Anita Gupta</v>
      </c>
      <c r="B330" s="26" t="str">
        <f>_xlfn.CONCAT(LEFT(A330,3),RIGHT(Sales_Data!B330,3),LEFT(Sales_Data!I330,2))</f>
        <v>Ani004De</v>
      </c>
      <c r="C330" s="26" t="str">
        <f>IF(COUNTIF(Sales_Data!T330, "*@*"), LOWER(TRIM(Sales_Data!T330)), "Invalid Email")</f>
        <v>anita.gupta@company.com</v>
      </c>
    </row>
    <row r="331" spans="1:3" x14ac:dyDescent="0.3">
      <c r="A331" s="26" t="str">
        <f>TRIM(PROPER(Sales_Data!F331))</f>
        <v>Rohit Singh</v>
      </c>
      <c r="B331" s="26" t="str">
        <f>_xlfn.CONCAT(LEFT(A331,3),RIGHT(Sales_Data!B331,3),LEFT(Sales_Data!I331,2))</f>
        <v>Roh003Hy</v>
      </c>
      <c r="C331" s="26" t="str">
        <f>IF(COUNTIF(Sales_Data!T331, "*@*"), LOWER(TRIM(Sales_Data!T331)), "Invalid Email")</f>
        <v>rohit.singh@company.com</v>
      </c>
    </row>
    <row r="332" spans="1:3" x14ac:dyDescent="0.3">
      <c r="A332" s="26" t="str">
        <f>TRIM(PROPER(Sales_Data!F332))</f>
        <v>Pooja Shah</v>
      </c>
      <c r="B332" s="26" t="str">
        <f>_xlfn.CONCAT(LEFT(A332,3),RIGHT(Sales_Data!B332,3),LEFT(Sales_Data!I332,2))</f>
        <v>Poo010Ah</v>
      </c>
      <c r="C332" s="26" t="str">
        <f>IF(COUNTIF(Sales_Data!T332, "*@*"), LOWER(TRIM(Sales_Data!T332)), "Invalid Email")</f>
        <v>pooja.shah@company.com</v>
      </c>
    </row>
    <row r="333" spans="1:3" x14ac:dyDescent="0.3">
      <c r="A333" s="26" t="str">
        <f>TRIM(PROPER(Sales_Data!F333))</f>
        <v>Amit Sharma</v>
      </c>
      <c r="B333" s="26" t="str">
        <f>_xlfn.CONCAT(LEFT(A333,3),RIGHT(Sales_Data!B333,3),LEFT(Sales_Data!I333,2))</f>
        <v>Ami001De</v>
      </c>
      <c r="C333" s="26" t="str">
        <f>IF(COUNTIF(Sales_Data!T333, "*@*"), LOWER(TRIM(Sales_Data!T333)), "Invalid Email")</f>
        <v>amit.sharma@company.com</v>
      </c>
    </row>
    <row r="334" spans="1:3" x14ac:dyDescent="0.3">
      <c r="A334" s="26" t="str">
        <f>TRIM(PROPER(Sales_Data!F334))</f>
        <v>Pooja Shah</v>
      </c>
      <c r="B334" s="26" t="str">
        <f>_xlfn.CONCAT(LEFT(A334,3),RIGHT(Sales_Data!B334,3),LEFT(Sales_Data!I334,2))</f>
        <v>Poo010Be</v>
      </c>
      <c r="C334" s="26" t="str">
        <f>IF(COUNTIF(Sales_Data!T334, "*@*"), LOWER(TRIM(Sales_Data!T334)), "Invalid Email")</f>
        <v>pooja.shah@company.com</v>
      </c>
    </row>
    <row r="335" spans="1:3" x14ac:dyDescent="0.3">
      <c r="A335" s="26" t="str">
        <f>TRIM(PROPER(Sales_Data!F335))</f>
        <v>Kavya Nair</v>
      </c>
      <c r="B335" s="26" t="str">
        <f>_xlfn.CONCAT(LEFT(A335,3),RIGHT(Sales_Data!B335,3),LEFT(Sales_Data!I335,2))</f>
        <v>Kav008Be</v>
      </c>
      <c r="C335" s="26" t="str">
        <f>IF(COUNTIF(Sales_Data!T335, "*@*"), LOWER(TRIM(Sales_Data!T335)), "Invalid Email")</f>
        <v>kavya.nair@company.com</v>
      </c>
    </row>
    <row r="336" spans="1:3" x14ac:dyDescent="0.3">
      <c r="A336" s="26" t="str">
        <f>TRIM(PROPER(Sales_Data!F336))</f>
        <v>Kavya Nair</v>
      </c>
      <c r="B336" s="26" t="str">
        <f>_xlfn.CONCAT(LEFT(A336,3),RIGHT(Sales_Data!B336,3),LEFT(Sales_Data!I336,2))</f>
        <v>Kav008Pu</v>
      </c>
      <c r="C336" s="26" t="str">
        <f>IF(COUNTIF(Sales_Data!T336, "*@*"), LOWER(TRIM(Sales_Data!T336)), "Invalid Email")</f>
        <v>kavya.nair@company.com</v>
      </c>
    </row>
    <row r="337" spans="1:3" x14ac:dyDescent="0.3">
      <c r="A337" s="26" t="str">
        <f>TRIM(PROPER(Sales_Data!F337))</f>
        <v>Priya Patel</v>
      </c>
      <c r="B337" s="26" t="str">
        <f>_xlfn.CONCAT(LEFT(A337,3),RIGHT(Sales_Data!B337,3),LEFT(Sales_Data!I337,2))</f>
        <v>Pri002Ah</v>
      </c>
      <c r="C337" s="26" t="str">
        <f>IF(COUNTIF(Sales_Data!T337, "*@*"), LOWER(TRIM(Sales_Data!T337)), "Invalid Email")</f>
        <v>priya.patel@company.com</v>
      </c>
    </row>
    <row r="338" spans="1:3" x14ac:dyDescent="0.3">
      <c r="A338" s="26" t="str">
        <f>TRIM(PROPER(Sales_Data!F338))</f>
        <v>Rohit Singh</v>
      </c>
      <c r="B338" s="26" t="str">
        <f>_xlfn.CONCAT(LEFT(A338,3),RIGHT(Sales_Data!B338,3),LEFT(Sales_Data!I338,2))</f>
        <v>Roh003Hy</v>
      </c>
      <c r="C338" s="26" t="str">
        <f>IF(COUNTIF(Sales_Data!T338, "*@*"), LOWER(TRIM(Sales_Data!T338)), "Invalid Email")</f>
        <v>rohit.singh@company.com</v>
      </c>
    </row>
    <row r="339" spans="1:3" x14ac:dyDescent="0.3">
      <c r="A339" s="26" t="str">
        <f>TRIM(PROPER(Sales_Data!F339))</f>
        <v>Kavya Nair</v>
      </c>
      <c r="B339" s="26" t="str">
        <f>_xlfn.CONCAT(LEFT(A339,3),RIGHT(Sales_Data!B339,3),LEFT(Sales_Data!I339,2))</f>
        <v>Kav008Ja</v>
      </c>
      <c r="C339" s="26" t="str">
        <f>IF(COUNTIF(Sales_Data!T339, "*@*"), LOWER(TRIM(Sales_Data!T339)), "Invalid Email")</f>
        <v>kavya.nair@company.com</v>
      </c>
    </row>
    <row r="340" spans="1:3" x14ac:dyDescent="0.3">
      <c r="A340" s="26" t="str">
        <f>TRIM(PROPER(Sales_Data!F340))</f>
        <v>Amit Sharma</v>
      </c>
      <c r="B340" s="26" t="str">
        <f>_xlfn.CONCAT(LEFT(A340,3),RIGHT(Sales_Data!B340,3),LEFT(Sales_Data!I340,2))</f>
        <v>Ami001Hy</v>
      </c>
      <c r="C340" s="26" t="str">
        <f>IF(COUNTIF(Sales_Data!T340, "*@*"), LOWER(TRIM(Sales_Data!T340)), "Invalid Email")</f>
        <v>amit.sharma@company.com</v>
      </c>
    </row>
    <row r="341" spans="1:3" x14ac:dyDescent="0.3">
      <c r="A341" s="26" t="str">
        <f>TRIM(PROPER(Sales_Data!F341))</f>
        <v>Kavya Nair</v>
      </c>
      <c r="B341" s="26" t="str">
        <f>_xlfn.CONCAT(LEFT(A341,3),RIGHT(Sales_Data!B341,3),LEFT(Sales_Data!I341,2))</f>
        <v>Kav008Ko</v>
      </c>
      <c r="C341" s="26" t="str">
        <f>IF(COUNTIF(Sales_Data!T341, "*@*"), LOWER(TRIM(Sales_Data!T341)), "Invalid Email")</f>
        <v>kavya.nair@company.com</v>
      </c>
    </row>
    <row r="342" spans="1:3" x14ac:dyDescent="0.3">
      <c r="A342" s="26" t="str">
        <f>TRIM(PROPER(Sales_Data!F342))</f>
        <v>Rohit Singh</v>
      </c>
      <c r="B342" s="26" t="str">
        <f>_xlfn.CONCAT(LEFT(A342,3),RIGHT(Sales_Data!B342,3),LEFT(Sales_Data!I342,2))</f>
        <v>Roh003De</v>
      </c>
      <c r="C342" s="26" t="str">
        <f>IF(COUNTIF(Sales_Data!T342, "*@*"), LOWER(TRIM(Sales_Data!T342)), "Invalid Email")</f>
        <v>rohit.singh@company.com</v>
      </c>
    </row>
    <row r="343" spans="1:3" x14ac:dyDescent="0.3">
      <c r="A343" s="26" t="str">
        <f>TRIM(PROPER(Sales_Data!F343))</f>
        <v>Anita Gupta</v>
      </c>
      <c r="B343" s="26" t="str">
        <f>_xlfn.CONCAT(LEFT(A343,3),RIGHT(Sales_Data!B343,3),LEFT(Sales_Data!I343,2))</f>
        <v>Ani004De</v>
      </c>
      <c r="C343" s="26" t="str">
        <f>IF(COUNTIF(Sales_Data!T343, "*@*"), LOWER(TRIM(Sales_Data!T343)), "Invalid Email")</f>
        <v>anita.gupta@company.com</v>
      </c>
    </row>
    <row r="344" spans="1:3" x14ac:dyDescent="0.3">
      <c r="A344" s="26" t="str">
        <f>TRIM(PROPER(Sales_Data!F344))</f>
        <v>Arjun Rao</v>
      </c>
      <c r="B344" s="26" t="str">
        <f>_xlfn.CONCAT(LEFT(A344,3),RIGHT(Sales_Data!B344,3),LEFT(Sales_Data!I344,2))</f>
        <v>Arj007De</v>
      </c>
      <c r="C344" s="26" t="str">
        <f>IF(COUNTIF(Sales_Data!T344, "*@*"), LOWER(TRIM(Sales_Data!T344)), "Invalid Email")</f>
        <v>arjun.rao@company.com</v>
      </c>
    </row>
    <row r="345" spans="1:3" x14ac:dyDescent="0.3">
      <c r="A345" s="26" t="str">
        <f>TRIM(PROPER(Sales_Data!F345))</f>
        <v>Amit Sharma</v>
      </c>
      <c r="B345" s="26" t="str">
        <f>_xlfn.CONCAT(LEFT(A345,3),RIGHT(Sales_Data!B345,3),LEFT(Sales_Data!I345,2))</f>
        <v>Ami001De</v>
      </c>
      <c r="C345" s="26" t="str">
        <f>IF(COUNTIF(Sales_Data!T345, "*@*"), LOWER(TRIM(Sales_Data!T345)), "Invalid Email")</f>
        <v>amit.sharma@company.com</v>
      </c>
    </row>
    <row r="346" spans="1:3" x14ac:dyDescent="0.3">
      <c r="A346" s="26" t="str">
        <f>TRIM(PROPER(Sales_Data!F346))</f>
        <v>Rohit Singh</v>
      </c>
      <c r="B346" s="26" t="str">
        <f>_xlfn.CONCAT(LEFT(A346,3),RIGHT(Sales_Data!B346,3),LEFT(Sales_Data!I346,2))</f>
        <v>Roh003Be</v>
      </c>
      <c r="C346" s="26" t="str">
        <f>IF(COUNTIF(Sales_Data!T346, "*@*"), LOWER(TRIM(Sales_Data!T346)), "Invalid Email")</f>
        <v>rohit.singh@company.com</v>
      </c>
    </row>
    <row r="347" spans="1:3" x14ac:dyDescent="0.3">
      <c r="A347" s="26" t="str">
        <f>TRIM(PROPER(Sales_Data!F347))</f>
        <v>Pooja Shah</v>
      </c>
      <c r="B347" s="26" t="str">
        <f>_xlfn.CONCAT(LEFT(A347,3),RIGHT(Sales_Data!B347,3),LEFT(Sales_Data!I347,2))</f>
        <v>Poo010Ah</v>
      </c>
      <c r="C347" s="26" t="str">
        <f>IF(COUNTIF(Sales_Data!T347, "*@*"), LOWER(TRIM(Sales_Data!T347)), "Invalid Email")</f>
        <v>pooja.shah@company.com</v>
      </c>
    </row>
    <row r="348" spans="1:3" x14ac:dyDescent="0.3">
      <c r="A348" s="26" t="str">
        <f>TRIM(PROPER(Sales_Data!F348))</f>
        <v>Kavya Nair</v>
      </c>
      <c r="B348" s="26" t="str">
        <f>_xlfn.CONCAT(LEFT(A348,3),RIGHT(Sales_Data!B348,3),LEFT(Sales_Data!I348,2))</f>
        <v>Kav008Ah</v>
      </c>
      <c r="C348" s="26" t="str">
        <f>IF(COUNTIF(Sales_Data!T348, "*@*"), LOWER(TRIM(Sales_Data!T348)), "Invalid Email")</f>
        <v>kavya.nair@company.com</v>
      </c>
    </row>
    <row r="349" spans="1:3" x14ac:dyDescent="0.3">
      <c r="A349" s="26" t="str">
        <f>TRIM(PROPER(Sales_Data!F349))</f>
        <v>Sneha Joshi</v>
      </c>
      <c r="B349" s="26" t="str">
        <f>_xlfn.CONCAT(LEFT(A349,3),RIGHT(Sales_Data!B349,3),LEFT(Sales_Data!I349,2))</f>
        <v>Sne006De</v>
      </c>
      <c r="C349" s="26" t="str">
        <f>IF(COUNTIF(Sales_Data!T349, "*@*"), LOWER(TRIM(Sales_Data!T349)), "Invalid Email")</f>
        <v>sneha.joshi@company.com</v>
      </c>
    </row>
    <row r="350" spans="1:3" x14ac:dyDescent="0.3">
      <c r="A350" s="26" t="str">
        <f>TRIM(PROPER(Sales_Data!F350))</f>
        <v>Pooja Shah</v>
      </c>
      <c r="B350" s="26" t="str">
        <f>_xlfn.CONCAT(LEFT(A350,3),RIGHT(Sales_Data!B350,3),LEFT(Sales_Data!I350,2))</f>
        <v>Poo010Ko</v>
      </c>
      <c r="C350" s="26" t="str">
        <f>IF(COUNTIF(Sales_Data!T350, "*@*"), LOWER(TRIM(Sales_Data!T350)), "Invalid Email")</f>
        <v>pooja.shah@company.com</v>
      </c>
    </row>
    <row r="351" spans="1:3" x14ac:dyDescent="0.3">
      <c r="A351" s="26" t="str">
        <f>TRIM(PROPER(Sales_Data!F351))</f>
        <v>Pooja Shah</v>
      </c>
      <c r="B351" s="26" t="str">
        <f>_xlfn.CONCAT(LEFT(A351,3),RIGHT(Sales_Data!B351,3),LEFT(Sales_Data!I351,2))</f>
        <v>Poo010Ja</v>
      </c>
      <c r="C351" s="26" t="str">
        <f>IF(COUNTIF(Sales_Data!T351, "*@*"), LOWER(TRIM(Sales_Data!T351)), "Invalid Email")</f>
        <v>pooja.shah@company.com</v>
      </c>
    </row>
    <row r="352" spans="1:3" x14ac:dyDescent="0.3">
      <c r="A352" s="26" t="str">
        <f>TRIM(PROPER(Sales_Data!F352))</f>
        <v>Arjun Rao</v>
      </c>
      <c r="B352" s="26" t="str">
        <f>_xlfn.CONCAT(LEFT(A352,3),RIGHT(Sales_Data!B352,3),LEFT(Sales_Data!I352,2))</f>
        <v>Arj007Mu</v>
      </c>
      <c r="C352" s="26" t="str">
        <f>IF(COUNTIF(Sales_Data!T352, "*@*"), LOWER(TRIM(Sales_Data!T352)), "Invalid Email")</f>
        <v>arjun.rao@company.com</v>
      </c>
    </row>
    <row r="353" spans="1:3" x14ac:dyDescent="0.3">
      <c r="A353" s="26" t="str">
        <f>TRIM(PROPER(Sales_Data!F353))</f>
        <v>Rohit Singh</v>
      </c>
      <c r="B353" s="26" t="str">
        <f>_xlfn.CONCAT(LEFT(A353,3),RIGHT(Sales_Data!B353,3),LEFT(Sales_Data!I353,2))</f>
        <v>Roh003Ah</v>
      </c>
      <c r="C353" s="26" t="str">
        <f>IF(COUNTIF(Sales_Data!T353, "*@*"), LOWER(TRIM(Sales_Data!T353)), "Invalid Email")</f>
        <v>rohit.singh@company.com</v>
      </c>
    </row>
    <row r="354" spans="1:3" x14ac:dyDescent="0.3">
      <c r="A354" s="26" t="str">
        <f>TRIM(PROPER(Sales_Data!F354))</f>
        <v>Arjun Rao</v>
      </c>
      <c r="B354" s="26" t="str">
        <f>_xlfn.CONCAT(LEFT(A354,3),RIGHT(Sales_Data!B354,3),LEFT(Sales_Data!I354,2))</f>
        <v>Arj007Ah</v>
      </c>
      <c r="C354" s="26" t="str">
        <f>IF(COUNTIF(Sales_Data!T354, "*@*"), LOWER(TRIM(Sales_Data!T354)), "Invalid Email")</f>
        <v>arjun.rao@company.com</v>
      </c>
    </row>
    <row r="355" spans="1:3" x14ac:dyDescent="0.3">
      <c r="A355" s="26" t="str">
        <f>TRIM(PROPER(Sales_Data!F355))</f>
        <v>Sneha Joshi</v>
      </c>
      <c r="B355" s="26" t="str">
        <f>_xlfn.CONCAT(LEFT(A355,3),RIGHT(Sales_Data!B355,3),LEFT(Sales_Data!I355,2))</f>
        <v>Sne006Mu</v>
      </c>
      <c r="C355" s="26" t="str">
        <f>IF(COUNTIF(Sales_Data!T355, "*@*"), LOWER(TRIM(Sales_Data!T355)), "Invalid Email")</f>
        <v>sneha.joshi@company.com</v>
      </c>
    </row>
    <row r="356" spans="1:3" x14ac:dyDescent="0.3">
      <c r="A356" s="26" t="str">
        <f>TRIM(PROPER(Sales_Data!F356))</f>
        <v>Anita Gupta</v>
      </c>
      <c r="B356" s="26" t="str">
        <f>_xlfn.CONCAT(LEFT(A356,3),RIGHT(Sales_Data!B356,3),LEFT(Sales_Data!I356,2))</f>
        <v>Ani004Mu</v>
      </c>
      <c r="C356" s="26" t="str">
        <f>IF(COUNTIF(Sales_Data!T356, "*@*"), LOWER(TRIM(Sales_Data!T356)), "Invalid Email")</f>
        <v>anita.gupta@company.com</v>
      </c>
    </row>
    <row r="357" spans="1:3" x14ac:dyDescent="0.3">
      <c r="A357" s="26" t="str">
        <f>TRIM(PROPER(Sales_Data!F357))</f>
        <v>Kavya Nair</v>
      </c>
      <c r="B357" s="26" t="str">
        <f>_xlfn.CONCAT(LEFT(A357,3),RIGHT(Sales_Data!B357,3),LEFT(Sales_Data!I357,2))</f>
        <v>Kav008Ja</v>
      </c>
      <c r="C357" s="26" t="str">
        <f>IF(COUNTIF(Sales_Data!T357, "*@*"), LOWER(TRIM(Sales_Data!T357)), "Invalid Email")</f>
        <v>kavya.nair@company.com</v>
      </c>
    </row>
    <row r="358" spans="1:3" x14ac:dyDescent="0.3">
      <c r="A358" s="26" t="str">
        <f>TRIM(PROPER(Sales_Data!F358))</f>
        <v>Sneha Joshi</v>
      </c>
      <c r="B358" s="26" t="str">
        <f>_xlfn.CONCAT(LEFT(A358,3),RIGHT(Sales_Data!B358,3),LEFT(Sales_Data!I358,2))</f>
        <v>Sne006Mu</v>
      </c>
      <c r="C358" s="26" t="str">
        <f>IF(COUNTIF(Sales_Data!T358, "*@*"), LOWER(TRIM(Sales_Data!T358)), "Invalid Email")</f>
        <v>sneha.joshi@company.com</v>
      </c>
    </row>
    <row r="359" spans="1:3" x14ac:dyDescent="0.3">
      <c r="A359" s="26" t="str">
        <f>TRIM(PROPER(Sales_Data!F359))</f>
        <v>Mohit Verma</v>
      </c>
      <c r="B359" s="26" t="str">
        <f>_xlfn.CONCAT(LEFT(A359,3),RIGHT(Sales_Data!B359,3),LEFT(Sales_Data!I359,2))</f>
        <v>Moh009Ja</v>
      </c>
      <c r="C359" s="26" t="str">
        <f>IF(COUNTIF(Sales_Data!T359, "*@*"), LOWER(TRIM(Sales_Data!T359)), "Invalid Email")</f>
        <v>mohit.verma@company.com</v>
      </c>
    </row>
    <row r="360" spans="1:3" x14ac:dyDescent="0.3">
      <c r="A360" s="26" t="str">
        <f>TRIM(PROPER(Sales_Data!F360))</f>
        <v>Sneha Joshi</v>
      </c>
      <c r="B360" s="26" t="str">
        <f>_xlfn.CONCAT(LEFT(A360,3),RIGHT(Sales_Data!B360,3),LEFT(Sales_Data!I360,2))</f>
        <v>Sne006Pu</v>
      </c>
      <c r="C360" s="26" t="str">
        <f>IF(COUNTIF(Sales_Data!T360, "*@*"), LOWER(TRIM(Sales_Data!T360)), "Invalid Email")</f>
        <v>sneha.joshi@company.com</v>
      </c>
    </row>
    <row r="361" spans="1:3" x14ac:dyDescent="0.3">
      <c r="A361" s="26" t="str">
        <f>TRIM(PROPER(Sales_Data!F361))</f>
        <v>Rohit Singh</v>
      </c>
      <c r="B361" s="26" t="str">
        <f>_xlfn.CONCAT(LEFT(A361,3),RIGHT(Sales_Data!B361,3),LEFT(Sales_Data!I361,2))</f>
        <v>Roh003Ja</v>
      </c>
      <c r="C361" s="26" t="str">
        <f>IF(COUNTIF(Sales_Data!T361, "*@*"), LOWER(TRIM(Sales_Data!T361)), "Invalid Email")</f>
        <v>rohit.singh@company.com</v>
      </c>
    </row>
    <row r="362" spans="1:3" x14ac:dyDescent="0.3">
      <c r="A362" s="26" t="str">
        <f>TRIM(PROPER(Sales_Data!F362))</f>
        <v>Rohit Singh</v>
      </c>
      <c r="B362" s="26" t="str">
        <f>_xlfn.CONCAT(LEFT(A362,3),RIGHT(Sales_Data!B362,3),LEFT(Sales_Data!I362,2))</f>
        <v>Roh003Mu</v>
      </c>
      <c r="C362" s="26" t="str">
        <f>IF(COUNTIF(Sales_Data!T362, "*@*"), LOWER(TRIM(Sales_Data!T362)), "Invalid Email")</f>
        <v>rohit.singh@company.com</v>
      </c>
    </row>
    <row r="363" spans="1:3" x14ac:dyDescent="0.3">
      <c r="A363" s="26" t="str">
        <f>TRIM(PROPER(Sales_Data!F363))</f>
        <v>Mohit Verma</v>
      </c>
      <c r="B363" s="26" t="str">
        <f>_xlfn.CONCAT(LEFT(A363,3),RIGHT(Sales_Data!B363,3),LEFT(Sales_Data!I363,2))</f>
        <v>Moh009Mu</v>
      </c>
      <c r="C363" s="26" t="str">
        <f>IF(COUNTIF(Sales_Data!T363, "*@*"), LOWER(TRIM(Sales_Data!T363)), "Invalid Email")</f>
        <v>mohit.verma@company.com</v>
      </c>
    </row>
    <row r="364" spans="1:3" x14ac:dyDescent="0.3">
      <c r="A364" s="26" t="str">
        <f>TRIM(PROPER(Sales_Data!F364))</f>
        <v>Mohit Verma</v>
      </c>
      <c r="B364" s="26" t="str">
        <f>_xlfn.CONCAT(LEFT(A364,3),RIGHT(Sales_Data!B364,3),LEFT(Sales_Data!I364,2))</f>
        <v>Moh009Hy</v>
      </c>
      <c r="C364" s="26" t="str">
        <f>IF(COUNTIF(Sales_Data!T364, "*@*"), LOWER(TRIM(Sales_Data!T364)), "Invalid Email")</f>
        <v>mohit.verma@company.com</v>
      </c>
    </row>
    <row r="365" spans="1:3" x14ac:dyDescent="0.3">
      <c r="A365" s="26" t="str">
        <f>TRIM(PROPER(Sales_Data!F365))</f>
        <v>Pooja Shah</v>
      </c>
      <c r="B365" s="26" t="str">
        <f>_xlfn.CONCAT(LEFT(A365,3),RIGHT(Sales_Data!B365,3),LEFT(Sales_Data!I365,2))</f>
        <v>Poo010Be</v>
      </c>
      <c r="C365" s="26" t="str">
        <f>IF(COUNTIF(Sales_Data!T365, "*@*"), LOWER(TRIM(Sales_Data!T365)), "Invalid Email")</f>
        <v>pooja.shah@company.com</v>
      </c>
    </row>
    <row r="366" spans="1:3" x14ac:dyDescent="0.3">
      <c r="A366" s="26" t="str">
        <f>TRIM(PROPER(Sales_Data!F366))</f>
        <v>Priya Patel</v>
      </c>
      <c r="B366" s="26" t="str">
        <f>_xlfn.CONCAT(LEFT(A366,3),RIGHT(Sales_Data!B366,3),LEFT(Sales_Data!I366,2))</f>
        <v>Pri002Hy</v>
      </c>
      <c r="C366" s="26" t="str">
        <f>IF(COUNTIF(Sales_Data!T366, "*@*"), LOWER(TRIM(Sales_Data!T366)), "Invalid Email")</f>
        <v>priya.patel@company.com</v>
      </c>
    </row>
    <row r="367" spans="1:3" x14ac:dyDescent="0.3">
      <c r="A367" s="26" t="str">
        <f>TRIM(PROPER(Sales_Data!F367))</f>
        <v>Pooja Shah</v>
      </c>
      <c r="B367" s="26" t="str">
        <f>_xlfn.CONCAT(LEFT(A367,3),RIGHT(Sales_Data!B367,3),LEFT(Sales_Data!I367,2))</f>
        <v>Poo010Hy</v>
      </c>
      <c r="C367" s="26" t="str">
        <f>IF(COUNTIF(Sales_Data!T367, "*@*"), LOWER(TRIM(Sales_Data!T367)), "Invalid Email")</f>
        <v>pooja.shah@company.com</v>
      </c>
    </row>
    <row r="368" spans="1:3" x14ac:dyDescent="0.3">
      <c r="A368" s="26" t="str">
        <f>TRIM(PROPER(Sales_Data!F368))</f>
        <v>Priya Patel</v>
      </c>
      <c r="B368" s="26" t="str">
        <f>_xlfn.CONCAT(LEFT(A368,3),RIGHT(Sales_Data!B368,3),LEFT(Sales_Data!I368,2))</f>
        <v>Pri002Ja</v>
      </c>
      <c r="C368" s="26" t="str">
        <f>IF(COUNTIF(Sales_Data!T368, "*@*"), LOWER(TRIM(Sales_Data!T368)), "Invalid Email")</f>
        <v>priya.patel@company.com</v>
      </c>
    </row>
    <row r="369" spans="1:3" x14ac:dyDescent="0.3">
      <c r="A369" s="26" t="str">
        <f>TRIM(PROPER(Sales_Data!F369))</f>
        <v>Kavya Nair</v>
      </c>
      <c r="B369" s="26" t="str">
        <f>_xlfn.CONCAT(LEFT(A369,3),RIGHT(Sales_Data!B369,3),LEFT(Sales_Data!I369,2))</f>
        <v>Kav008Ja</v>
      </c>
      <c r="C369" s="26" t="str">
        <f>IF(COUNTIF(Sales_Data!T369, "*@*"), LOWER(TRIM(Sales_Data!T369)), "Invalid Email")</f>
        <v>kavya.nair@company.com</v>
      </c>
    </row>
    <row r="370" spans="1:3" x14ac:dyDescent="0.3">
      <c r="A370" s="26" t="str">
        <f>TRIM(PROPER(Sales_Data!F370))</f>
        <v>Pooja Shah</v>
      </c>
      <c r="B370" s="26" t="str">
        <f>_xlfn.CONCAT(LEFT(A370,3),RIGHT(Sales_Data!B370,3),LEFT(Sales_Data!I370,2))</f>
        <v>Poo010Hy</v>
      </c>
      <c r="C370" s="26" t="str">
        <f>IF(COUNTIF(Sales_Data!T370, "*@*"), LOWER(TRIM(Sales_Data!T370)), "Invalid Email")</f>
        <v>pooja.shah@company.com</v>
      </c>
    </row>
    <row r="371" spans="1:3" x14ac:dyDescent="0.3">
      <c r="A371" s="26" t="str">
        <f>TRIM(PROPER(Sales_Data!F371))</f>
        <v>Amit Sharma</v>
      </c>
      <c r="B371" s="26" t="str">
        <f>_xlfn.CONCAT(LEFT(A371,3),RIGHT(Sales_Data!B371,3),LEFT(Sales_Data!I371,2))</f>
        <v>Ami001De</v>
      </c>
      <c r="C371" s="26" t="str">
        <f>IF(COUNTIF(Sales_Data!T371, "*@*"), LOWER(TRIM(Sales_Data!T371)), "Invalid Email")</f>
        <v>amit.sharma@company.com</v>
      </c>
    </row>
    <row r="372" spans="1:3" x14ac:dyDescent="0.3">
      <c r="A372" s="26" t="str">
        <f>TRIM(PROPER(Sales_Data!F372))</f>
        <v>Mohit Verma</v>
      </c>
      <c r="B372" s="26" t="str">
        <f>_xlfn.CONCAT(LEFT(A372,3),RIGHT(Sales_Data!B372,3),LEFT(Sales_Data!I372,2))</f>
        <v>Moh009Be</v>
      </c>
      <c r="C372" s="26" t="str">
        <f>IF(COUNTIF(Sales_Data!T372, "*@*"), LOWER(TRIM(Sales_Data!T372)), "Invalid Email")</f>
        <v>mohit.verma@company.com</v>
      </c>
    </row>
    <row r="373" spans="1:3" x14ac:dyDescent="0.3">
      <c r="A373" s="26" t="str">
        <f>TRIM(PROPER(Sales_Data!F373))</f>
        <v>Sneha Joshi</v>
      </c>
      <c r="B373" s="26" t="str">
        <f>_xlfn.CONCAT(LEFT(A373,3),RIGHT(Sales_Data!B373,3),LEFT(Sales_Data!I373,2))</f>
        <v>Sne006Ja</v>
      </c>
      <c r="C373" s="26" t="str">
        <f>IF(COUNTIF(Sales_Data!T373, "*@*"), LOWER(TRIM(Sales_Data!T373)), "Invalid Email")</f>
        <v>sneha.joshi@company.com</v>
      </c>
    </row>
    <row r="374" spans="1:3" x14ac:dyDescent="0.3">
      <c r="A374" s="26" t="str">
        <f>TRIM(PROPER(Sales_Data!F374))</f>
        <v>Anita Gupta</v>
      </c>
      <c r="B374" s="26" t="str">
        <f>_xlfn.CONCAT(LEFT(A374,3),RIGHT(Sales_Data!B374,3),LEFT(Sales_Data!I374,2))</f>
        <v>Ani004Be</v>
      </c>
      <c r="C374" s="26" t="str">
        <f>IF(COUNTIF(Sales_Data!T374, "*@*"), LOWER(TRIM(Sales_Data!T374)), "Invalid Email")</f>
        <v>anita.gupta@company.com</v>
      </c>
    </row>
    <row r="375" spans="1:3" x14ac:dyDescent="0.3">
      <c r="A375" s="26" t="str">
        <f>TRIM(PROPER(Sales_Data!F375))</f>
        <v>Arjun Rao</v>
      </c>
      <c r="B375" s="26" t="str">
        <f>_xlfn.CONCAT(LEFT(A375,3),RIGHT(Sales_Data!B375,3),LEFT(Sales_Data!I375,2))</f>
        <v>Arj007Hy</v>
      </c>
      <c r="C375" s="26" t="str">
        <f>IF(COUNTIF(Sales_Data!T375, "*@*"), LOWER(TRIM(Sales_Data!T375)), "Invalid Email")</f>
        <v>arjun.rao@company.com</v>
      </c>
    </row>
    <row r="376" spans="1:3" x14ac:dyDescent="0.3">
      <c r="A376" s="26" t="str">
        <f>TRIM(PROPER(Sales_Data!F376))</f>
        <v>Vikas Mehta</v>
      </c>
      <c r="B376" s="26" t="str">
        <f>_xlfn.CONCAT(LEFT(A376,3),RIGHT(Sales_Data!B376,3),LEFT(Sales_Data!I376,2))</f>
        <v>Vik005Ko</v>
      </c>
      <c r="C376" s="26" t="str">
        <f>IF(COUNTIF(Sales_Data!T376, "*@*"), LOWER(TRIM(Sales_Data!T376)), "Invalid Email")</f>
        <v>vikas.mehta@company.com</v>
      </c>
    </row>
    <row r="377" spans="1:3" x14ac:dyDescent="0.3">
      <c r="A377" s="26" t="str">
        <f>TRIM(PROPER(Sales_Data!F377))</f>
        <v>Kavya Nair</v>
      </c>
      <c r="B377" s="26" t="str">
        <f>_xlfn.CONCAT(LEFT(A377,3),RIGHT(Sales_Data!B377,3),LEFT(Sales_Data!I377,2))</f>
        <v>Kav008Mu</v>
      </c>
      <c r="C377" s="26" t="str">
        <f>IF(COUNTIF(Sales_Data!T377, "*@*"), LOWER(TRIM(Sales_Data!T377)), "Invalid Email")</f>
        <v>kavya.nair@company.com</v>
      </c>
    </row>
    <row r="378" spans="1:3" x14ac:dyDescent="0.3">
      <c r="A378" s="26" t="str">
        <f>TRIM(PROPER(Sales_Data!F378))</f>
        <v>Mohit Verma</v>
      </c>
      <c r="B378" s="26" t="str">
        <f>_xlfn.CONCAT(LEFT(A378,3),RIGHT(Sales_Data!B378,3),LEFT(Sales_Data!I378,2))</f>
        <v>Moh009Pu</v>
      </c>
      <c r="C378" s="26" t="str">
        <f>IF(COUNTIF(Sales_Data!T378, "*@*"), LOWER(TRIM(Sales_Data!T378)), "Invalid Email")</f>
        <v>mohit.verma@company.com</v>
      </c>
    </row>
    <row r="379" spans="1:3" x14ac:dyDescent="0.3">
      <c r="A379" s="26" t="str">
        <f>TRIM(PROPER(Sales_Data!F379))</f>
        <v>Arjun Rao</v>
      </c>
      <c r="B379" s="26" t="str">
        <f>_xlfn.CONCAT(LEFT(A379,3),RIGHT(Sales_Data!B379,3),LEFT(Sales_Data!I379,2))</f>
        <v>Arj007Ko</v>
      </c>
      <c r="C379" s="26" t="str">
        <f>IF(COUNTIF(Sales_Data!T379, "*@*"), LOWER(TRIM(Sales_Data!T379)), "Invalid Email")</f>
        <v>arjun.rao@company.com</v>
      </c>
    </row>
    <row r="380" spans="1:3" x14ac:dyDescent="0.3">
      <c r="A380" s="26" t="str">
        <f>TRIM(PROPER(Sales_Data!F380))</f>
        <v>Arjun Rao</v>
      </c>
      <c r="B380" s="26" t="str">
        <f>_xlfn.CONCAT(LEFT(A380,3),RIGHT(Sales_Data!B380,3),LEFT(Sales_Data!I380,2))</f>
        <v>Arj007Ja</v>
      </c>
      <c r="C380" s="26" t="str">
        <f>IF(COUNTIF(Sales_Data!T380, "*@*"), LOWER(TRIM(Sales_Data!T380)), "Invalid Email")</f>
        <v>arjun.rao@company.com</v>
      </c>
    </row>
    <row r="381" spans="1:3" x14ac:dyDescent="0.3">
      <c r="A381" s="26" t="str">
        <f>TRIM(PROPER(Sales_Data!F381))</f>
        <v>Sneha Joshi</v>
      </c>
      <c r="B381" s="26" t="str">
        <f>_xlfn.CONCAT(LEFT(A381,3),RIGHT(Sales_Data!B381,3),LEFT(Sales_Data!I381,2))</f>
        <v>Sne006De</v>
      </c>
      <c r="C381" s="26" t="str">
        <f>IF(COUNTIF(Sales_Data!T381, "*@*"), LOWER(TRIM(Sales_Data!T381)), "Invalid Email")</f>
        <v>sneha.joshi@company.com</v>
      </c>
    </row>
    <row r="382" spans="1:3" x14ac:dyDescent="0.3">
      <c r="A382" s="26" t="str">
        <f>TRIM(PROPER(Sales_Data!F382))</f>
        <v>Sneha Joshi</v>
      </c>
      <c r="B382" s="26" t="str">
        <f>_xlfn.CONCAT(LEFT(A382,3),RIGHT(Sales_Data!B382,3),LEFT(Sales_Data!I382,2))</f>
        <v>Sne006De</v>
      </c>
      <c r="C382" s="26" t="str">
        <f>IF(COUNTIF(Sales_Data!T382, "*@*"), LOWER(TRIM(Sales_Data!T382)), "Invalid Email")</f>
        <v>sneha.joshi@company.com</v>
      </c>
    </row>
    <row r="383" spans="1:3" x14ac:dyDescent="0.3">
      <c r="A383" s="26" t="str">
        <f>TRIM(PROPER(Sales_Data!F383))</f>
        <v>Rohit Singh</v>
      </c>
      <c r="B383" s="26" t="str">
        <f>_xlfn.CONCAT(LEFT(A383,3),RIGHT(Sales_Data!B383,3),LEFT(Sales_Data!I383,2))</f>
        <v>Roh003Be</v>
      </c>
      <c r="C383" s="26" t="str">
        <f>IF(COUNTIF(Sales_Data!T383, "*@*"), LOWER(TRIM(Sales_Data!T383)), "Invalid Email")</f>
        <v>rohit.singh@company.com</v>
      </c>
    </row>
    <row r="384" spans="1:3" x14ac:dyDescent="0.3">
      <c r="A384" s="26" t="str">
        <f>TRIM(PROPER(Sales_Data!F384))</f>
        <v>Rohit Singh</v>
      </c>
      <c r="B384" s="26" t="str">
        <f>_xlfn.CONCAT(LEFT(A384,3),RIGHT(Sales_Data!B384,3),LEFT(Sales_Data!I384,2))</f>
        <v>Roh003Ko</v>
      </c>
      <c r="C384" s="26" t="str">
        <f>IF(COUNTIF(Sales_Data!T384, "*@*"), LOWER(TRIM(Sales_Data!T384)), "Invalid Email")</f>
        <v>rohit.singh@company.com</v>
      </c>
    </row>
    <row r="385" spans="1:3" x14ac:dyDescent="0.3">
      <c r="A385" s="26" t="str">
        <f>TRIM(PROPER(Sales_Data!F385))</f>
        <v>Vikas Mehta</v>
      </c>
      <c r="B385" s="26" t="str">
        <f>_xlfn.CONCAT(LEFT(A385,3),RIGHT(Sales_Data!B385,3),LEFT(Sales_Data!I385,2))</f>
        <v>Vik005Be</v>
      </c>
      <c r="C385" s="26" t="str">
        <f>IF(COUNTIF(Sales_Data!T385, "*@*"), LOWER(TRIM(Sales_Data!T385)), "Invalid Email")</f>
        <v>vikas.mehta@company.com</v>
      </c>
    </row>
    <row r="386" spans="1:3" x14ac:dyDescent="0.3">
      <c r="A386" s="26" t="str">
        <f>TRIM(PROPER(Sales_Data!F386))</f>
        <v>Rohit Singh</v>
      </c>
      <c r="B386" s="26" t="str">
        <f>_xlfn.CONCAT(LEFT(A386,3),RIGHT(Sales_Data!B386,3),LEFT(Sales_Data!I386,2))</f>
        <v>Roh003De</v>
      </c>
      <c r="C386" s="26" t="str">
        <f>IF(COUNTIF(Sales_Data!T386, "*@*"), LOWER(TRIM(Sales_Data!T386)), "Invalid Email")</f>
        <v>rohit.singh@company.com</v>
      </c>
    </row>
    <row r="387" spans="1:3" x14ac:dyDescent="0.3">
      <c r="A387" s="26" t="str">
        <f>TRIM(PROPER(Sales_Data!F387))</f>
        <v>Anita Gupta</v>
      </c>
      <c r="B387" s="26" t="str">
        <f>_xlfn.CONCAT(LEFT(A387,3),RIGHT(Sales_Data!B387,3),LEFT(Sales_Data!I387,2))</f>
        <v>Ani004Ah</v>
      </c>
      <c r="C387" s="26" t="str">
        <f>IF(COUNTIF(Sales_Data!T387, "*@*"), LOWER(TRIM(Sales_Data!T387)), "Invalid Email")</f>
        <v>anita.gupta@company.com</v>
      </c>
    </row>
    <row r="388" spans="1:3" x14ac:dyDescent="0.3">
      <c r="A388" s="26" t="str">
        <f>TRIM(PROPER(Sales_Data!F388))</f>
        <v>Vikas Mehta</v>
      </c>
      <c r="B388" s="26" t="str">
        <f>_xlfn.CONCAT(LEFT(A388,3),RIGHT(Sales_Data!B388,3),LEFT(Sales_Data!I388,2))</f>
        <v>Vik005Hy</v>
      </c>
      <c r="C388" s="26" t="str">
        <f>IF(COUNTIF(Sales_Data!T388, "*@*"), LOWER(TRIM(Sales_Data!T388)), "Invalid Email")</f>
        <v>vikas.mehta@company.com</v>
      </c>
    </row>
    <row r="389" spans="1:3" x14ac:dyDescent="0.3">
      <c r="A389" s="26" t="str">
        <f>TRIM(PROPER(Sales_Data!F389))</f>
        <v>Mohit Verma</v>
      </c>
      <c r="B389" s="26" t="str">
        <f>_xlfn.CONCAT(LEFT(A389,3),RIGHT(Sales_Data!B389,3),LEFT(Sales_Data!I389,2))</f>
        <v>Moh009Hy</v>
      </c>
      <c r="C389" s="26" t="str">
        <f>IF(COUNTIF(Sales_Data!T389, "*@*"), LOWER(TRIM(Sales_Data!T389)), "Invalid Email")</f>
        <v>mohit.verma@company.com</v>
      </c>
    </row>
    <row r="390" spans="1:3" x14ac:dyDescent="0.3">
      <c r="A390" s="26" t="str">
        <f>TRIM(PROPER(Sales_Data!F390))</f>
        <v>Kavya Nair</v>
      </c>
      <c r="B390" s="26" t="str">
        <f>_xlfn.CONCAT(LEFT(A390,3),RIGHT(Sales_Data!B390,3),LEFT(Sales_Data!I390,2))</f>
        <v>Kav008Ko</v>
      </c>
      <c r="C390" s="26" t="str">
        <f>IF(COUNTIF(Sales_Data!T390, "*@*"), LOWER(TRIM(Sales_Data!T390)), "Invalid Email")</f>
        <v>kavya.nair@company.com</v>
      </c>
    </row>
    <row r="391" spans="1:3" x14ac:dyDescent="0.3">
      <c r="A391" s="26" t="str">
        <f>TRIM(PROPER(Sales_Data!F391))</f>
        <v>Priya Patel</v>
      </c>
      <c r="B391" s="26" t="str">
        <f>_xlfn.CONCAT(LEFT(A391,3),RIGHT(Sales_Data!B391,3),LEFT(Sales_Data!I391,2))</f>
        <v>Pri002Pu</v>
      </c>
      <c r="C391" s="26" t="str">
        <f>IF(COUNTIF(Sales_Data!T391, "*@*"), LOWER(TRIM(Sales_Data!T391)), "Invalid Email")</f>
        <v>priya.patel@company.com</v>
      </c>
    </row>
    <row r="392" spans="1:3" x14ac:dyDescent="0.3">
      <c r="A392" s="26" t="str">
        <f>TRIM(PROPER(Sales_Data!F392))</f>
        <v>Priya Patel</v>
      </c>
      <c r="B392" s="26" t="str">
        <f>_xlfn.CONCAT(LEFT(A392,3),RIGHT(Sales_Data!B392,3),LEFT(Sales_Data!I392,2))</f>
        <v>Pri002Pu</v>
      </c>
      <c r="C392" s="26" t="str">
        <f>IF(COUNTIF(Sales_Data!T392, "*@*"), LOWER(TRIM(Sales_Data!T392)), "Invalid Email")</f>
        <v>priya.patel@company.com</v>
      </c>
    </row>
    <row r="393" spans="1:3" x14ac:dyDescent="0.3">
      <c r="A393" s="26" t="str">
        <f>TRIM(PROPER(Sales_Data!F393))</f>
        <v>Pooja Shah</v>
      </c>
      <c r="B393" s="26" t="str">
        <f>_xlfn.CONCAT(LEFT(A393,3),RIGHT(Sales_Data!B393,3),LEFT(Sales_Data!I393,2))</f>
        <v>Poo010Hy</v>
      </c>
      <c r="C393" s="26" t="str">
        <f>IF(COUNTIF(Sales_Data!T393, "*@*"), LOWER(TRIM(Sales_Data!T393)), "Invalid Email")</f>
        <v>pooja.shah@company.com</v>
      </c>
    </row>
    <row r="394" spans="1:3" x14ac:dyDescent="0.3">
      <c r="A394" s="26" t="str">
        <f>TRIM(PROPER(Sales_Data!F394))</f>
        <v>Sneha Joshi</v>
      </c>
      <c r="B394" s="26" t="str">
        <f>_xlfn.CONCAT(LEFT(A394,3),RIGHT(Sales_Data!B394,3),LEFT(Sales_Data!I394,2))</f>
        <v>Sne006De</v>
      </c>
      <c r="C394" s="26" t="str">
        <f>IF(COUNTIF(Sales_Data!T394, "*@*"), LOWER(TRIM(Sales_Data!T394)), "Invalid Email")</f>
        <v>sneha.joshi@company.com</v>
      </c>
    </row>
    <row r="395" spans="1:3" x14ac:dyDescent="0.3">
      <c r="A395" s="26" t="str">
        <f>TRIM(PROPER(Sales_Data!F395))</f>
        <v>Priya Patel</v>
      </c>
      <c r="B395" s="26" t="str">
        <f>_xlfn.CONCAT(LEFT(A395,3),RIGHT(Sales_Data!B395,3),LEFT(Sales_Data!I395,2))</f>
        <v>Pri002Ko</v>
      </c>
      <c r="C395" s="26" t="str">
        <f>IF(COUNTIF(Sales_Data!T395, "*@*"), LOWER(TRIM(Sales_Data!T395)), "Invalid Email")</f>
        <v>priya.patel@company.com</v>
      </c>
    </row>
    <row r="396" spans="1:3" x14ac:dyDescent="0.3">
      <c r="A396" s="26" t="str">
        <f>TRIM(PROPER(Sales_Data!F396))</f>
        <v>Kavya Nair</v>
      </c>
      <c r="B396" s="26" t="str">
        <f>_xlfn.CONCAT(LEFT(A396,3),RIGHT(Sales_Data!B396,3),LEFT(Sales_Data!I396,2))</f>
        <v>Kav008Ah</v>
      </c>
      <c r="C396" s="26" t="str">
        <f>IF(COUNTIF(Sales_Data!T396, "*@*"), LOWER(TRIM(Sales_Data!T396)), "Invalid Email")</f>
        <v>kavya.nair@company.com</v>
      </c>
    </row>
    <row r="397" spans="1:3" x14ac:dyDescent="0.3">
      <c r="A397" s="26" t="str">
        <f>TRIM(PROPER(Sales_Data!F397))</f>
        <v>Rohit Singh</v>
      </c>
      <c r="B397" s="26" t="str">
        <f>_xlfn.CONCAT(LEFT(A397,3),RIGHT(Sales_Data!B397,3),LEFT(Sales_Data!I397,2))</f>
        <v>Roh003Hy</v>
      </c>
      <c r="C397" s="26" t="str">
        <f>IF(COUNTIF(Sales_Data!T397, "*@*"), LOWER(TRIM(Sales_Data!T397)), "Invalid Email")</f>
        <v>rohit.singh@company.com</v>
      </c>
    </row>
    <row r="398" spans="1:3" x14ac:dyDescent="0.3">
      <c r="A398" s="26" t="str">
        <f>TRIM(PROPER(Sales_Data!F398))</f>
        <v>Arjun Rao</v>
      </c>
      <c r="B398" s="26" t="str">
        <f>_xlfn.CONCAT(LEFT(A398,3),RIGHT(Sales_Data!B398,3),LEFT(Sales_Data!I398,2))</f>
        <v>Arj007De</v>
      </c>
      <c r="C398" s="26" t="str">
        <f>IF(COUNTIF(Sales_Data!T398, "*@*"), LOWER(TRIM(Sales_Data!T398)), "Invalid Email")</f>
        <v>arjun.rao@company.com</v>
      </c>
    </row>
    <row r="399" spans="1:3" x14ac:dyDescent="0.3">
      <c r="A399" s="26" t="str">
        <f>TRIM(PROPER(Sales_Data!F399))</f>
        <v>Arjun Rao</v>
      </c>
      <c r="B399" s="26" t="str">
        <f>_xlfn.CONCAT(LEFT(A399,3),RIGHT(Sales_Data!B399,3),LEFT(Sales_Data!I399,2))</f>
        <v>Arj007Ko</v>
      </c>
      <c r="C399" s="26" t="str">
        <f>IF(COUNTIF(Sales_Data!T399, "*@*"), LOWER(TRIM(Sales_Data!T399)), "Invalid Email")</f>
        <v>arjun.rao@company.com</v>
      </c>
    </row>
    <row r="400" spans="1:3" x14ac:dyDescent="0.3">
      <c r="A400" s="26" t="str">
        <f>TRIM(PROPER(Sales_Data!F400))</f>
        <v>Amit Sharma</v>
      </c>
      <c r="B400" s="26" t="str">
        <f>_xlfn.CONCAT(LEFT(A400,3),RIGHT(Sales_Data!B400,3),LEFT(Sales_Data!I400,2))</f>
        <v>Ami001Be</v>
      </c>
      <c r="C400" s="26" t="str">
        <f>IF(COUNTIF(Sales_Data!T400, "*@*"), LOWER(TRIM(Sales_Data!T400)), "Invalid Email")</f>
        <v>amit.sharma@company.com</v>
      </c>
    </row>
    <row r="401" spans="1:3" x14ac:dyDescent="0.3">
      <c r="A401" s="26" t="str">
        <f>TRIM(PROPER(Sales_Data!F401))</f>
        <v>Kavya Nair</v>
      </c>
      <c r="B401" s="26" t="str">
        <f>_xlfn.CONCAT(LEFT(A401,3),RIGHT(Sales_Data!B401,3),LEFT(Sales_Data!I401,2))</f>
        <v>Kav008De</v>
      </c>
      <c r="C401" s="26" t="str">
        <f>IF(COUNTIF(Sales_Data!T401, "*@*"), LOWER(TRIM(Sales_Data!T401)), "Invalid Email")</f>
        <v>kavya.nair@company.com</v>
      </c>
    </row>
    <row r="402" spans="1:3" x14ac:dyDescent="0.3">
      <c r="A402" s="26" t="str">
        <f>TRIM(PROPER(Sales_Data!F402))</f>
        <v>Mohit Verma</v>
      </c>
      <c r="B402" s="26" t="str">
        <f>_xlfn.CONCAT(LEFT(A402,3),RIGHT(Sales_Data!B402,3),LEFT(Sales_Data!I402,2))</f>
        <v>Moh009Hy</v>
      </c>
      <c r="C402" s="26" t="str">
        <f>IF(COUNTIF(Sales_Data!T402, "*@*"), LOWER(TRIM(Sales_Data!T402)), "Invalid Email")</f>
        <v>mohit.verma@company.com</v>
      </c>
    </row>
    <row r="403" spans="1:3" x14ac:dyDescent="0.3">
      <c r="A403" s="26" t="str">
        <f>TRIM(PROPER(Sales_Data!F403))</f>
        <v>Kavya Nair</v>
      </c>
      <c r="B403" s="26" t="str">
        <f>_xlfn.CONCAT(LEFT(A403,3),RIGHT(Sales_Data!B403,3),LEFT(Sales_Data!I403,2))</f>
        <v>Kav008Ah</v>
      </c>
      <c r="C403" s="26" t="str">
        <f>IF(COUNTIF(Sales_Data!T403, "*@*"), LOWER(TRIM(Sales_Data!T403)), "Invalid Email")</f>
        <v>kavya.nair@company.com</v>
      </c>
    </row>
    <row r="404" spans="1:3" x14ac:dyDescent="0.3">
      <c r="A404" s="26" t="str">
        <f>TRIM(PROPER(Sales_Data!F404))</f>
        <v>Mohit Verma</v>
      </c>
      <c r="B404" s="26" t="str">
        <f>_xlfn.CONCAT(LEFT(A404,3),RIGHT(Sales_Data!B404,3),LEFT(Sales_Data!I404,2))</f>
        <v>Moh009Mu</v>
      </c>
      <c r="C404" s="26" t="str">
        <f>IF(COUNTIF(Sales_Data!T404, "*@*"), LOWER(TRIM(Sales_Data!T404)), "Invalid Email")</f>
        <v>mohit.verma@company.com</v>
      </c>
    </row>
    <row r="405" spans="1:3" x14ac:dyDescent="0.3">
      <c r="A405" s="26" t="str">
        <f>TRIM(PROPER(Sales_Data!F405))</f>
        <v>Kavya Nair</v>
      </c>
      <c r="B405" s="26" t="str">
        <f>_xlfn.CONCAT(LEFT(A405,3),RIGHT(Sales_Data!B405,3),LEFT(Sales_Data!I405,2))</f>
        <v>Kav008Mu</v>
      </c>
      <c r="C405" s="26" t="str">
        <f>IF(COUNTIF(Sales_Data!T405, "*@*"), LOWER(TRIM(Sales_Data!T405)), "Invalid Email")</f>
        <v>kavya.nair@company.com</v>
      </c>
    </row>
    <row r="406" spans="1:3" x14ac:dyDescent="0.3">
      <c r="A406" s="26" t="str">
        <f>TRIM(PROPER(Sales_Data!F406))</f>
        <v>Pooja Shah</v>
      </c>
      <c r="B406" s="26" t="str">
        <f>_xlfn.CONCAT(LEFT(A406,3),RIGHT(Sales_Data!B406,3),LEFT(Sales_Data!I406,2))</f>
        <v>Poo010Pu</v>
      </c>
      <c r="C406" s="26" t="str">
        <f>IF(COUNTIF(Sales_Data!T406, "*@*"), LOWER(TRIM(Sales_Data!T406)), "Invalid Email")</f>
        <v>pooja.shah@company.com</v>
      </c>
    </row>
    <row r="407" spans="1:3" x14ac:dyDescent="0.3">
      <c r="A407" s="26" t="str">
        <f>TRIM(PROPER(Sales_Data!F407))</f>
        <v>Anita Gupta</v>
      </c>
      <c r="B407" s="26" t="str">
        <f>_xlfn.CONCAT(LEFT(A407,3),RIGHT(Sales_Data!B407,3),LEFT(Sales_Data!I407,2))</f>
        <v>Ani004Ko</v>
      </c>
      <c r="C407" s="26" t="str">
        <f>IF(COUNTIF(Sales_Data!T407, "*@*"), LOWER(TRIM(Sales_Data!T407)), "Invalid Email")</f>
        <v>anita.gupta@company.com</v>
      </c>
    </row>
    <row r="408" spans="1:3" x14ac:dyDescent="0.3">
      <c r="A408" s="26" t="str">
        <f>TRIM(PROPER(Sales_Data!F408))</f>
        <v>Pooja Shah</v>
      </c>
      <c r="B408" s="26" t="str">
        <f>_xlfn.CONCAT(LEFT(A408,3),RIGHT(Sales_Data!B408,3),LEFT(Sales_Data!I408,2))</f>
        <v>Poo010Pu</v>
      </c>
      <c r="C408" s="26" t="str">
        <f>IF(COUNTIF(Sales_Data!T408, "*@*"), LOWER(TRIM(Sales_Data!T408)), "Invalid Email")</f>
        <v>pooja.shah@company.com</v>
      </c>
    </row>
    <row r="409" spans="1:3" x14ac:dyDescent="0.3">
      <c r="A409" s="26" t="str">
        <f>TRIM(PROPER(Sales_Data!F409))</f>
        <v>Mohit Verma</v>
      </c>
      <c r="B409" s="26" t="str">
        <f>_xlfn.CONCAT(LEFT(A409,3),RIGHT(Sales_Data!B409,3),LEFT(Sales_Data!I409,2))</f>
        <v>Moh009Mu</v>
      </c>
      <c r="C409" s="26" t="str">
        <f>IF(COUNTIF(Sales_Data!T409, "*@*"), LOWER(TRIM(Sales_Data!T409)), "Invalid Email")</f>
        <v>mohit.verma@company.com</v>
      </c>
    </row>
    <row r="410" spans="1:3" x14ac:dyDescent="0.3">
      <c r="A410" s="26" t="str">
        <f>TRIM(PROPER(Sales_Data!F410))</f>
        <v>Priya Patel</v>
      </c>
      <c r="B410" s="26" t="str">
        <f>_xlfn.CONCAT(LEFT(A410,3),RIGHT(Sales_Data!B410,3),LEFT(Sales_Data!I410,2))</f>
        <v>Pri002Hy</v>
      </c>
      <c r="C410" s="26" t="str">
        <f>IF(COUNTIF(Sales_Data!T410, "*@*"), LOWER(TRIM(Sales_Data!T410)), "Invalid Email")</f>
        <v>priya.patel@company.com</v>
      </c>
    </row>
    <row r="411" spans="1:3" x14ac:dyDescent="0.3">
      <c r="A411" s="26" t="str">
        <f>TRIM(PROPER(Sales_Data!F411))</f>
        <v>Rohit Singh</v>
      </c>
      <c r="B411" s="26" t="str">
        <f>_xlfn.CONCAT(LEFT(A411,3),RIGHT(Sales_Data!B411,3),LEFT(Sales_Data!I411,2))</f>
        <v>Roh003Ko</v>
      </c>
      <c r="C411" s="26" t="str">
        <f>IF(COUNTIF(Sales_Data!T411, "*@*"), LOWER(TRIM(Sales_Data!T411)), "Invalid Email")</f>
        <v>rohit.singh@company.com</v>
      </c>
    </row>
    <row r="412" spans="1:3" x14ac:dyDescent="0.3">
      <c r="A412" s="26" t="str">
        <f>TRIM(PROPER(Sales_Data!F412))</f>
        <v>Kavya Nair</v>
      </c>
      <c r="B412" s="26" t="str">
        <f>_xlfn.CONCAT(LEFT(A412,3),RIGHT(Sales_Data!B412,3),LEFT(Sales_Data!I412,2))</f>
        <v>Kav008Hy</v>
      </c>
      <c r="C412" s="26" t="str">
        <f>IF(COUNTIF(Sales_Data!T412, "*@*"), LOWER(TRIM(Sales_Data!T412)), "Invalid Email")</f>
        <v>kavya.nair@company.com</v>
      </c>
    </row>
    <row r="413" spans="1:3" x14ac:dyDescent="0.3">
      <c r="A413" s="26" t="str">
        <f>TRIM(PROPER(Sales_Data!F413))</f>
        <v>Priya Patel</v>
      </c>
      <c r="B413" s="26" t="str">
        <f>_xlfn.CONCAT(LEFT(A413,3),RIGHT(Sales_Data!B413,3),LEFT(Sales_Data!I413,2))</f>
        <v>Pri002Hy</v>
      </c>
      <c r="C413" s="26" t="str">
        <f>IF(COUNTIF(Sales_Data!T413, "*@*"), LOWER(TRIM(Sales_Data!T413)), "Invalid Email")</f>
        <v>priya.patel@company.com</v>
      </c>
    </row>
    <row r="414" spans="1:3" x14ac:dyDescent="0.3">
      <c r="A414" s="26" t="str">
        <f>TRIM(PROPER(Sales_Data!F414))</f>
        <v>Sneha Joshi</v>
      </c>
      <c r="B414" s="26" t="str">
        <f>_xlfn.CONCAT(LEFT(A414,3),RIGHT(Sales_Data!B414,3),LEFT(Sales_Data!I414,2))</f>
        <v>Sne006Be</v>
      </c>
      <c r="C414" s="26" t="str">
        <f>IF(COUNTIF(Sales_Data!T414, "*@*"), LOWER(TRIM(Sales_Data!T414)), "Invalid Email")</f>
        <v>sneha.joshi@company.com</v>
      </c>
    </row>
    <row r="415" spans="1:3" x14ac:dyDescent="0.3">
      <c r="A415" s="26" t="str">
        <f>TRIM(PROPER(Sales_Data!F415))</f>
        <v>Anita Gupta</v>
      </c>
      <c r="B415" s="26" t="str">
        <f>_xlfn.CONCAT(LEFT(A415,3),RIGHT(Sales_Data!B415,3),LEFT(Sales_Data!I415,2))</f>
        <v>Ani004Ah</v>
      </c>
      <c r="C415" s="26" t="str">
        <f>IF(COUNTIF(Sales_Data!T415, "*@*"), LOWER(TRIM(Sales_Data!T415)), "Invalid Email")</f>
        <v>anita.gupta@company.com</v>
      </c>
    </row>
    <row r="416" spans="1:3" x14ac:dyDescent="0.3">
      <c r="A416" s="26" t="str">
        <f>TRIM(PROPER(Sales_Data!F416))</f>
        <v>Priya Patel</v>
      </c>
      <c r="B416" s="26" t="str">
        <f>_xlfn.CONCAT(LEFT(A416,3),RIGHT(Sales_Data!B416,3),LEFT(Sales_Data!I416,2))</f>
        <v>Pri002Ah</v>
      </c>
      <c r="C416" s="26" t="str">
        <f>IF(COUNTIF(Sales_Data!T416, "*@*"), LOWER(TRIM(Sales_Data!T416)), "Invalid Email")</f>
        <v>priya.patel@company.com</v>
      </c>
    </row>
    <row r="417" spans="1:3" x14ac:dyDescent="0.3">
      <c r="A417" s="26" t="str">
        <f>TRIM(PROPER(Sales_Data!F417))</f>
        <v>Arjun Rao</v>
      </c>
      <c r="B417" s="26" t="str">
        <f>_xlfn.CONCAT(LEFT(A417,3),RIGHT(Sales_Data!B417,3),LEFT(Sales_Data!I417,2))</f>
        <v>Arj007Mu</v>
      </c>
      <c r="C417" s="26" t="str">
        <f>IF(COUNTIF(Sales_Data!T417, "*@*"), LOWER(TRIM(Sales_Data!T417)), "Invalid Email")</f>
        <v>arjun.rao@company.com</v>
      </c>
    </row>
    <row r="418" spans="1:3" x14ac:dyDescent="0.3">
      <c r="A418" s="26" t="str">
        <f>TRIM(PROPER(Sales_Data!F418))</f>
        <v>Vikas Mehta</v>
      </c>
      <c r="B418" s="26" t="str">
        <f>_xlfn.CONCAT(LEFT(A418,3),RIGHT(Sales_Data!B418,3),LEFT(Sales_Data!I418,2))</f>
        <v>Vik005Ko</v>
      </c>
      <c r="C418" s="26" t="str">
        <f>IF(COUNTIF(Sales_Data!T418, "*@*"), LOWER(TRIM(Sales_Data!T418)), "Invalid Email")</f>
        <v>vikas.mehta@company.com</v>
      </c>
    </row>
    <row r="419" spans="1:3" x14ac:dyDescent="0.3">
      <c r="A419" s="26" t="str">
        <f>TRIM(PROPER(Sales_Data!F419))</f>
        <v>Arjun Rao</v>
      </c>
      <c r="B419" s="26" t="str">
        <f>_xlfn.CONCAT(LEFT(A419,3),RIGHT(Sales_Data!B419,3),LEFT(Sales_Data!I419,2))</f>
        <v>Arj007Hy</v>
      </c>
      <c r="C419" s="26" t="str">
        <f>IF(COUNTIF(Sales_Data!T419, "*@*"), LOWER(TRIM(Sales_Data!T419)), "Invalid Email")</f>
        <v>arjun.rao@company.com</v>
      </c>
    </row>
    <row r="420" spans="1:3" x14ac:dyDescent="0.3">
      <c r="A420" s="26" t="str">
        <f>TRIM(PROPER(Sales_Data!F420))</f>
        <v>Arjun Rao</v>
      </c>
      <c r="B420" s="26" t="str">
        <f>_xlfn.CONCAT(LEFT(A420,3),RIGHT(Sales_Data!B420,3),LEFT(Sales_Data!I420,2))</f>
        <v>Arj007Mu</v>
      </c>
      <c r="C420" s="26" t="str">
        <f>IF(COUNTIF(Sales_Data!T420, "*@*"), LOWER(TRIM(Sales_Data!T420)), "Invalid Email")</f>
        <v>arjun.rao@company.com</v>
      </c>
    </row>
    <row r="421" spans="1:3" x14ac:dyDescent="0.3">
      <c r="A421" s="26" t="str">
        <f>TRIM(PROPER(Sales_Data!F421))</f>
        <v>Rohit Singh</v>
      </c>
      <c r="B421" s="26" t="str">
        <f>_xlfn.CONCAT(LEFT(A421,3),RIGHT(Sales_Data!B421,3),LEFT(Sales_Data!I421,2))</f>
        <v>Roh003Mu</v>
      </c>
      <c r="C421" s="26" t="str">
        <f>IF(COUNTIF(Sales_Data!T421, "*@*"), LOWER(TRIM(Sales_Data!T421)), "Invalid Email")</f>
        <v>rohit.singh@company.com</v>
      </c>
    </row>
    <row r="422" spans="1:3" x14ac:dyDescent="0.3">
      <c r="A422" s="26" t="str">
        <f>TRIM(PROPER(Sales_Data!F422))</f>
        <v>Mohit Verma</v>
      </c>
      <c r="B422" s="26" t="str">
        <f>_xlfn.CONCAT(LEFT(A422,3),RIGHT(Sales_Data!B422,3),LEFT(Sales_Data!I422,2))</f>
        <v>Moh009Pu</v>
      </c>
      <c r="C422" s="26" t="str">
        <f>IF(COUNTIF(Sales_Data!T422, "*@*"), LOWER(TRIM(Sales_Data!T422)), "Invalid Email")</f>
        <v>mohit.verma@company.com</v>
      </c>
    </row>
    <row r="423" spans="1:3" x14ac:dyDescent="0.3">
      <c r="A423" s="26" t="str">
        <f>TRIM(PROPER(Sales_Data!F423))</f>
        <v>Rohit Singh</v>
      </c>
      <c r="B423" s="26" t="str">
        <f>_xlfn.CONCAT(LEFT(A423,3),RIGHT(Sales_Data!B423,3),LEFT(Sales_Data!I423,2))</f>
        <v>Roh003Ja</v>
      </c>
      <c r="C423" s="26" t="str">
        <f>IF(COUNTIF(Sales_Data!T423, "*@*"), LOWER(TRIM(Sales_Data!T423)), "Invalid Email")</f>
        <v>rohit.singh@company.com</v>
      </c>
    </row>
    <row r="424" spans="1:3" x14ac:dyDescent="0.3">
      <c r="A424" s="26" t="str">
        <f>TRIM(PROPER(Sales_Data!F424))</f>
        <v>Amit Sharma</v>
      </c>
      <c r="B424" s="26" t="str">
        <f>_xlfn.CONCAT(LEFT(A424,3),RIGHT(Sales_Data!B424,3),LEFT(Sales_Data!I424,2))</f>
        <v>Ami001Ja</v>
      </c>
      <c r="C424" s="26" t="str">
        <f>IF(COUNTIF(Sales_Data!T424, "*@*"), LOWER(TRIM(Sales_Data!T424)), "Invalid Email")</f>
        <v>amit.sharma@company.com</v>
      </c>
    </row>
    <row r="425" spans="1:3" x14ac:dyDescent="0.3">
      <c r="A425" s="26" t="str">
        <f>TRIM(PROPER(Sales_Data!F425))</f>
        <v>Rohit Singh</v>
      </c>
      <c r="B425" s="26" t="str">
        <f>_xlfn.CONCAT(LEFT(A425,3),RIGHT(Sales_Data!B425,3),LEFT(Sales_Data!I425,2))</f>
        <v>Roh003Ko</v>
      </c>
      <c r="C425" s="26" t="str">
        <f>IF(COUNTIF(Sales_Data!T425, "*@*"), LOWER(TRIM(Sales_Data!T425)), "Invalid Email")</f>
        <v>rohit.singh@company.com</v>
      </c>
    </row>
    <row r="426" spans="1:3" x14ac:dyDescent="0.3">
      <c r="A426" s="26" t="str">
        <f>TRIM(PROPER(Sales_Data!F426))</f>
        <v>Vikas Mehta</v>
      </c>
      <c r="B426" s="26" t="str">
        <f>_xlfn.CONCAT(LEFT(A426,3),RIGHT(Sales_Data!B426,3),LEFT(Sales_Data!I426,2))</f>
        <v>Vik005Pu</v>
      </c>
      <c r="C426" s="26" t="str">
        <f>IF(COUNTIF(Sales_Data!T426, "*@*"), LOWER(TRIM(Sales_Data!T426)), "Invalid Email")</f>
        <v>vikas.mehta@company.com</v>
      </c>
    </row>
    <row r="427" spans="1:3" x14ac:dyDescent="0.3">
      <c r="A427" s="26" t="str">
        <f>TRIM(PROPER(Sales_Data!F427))</f>
        <v>Priya Patel</v>
      </c>
      <c r="B427" s="26" t="str">
        <f>_xlfn.CONCAT(LEFT(A427,3),RIGHT(Sales_Data!B427,3),LEFT(Sales_Data!I427,2))</f>
        <v>Pri002Mu</v>
      </c>
      <c r="C427" s="26" t="str">
        <f>IF(COUNTIF(Sales_Data!T427, "*@*"), LOWER(TRIM(Sales_Data!T427)), "Invalid Email")</f>
        <v>priya.patel@company.com</v>
      </c>
    </row>
    <row r="428" spans="1:3" x14ac:dyDescent="0.3">
      <c r="A428" s="26" t="str">
        <f>TRIM(PROPER(Sales_Data!F428))</f>
        <v>Arjun Rao</v>
      </c>
      <c r="B428" s="26" t="str">
        <f>_xlfn.CONCAT(LEFT(A428,3),RIGHT(Sales_Data!B428,3),LEFT(Sales_Data!I428,2))</f>
        <v>Arj007Ja</v>
      </c>
      <c r="C428" s="26" t="str">
        <f>IF(COUNTIF(Sales_Data!T428, "*@*"), LOWER(TRIM(Sales_Data!T428)), "Invalid Email")</f>
        <v>arjun.rao@company.com</v>
      </c>
    </row>
    <row r="429" spans="1:3" x14ac:dyDescent="0.3">
      <c r="A429" s="26" t="str">
        <f>TRIM(PROPER(Sales_Data!F429))</f>
        <v>Mohit Verma</v>
      </c>
      <c r="B429" s="26" t="str">
        <f>_xlfn.CONCAT(LEFT(A429,3),RIGHT(Sales_Data!B429,3),LEFT(Sales_Data!I429,2))</f>
        <v>Moh009Pu</v>
      </c>
      <c r="C429" s="26" t="str">
        <f>IF(COUNTIF(Sales_Data!T429, "*@*"), LOWER(TRIM(Sales_Data!T429)), "Invalid Email")</f>
        <v>mohit.verma@company.com</v>
      </c>
    </row>
    <row r="430" spans="1:3" x14ac:dyDescent="0.3">
      <c r="A430" s="26" t="str">
        <f>TRIM(PROPER(Sales_Data!F430))</f>
        <v>Sneha Joshi</v>
      </c>
      <c r="B430" s="26" t="str">
        <f>_xlfn.CONCAT(LEFT(A430,3),RIGHT(Sales_Data!B430,3),LEFT(Sales_Data!I430,2))</f>
        <v>Sne006Be</v>
      </c>
      <c r="C430" s="26" t="str">
        <f>IF(COUNTIF(Sales_Data!T430, "*@*"), LOWER(TRIM(Sales_Data!T430)), "Invalid Email")</f>
        <v>sneha.joshi@company.com</v>
      </c>
    </row>
    <row r="431" spans="1:3" x14ac:dyDescent="0.3">
      <c r="A431" s="26" t="str">
        <f>TRIM(PROPER(Sales_Data!F431))</f>
        <v>Arjun Rao</v>
      </c>
      <c r="B431" s="26" t="str">
        <f>_xlfn.CONCAT(LEFT(A431,3),RIGHT(Sales_Data!B431,3),LEFT(Sales_Data!I431,2))</f>
        <v>Arj007Ja</v>
      </c>
      <c r="C431" s="26" t="str">
        <f>IF(COUNTIF(Sales_Data!T431, "*@*"), LOWER(TRIM(Sales_Data!T431)), "Invalid Email")</f>
        <v>arjun.rao@company.com</v>
      </c>
    </row>
    <row r="432" spans="1:3" x14ac:dyDescent="0.3">
      <c r="A432" s="26" t="str">
        <f>TRIM(PROPER(Sales_Data!F432))</f>
        <v>Pooja Shah</v>
      </c>
      <c r="B432" s="26" t="str">
        <f>_xlfn.CONCAT(LEFT(A432,3),RIGHT(Sales_Data!B432,3),LEFT(Sales_Data!I432,2))</f>
        <v>Poo010Ja</v>
      </c>
      <c r="C432" s="26" t="str">
        <f>IF(COUNTIF(Sales_Data!T432, "*@*"), LOWER(TRIM(Sales_Data!T432)), "Invalid Email")</f>
        <v>pooja.shah@company.com</v>
      </c>
    </row>
    <row r="433" spans="1:3" x14ac:dyDescent="0.3">
      <c r="A433" s="26" t="str">
        <f>TRIM(PROPER(Sales_Data!F433))</f>
        <v>Sneha Joshi</v>
      </c>
      <c r="B433" s="26" t="str">
        <f>_xlfn.CONCAT(LEFT(A433,3),RIGHT(Sales_Data!B433,3),LEFT(Sales_Data!I433,2))</f>
        <v>Sne006Mu</v>
      </c>
      <c r="C433" s="26" t="str">
        <f>IF(COUNTIF(Sales_Data!T433, "*@*"), LOWER(TRIM(Sales_Data!T433)), "Invalid Email")</f>
        <v>sneha.joshi@company.com</v>
      </c>
    </row>
    <row r="434" spans="1:3" x14ac:dyDescent="0.3">
      <c r="A434" s="26" t="str">
        <f>TRIM(PROPER(Sales_Data!F434))</f>
        <v>Amit Sharma</v>
      </c>
      <c r="B434" s="26" t="str">
        <f>_xlfn.CONCAT(LEFT(A434,3),RIGHT(Sales_Data!B434,3),LEFT(Sales_Data!I434,2))</f>
        <v>Ami001Ko</v>
      </c>
      <c r="C434" s="26" t="str">
        <f>IF(COUNTIF(Sales_Data!T434, "*@*"), LOWER(TRIM(Sales_Data!T434)), "Invalid Email")</f>
        <v>amit.sharma@company.com</v>
      </c>
    </row>
    <row r="435" spans="1:3" x14ac:dyDescent="0.3">
      <c r="A435" s="26" t="str">
        <f>TRIM(PROPER(Sales_Data!F435))</f>
        <v>Kavya Nair</v>
      </c>
      <c r="B435" s="26" t="str">
        <f>_xlfn.CONCAT(LEFT(A435,3),RIGHT(Sales_Data!B435,3),LEFT(Sales_Data!I435,2))</f>
        <v>Kav008Ko</v>
      </c>
      <c r="C435" s="26" t="str">
        <f>IF(COUNTIF(Sales_Data!T435, "*@*"), LOWER(TRIM(Sales_Data!T435)), "Invalid Email")</f>
        <v>kavya.nair@company.com</v>
      </c>
    </row>
    <row r="436" spans="1:3" x14ac:dyDescent="0.3">
      <c r="A436" s="26" t="str">
        <f>TRIM(PROPER(Sales_Data!F436))</f>
        <v>Amit Sharma</v>
      </c>
      <c r="B436" s="26" t="str">
        <f>_xlfn.CONCAT(LEFT(A436,3),RIGHT(Sales_Data!B436,3),LEFT(Sales_Data!I436,2))</f>
        <v>Ami001Mu</v>
      </c>
      <c r="C436" s="26" t="str">
        <f>IF(COUNTIF(Sales_Data!T436, "*@*"), LOWER(TRIM(Sales_Data!T436)), "Invalid Email")</f>
        <v>amit.sharma@company.com</v>
      </c>
    </row>
    <row r="437" spans="1:3" x14ac:dyDescent="0.3">
      <c r="A437" s="26" t="str">
        <f>TRIM(PROPER(Sales_Data!F437))</f>
        <v>Kavya Nair</v>
      </c>
      <c r="B437" s="26" t="str">
        <f>_xlfn.CONCAT(LEFT(A437,3),RIGHT(Sales_Data!B437,3),LEFT(Sales_Data!I437,2))</f>
        <v>Kav008Ah</v>
      </c>
      <c r="C437" s="26" t="str">
        <f>IF(COUNTIF(Sales_Data!T437, "*@*"), LOWER(TRIM(Sales_Data!T437)), "Invalid Email")</f>
        <v>kavya.nair@company.com</v>
      </c>
    </row>
    <row r="438" spans="1:3" x14ac:dyDescent="0.3">
      <c r="A438" s="26" t="str">
        <f>TRIM(PROPER(Sales_Data!F438))</f>
        <v>Rohit Singh</v>
      </c>
      <c r="B438" s="26" t="str">
        <f>_xlfn.CONCAT(LEFT(A438,3),RIGHT(Sales_Data!B438,3),LEFT(Sales_Data!I438,2))</f>
        <v>Roh003Hy</v>
      </c>
      <c r="C438" s="26" t="str">
        <f>IF(COUNTIF(Sales_Data!T438, "*@*"), LOWER(TRIM(Sales_Data!T438)), "Invalid Email")</f>
        <v>rohit.singh@company.com</v>
      </c>
    </row>
    <row r="439" spans="1:3" x14ac:dyDescent="0.3">
      <c r="A439" s="26" t="str">
        <f>TRIM(PROPER(Sales_Data!F439))</f>
        <v>Priya Patel</v>
      </c>
      <c r="B439" s="26" t="str">
        <f>_xlfn.CONCAT(LEFT(A439,3),RIGHT(Sales_Data!B439,3),LEFT(Sales_Data!I439,2))</f>
        <v>Pri002Ko</v>
      </c>
      <c r="C439" s="26" t="str">
        <f>IF(COUNTIF(Sales_Data!T439, "*@*"), LOWER(TRIM(Sales_Data!T439)), "Invalid Email")</f>
        <v>priya.patel@company.com</v>
      </c>
    </row>
    <row r="440" spans="1:3" x14ac:dyDescent="0.3">
      <c r="A440" s="26" t="str">
        <f>TRIM(PROPER(Sales_Data!F440))</f>
        <v>Arjun Rao</v>
      </c>
      <c r="B440" s="26" t="str">
        <f>_xlfn.CONCAT(LEFT(A440,3),RIGHT(Sales_Data!B440,3),LEFT(Sales_Data!I440,2))</f>
        <v>Arj007Ah</v>
      </c>
      <c r="C440" s="26" t="str">
        <f>IF(COUNTIF(Sales_Data!T440, "*@*"), LOWER(TRIM(Sales_Data!T440)), "Invalid Email")</f>
        <v>arjun.rao@company.com</v>
      </c>
    </row>
    <row r="441" spans="1:3" x14ac:dyDescent="0.3">
      <c r="A441" s="26" t="str">
        <f>TRIM(PROPER(Sales_Data!F441))</f>
        <v>Arjun Rao</v>
      </c>
      <c r="B441" s="26" t="str">
        <f>_xlfn.CONCAT(LEFT(A441,3),RIGHT(Sales_Data!B441,3),LEFT(Sales_Data!I441,2))</f>
        <v>Arj007De</v>
      </c>
      <c r="C441" s="26" t="str">
        <f>IF(COUNTIF(Sales_Data!T441, "*@*"), LOWER(TRIM(Sales_Data!T441)), "Invalid Email")</f>
        <v>arjun.rao@company.com</v>
      </c>
    </row>
    <row r="442" spans="1:3" x14ac:dyDescent="0.3">
      <c r="A442" s="26" t="str">
        <f>TRIM(PROPER(Sales_Data!F442))</f>
        <v>Amit Sharma</v>
      </c>
      <c r="B442" s="26" t="str">
        <f>_xlfn.CONCAT(LEFT(A442,3),RIGHT(Sales_Data!B442,3),LEFT(Sales_Data!I442,2))</f>
        <v>Ami001Ah</v>
      </c>
      <c r="C442" s="26" t="str">
        <f>IF(COUNTIF(Sales_Data!T442, "*@*"), LOWER(TRIM(Sales_Data!T442)), "Invalid Email")</f>
        <v>amit.sharma@company.com</v>
      </c>
    </row>
    <row r="443" spans="1:3" x14ac:dyDescent="0.3">
      <c r="A443" s="26" t="str">
        <f>TRIM(PROPER(Sales_Data!F443))</f>
        <v>Arjun Rao</v>
      </c>
      <c r="B443" s="26" t="str">
        <f>_xlfn.CONCAT(LEFT(A443,3),RIGHT(Sales_Data!B443,3),LEFT(Sales_Data!I443,2))</f>
        <v>Arj007Ja</v>
      </c>
      <c r="C443" s="26" t="str">
        <f>IF(COUNTIF(Sales_Data!T443, "*@*"), LOWER(TRIM(Sales_Data!T443)), "Invalid Email")</f>
        <v>arjun.rao@company.com</v>
      </c>
    </row>
    <row r="444" spans="1:3" x14ac:dyDescent="0.3">
      <c r="A444" s="26" t="str">
        <f>TRIM(PROPER(Sales_Data!F444))</f>
        <v>Rohit Singh</v>
      </c>
      <c r="B444" s="26" t="str">
        <f>_xlfn.CONCAT(LEFT(A444,3),RIGHT(Sales_Data!B444,3),LEFT(Sales_Data!I444,2))</f>
        <v>Roh003Mu</v>
      </c>
      <c r="C444" s="26" t="str">
        <f>IF(COUNTIF(Sales_Data!T444, "*@*"), LOWER(TRIM(Sales_Data!T444)), "Invalid Email")</f>
        <v>rohit.singh@company.com</v>
      </c>
    </row>
    <row r="445" spans="1:3" x14ac:dyDescent="0.3">
      <c r="A445" s="26" t="str">
        <f>TRIM(PROPER(Sales_Data!F445))</f>
        <v>Anita Gupta</v>
      </c>
      <c r="B445" s="26" t="str">
        <f>_xlfn.CONCAT(LEFT(A445,3),RIGHT(Sales_Data!B445,3),LEFT(Sales_Data!I445,2))</f>
        <v>Ani004Ah</v>
      </c>
      <c r="C445" s="26" t="str">
        <f>IF(COUNTIF(Sales_Data!T445, "*@*"), LOWER(TRIM(Sales_Data!T445)), "Invalid Email")</f>
        <v>anita.gupta@company.com</v>
      </c>
    </row>
    <row r="446" spans="1:3" x14ac:dyDescent="0.3">
      <c r="A446" s="26" t="str">
        <f>TRIM(PROPER(Sales_Data!F446))</f>
        <v>Pooja Shah</v>
      </c>
      <c r="B446" s="26" t="str">
        <f>_xlfn.CONCAT(LEFT(A446,3),RIGHT(Sales_Data!B446,3),LEFT(Sales_Data!I446,2))</f>
        <v>Poo010Hy</v>
      </c>
      <c r="C446" s="26" t="str">
        <f>IF(COUNTIF(Sales_Data!T446, "*@*"), LOWER(TRIM(Sales_Data!T446)), "Invalid Email")</f>
        <v>pooja.shah@company.com</v>
      </c>
    </row>
    <row r="447" spans="1:3" x14ac:dyDescent="0.3">
      <c r="A447" s="26" t="str">
        <f>TRIM(PROPER(Sales_Data!F447))</f>
        <v>Vikas Mehta</v>
      </c>
      <c r="B447" s="26" t="str">
        <f>_xlfn.CONCAT(LEFT(A447,3),RIGHT(Sales_Data!B447,3),LEFT(Sales_Data!I447,2))</f>
        <v>Vik005Hy</v>
      </c>
      <c r="C447" s="26" t="str">
        <f>IF(COUNTIF(Sales_Data!T447, "*@*"), LOWER(TRIM(Sales_Data!T447)), "Invalid Email")</f>
        <v>vikas.mehta@company.com</v>
      </c>
    </row>
    <row r="448" spans="1:3" x14ac:dyDescent="0.3">
      <c r="A448" s="26" t="str">
        <f>TRIM(PROPER(Sales_Data!F448))</f>
        <v>Kavya Nair</v>
      </c>
      <c r="B448" s="26" t="str">
        <f>_xlfn.CONCAT(LEFT(A448,3),RIGHT(Sales_Data!B448,3),LEFT(Sales_Data!I448,2))</f>
        <v>Kav008Mu</v>
      </c>
      <c r="C448" s="26" t="str">
        <f>IF(COUNTIF(Sales_Data!T448, "*@*"), LOWER(TRIM(Sales_Data!T448)), "Invalid Email")</f>
        <v>kavya.nair@company.com</v>
      </c>
    </row>
    <row r="449" spans="1:3" x14ac:dyDescent="0.3">
      <c r="A449" s="26" t="str">
        <f>TRIM(PROPER(Sales_Data!F449))</f>
        <v>Kavya Nair</v>
      </c>
      <c r="B449" s="26" t="str">
        <f>_xlfn.CONCAT(LEFT(A449,3),RIGHT(Sales_Data!B449,3),LEFT(Sales_Data!I449,2))</f>
        <v>Kav008Pu</v>
      </c>
      <c r="C449" s="26" t="str">
        <f>IF(COUNTIF(Sales_Data!T449, "*@*"), LOWER(TRIM(Sales_Data!T449)), "Invalid Email")</f>
        <v>kavya.nair@company.com</v>
      </c>
    </row>
    <row r="450" spans="1:3" x14ac:dyDescent="0.3">
      <c r="A450" s="26" t="str">
        <f>TRIM(PROPER(Sales_Data!F450))</f>
        <v>Amit Sharma</v>
      </c>
      <c r="B450" s="26" t="str">
        <f>_xlfn.CONCAT(LEFT(A450,3),RIGHT(Sales_Data!B450,3),LEFT(Sales_Data!I450,2))</f>
        <v>Ami001Ah</v>
      </c>
      <c r="C450" s="26" t="str">
        <f>IF(COUNTIF(Sales_Data!T450, "*@*"), LOWER(TRIM(Sales_Data!T450)), "Invalid Email")</f>
        <v>amit.sharma@company.com</v>
      </c>
    </row>
    <row r="451" spans="1:3" x14ac:dyDescent="0.3">
      <c r="A451" s="26" t="str">
        <f>TRIM(PROPER(Sales_Data!F451))</f>
        <v>Amit Sharma</v>
      </c>
      <c r="B451" s="26" t="str">
        <f>_xlfn.CONCAT(LEFT(A451,3),RIGHT(Sales_Data!B451,3),LEFT(Sales_Data!I451,2))</f>
        <v>Ami001Ko</v>
      </c>
      <c r="C451" s="26" t="str">
        <f>IF(COUNTIF(Sales_Data!T451, "*@*"), LOWER(TRIM(Sales_Data!T451)), "Invalid Email")</f>
        <v>amit.sharma@company.com</v>
      </c>
    </row>
    <row r="452" spans="1:3" x14ac:dyDescent="0.3">
      <c r="A452" s="26" t="str">
        <f>TRIM(PROPER(Sales_Data!F452))</f>
        <v>Mohit Verma</v>
      </c>
      <c r="B452" s="26" t="str">
        <f>_xlfn.CONCAT(LEFT(A452,3),RIGHT(Sales_Data!B452,3),LEFT(Sales_Data!I452,2))</f>
        <v>Moh009Hy</v>
      </c>
      <c r="C452" s="26" t="str">
        <f>IF(COUNTIF(Sales_Data!T452, "*@*"), LOWER(TRIM(Sales_Data!T452)), "Invalid Email")</f>
        <v>mohit.verma@company.com</v>
      </c>
    </row>
    <row r="453" spans="1:3" x14ac:dyDescent="0.3">
      <c r="A453" s="26" t="str">
        <f>TRIM(PROPER(Sales_Data!F453))</f>
        <v>Mohit Verma</v>
      </c>
      <c r="B453" s="26" t="str">
        <f>_xlfn.CONCAT(LEFT(A453,3),RIGHT(Sales_Data!B453,3),LEFT(Sales_Data!I453,2))</f>
        <v>Moh009De</v>
      </c>
      <c r="C453" s="26" t="str">
        <f>IF(COUNTIF(Sales_Data!T453, "*@*"), LOWER(TRIM(Sales_Data!T453)), "Invalid Email")</f>
        <v>mohit.verma@company.com</v>
      </c>
    </row>
    <row r="454" spans="1:3" x14ac:dyDescent="0.3">
      <c r="A454" s="26" t="str">
        <f>TRIM(PROPER(Sales_Data!F454))</f>
        <v>Pooja Shah</v>
      </c>
      <c r="B454" s="26" t="str">
        <f>_xlfn.CONCAT(LEFT(A454,3),RIGHT(Sales_Data!B454,3),LEFT(Sales_Data!I454,2))</f>
        <v>Poo010Ah</v>
      </c>
      <c r="C454" s="26" t="str">
        <f>IF(COUNTIF(Sales_Data!T454, "*@*"), LOWER(TRIM(Sales_Data!T454)), "Invalid Email")</f>
        <v>pooja.shah@company.com</v>
      </c>
    </row>
    <row r="455" spans="1:3" x14ac:dyDescent="0.3">
      <c r="A455" s="26" t="str">
        <f>TRIM(PROPER(Sales_Data!F455))</f>
        <v>Sneha Joshi</v>
      </c>
      <c r="B455" s="26" t="str">
        <f>_xlfn.CONCAT(LEFT(A455,3),RIGHT(Sales_Data!B455,3),LEFT(Sales_Data!I455,2))</f>
        <v>Sne006Ah</v>
      </c>
      <c r="C455" s="26" t="str">
        <f>IF(COUNTIF(Sales_Data!T455, "*@*"), LOWER(TRIM(Sales_Data!T455)), "Invalid Email")</f>
        <v>sneha.joshi@company.com</v>
      </c>
    </row>
    <row r="456" spans="1:3" x14ac:dyDescent="0.3">
      <c r="A456" s="26" t="str">
        <f>TRIM(PROPER(Sales_Data!F456))</f>
        <v>Mohit Verma</v>
      </c>
      <c r="B456" s="26" t="str">
        <f>_xlfn.CONCAT(LEFT(A456,3),RIGHT(Sales_Data!B456,3),LEFT(Sales_Data!I456,2))</f>
        <v>Moh009Ko</v>
      </c>
      <c r="C456" s="26" t="str">
        <f>IF(COUNTIF(Sales_Data!T456, "*@*"), LOWER(TRIM(Sales_Data!T456)), "Invalid Email")</f>
        <v>mohit.verma@company.com</v>
      </c>
    </row>
    <row r="457" spans="1:3" x14ac:dyDescent="0.3">
      <c r="A457" s="26" t="str">
        <f>TRIM(PROPER(Sales_Data!F457))</f>
        <v>Pooja Shah</v>
      </c>
      <c r="B457" s="26" t="str">
        <f>_xlfn.CONCAT(LEFT(A457,3),RIGHT(Sales_Data!B457,3),LEFT(Sales_Data!I457,2))</f>
        <v>Poo010Pu</v>
      </c>
      <c r="C457" s="26" t="str">
        <f>IF(COUNTIF(Sales_Data!T457, "*@*"), LOWER(TRIM(Sales_Data!T457)), "Invalid Email")</f>
        <v>pooja.shah@company.com</v>
      </c>
    </row>
    <row r="458" spans="1:3" x14ac:dyDescent="0.3">
      <c r="A458" s="26" t="str">
        <f>TRIM(PROPER(Sales_Data!F458))</f>
        <v>Amit Sharma</v>
      </c>
      <c r="B458" s="26" t="str">
        <f>_xlfn.CONCAT(LEFT(A458,3),RIGHT(Sales_Data!B458,3),LEFT(Sales_Data!I458,2))</f>
        <v>Ami001Be</v>
      </c>
      <c r="C458" s="26" t="str">
        <f>IF(COUNTIF(Sales_Data!T458, "*@*"), LOWER(TRIM(Sales_Data!T458)), "Invalid Email")</f>
        <v>amit.sharma@company.com</v>
      </c>
    </row>
    <row r="459" spans="1:3" x14ac:dyDescent="0.3">
      <c r="A459" s="26" t="str">
        <f>TRIM(PROPER(Sales_Data!F459))</f>
        <v>Priya Patel</v>
      </c>
      <c r="B459" s="26" t="str">
        <f>_xlfn.CONCAT(LEFT(A459,3),RIGHT(Sales_Data!B459,3),LEFT(Sales_Data!I459,2))</f>
        <v>Pri002Ah</v>
      </c>
      <c r="C459" s="26" t="str">
        <f>IF(COUNTIF(Sales_Data!T459, "*@*"), LOWER(TRIM(Sales_Data!T459)), "Invalid Email")</f>
        <v>priya.patel@company.com</v>
      </c>
    </row>
    <row r="460" spans="1:3" x14ac:dyDescent="0.3">
      <c r="A460" s="26" t="str">
        <f>TRIM(PROPER(Sales_Data!F460))</f>
        <v>Vikas Mehta</v>
      </c>
      <c r="B460" s="26" t="str">
        <f>_xlfn.CONCAT(LEFT(A460,3),RIGHT(Sales_Data!B460,3),LEFT(Sales_Data!I460,2))</f>
        <v>Vik005Mu</v>
      </c>
      <c r="C460" s="26" t="str">
        <f>IF(COUNTIF(Sales_Data!T460, "*@*"), LOWER(TRIM(Sales_Data!T460)), "Invalid Email")</f>
        <v>vikas.mehta@company.com</v>
      </c>
    </row>
    <row r="461" spans="1:3" x14ac:dyDescent="0.3">
      <c r="A461" s="26" t="str">
        <f>TRIM(PROPER(Sales_Data!F461))</f>
        <v>Amit Sharma</v>
      </c>
      <c r="B461" s="26" t="str">
        <f>_xlfn.CONCAT(LEFT(A461,3),RIGHT(Sales_Data!B461,3),LEFT(Sales_Data!I461,2))</f>
        <v>Ami001Be</v>
      </c>
      <c r="C461" s="26" t="str">
        <f>IF(COUNTIF(Sales_Data!T461, "*@*"), LOWER(TRIM(Sales_Data!T461)), "Invalid Email")</f>
        <v>amit.sharma@company.com</v>
      </c>
    </row>
    <row r="462" spans="1:3" x14ac:dyDescent="0.3">
      <c r="A462" s="26" t="str">
        <f>TRIM(PROPER(Sales_Data!F462))</f>
        <v>Amit Sharma</v>
      </c>
      <c r="B462" s="26" t="str">
        <f>_xlfn.CONCAT(LEFT(A462,3),RIGHT(Sales_Data!B462,3),LEFT(Sales_Data!I462,2))</f>
        <v>Ami001De</v>
      </c>
      <c r="C462" s="26" t="str">
        <f>IF(COUNTIF(Sales_Data!T462, "*@*"), LOWER(TRIM(Sales_Data!T462)), "Invalid Email")</f>
        <v>amit.sharma@company.com</v>
      </c>
    </row>
    <row r="463" spans="1:3" x14ac:dyDescent="0.3">
      <c r="A463" s="26" t="str">
        <f>TRIM(PROPER(Sales_Data!F463))</f>
        <v>Rohit Singh</v>
      </c>
      <c r="B463" s="26" t="str">
        <f>_xlfn.CONCAT(LEFT(A463,3),RIGHT(Sales_Data!B463,3),LEFT(Sales_Data!I463,2))</f>
        <v>Roh003De</v>
      </c>
      <c r="C463" s="26" t="str">
        <f>IF(COUNTIF(Sales_Data!T463, "*@*"), LOWER(TRIM(Sales_Data!T463)), "Invalid Email")</f>
        <v>rohit.singh@company.com</v>
      </c>
    </row>
    <row r="464" spans="1:3" x14ac:dyDescent="0.3">
      <c r="A464" s="26" t="str">
        <f>TRIM(PROPER(Sales_Data!F464))</f>
        <v>Mohit Verma</v>
      </c>
      <c r="B464" s="26" t="str">
        <f>_xlfn.CONCAT(LEFT(A464,3),RIGHT(Sales_Data!B464,3),LEFT(Sales_Data!I464,2))</f>
        <v>Moh009Hy</v>
      </c>
      <c r="C464" s="26" t="str">
        <f>IF(COUNTIF(Sales_Data!T464, "*@*"), LOWER(TRIM(Sales_Data!T464)), "Invalid Email")</f>
        <v>mohit.verma@company.com</v>
      </c>
    </row>
    <row r="465" spans="1:3" x14ac:dyDescent="0.3">
      <c r="A465" s="26" t="str">
        <f>TRIM(PROPER(Sales_Data!F465))</f>
        <v>Rohit Singh</v>
      </c>
      <c r="B465" s="26" t="str">
        <f>_xlfn.CONCAT(LEFT(A465,3),RIGHT(Sales_Data!B465,3),LEFT(Sales_Data!I465,2))</f>
        <v>Roh003Pu</v>
      </c>
      <c r="C465" s="26" t="str">
        <f>IF(COUNTIF(Sales_Data!T465, "*@*"), LOWER(TRIM(Sales_Data!T465)), "Invalid Email")</f>
        <v>rohit.singh@company.com</v>
      </c>
    </row>
    <row r="466" spans="1:3" x14ac:dyDescent="0.3">
      <c r="A466" s="26" t="str">
        <f>TRIM(PROPER(Sales_Data!F466))</f>
        <v>Mohit Verma</v>
      </c>
      <c r="B466" s="26" t="str">
        <f>_xlfn.CONCAT(LEFT(A466,3),RIGHT(Sales_Data!B466,3),LEFT(Sales_Data!I466,2))</f>
        <v>Moh009Be</v>
      </c>
      <c r="C466" s="26" t="str">
        <f>IF(COUNTIF(Sales_Data!T466, "*@*"), LOWER(TRIM(Sales_Data!T466)), "Invalid Email")</f>
        <v>mohit.verma@company.com</v>
      </c>
    </row>
    <row r="467" spans="1:3" x14ac:dyDescent="0.3">
      <c r="A467" s="26" t="str">
        <f>TRIM(PROPER(Sales_Data!F467))</f>
        <v>Arjun Rao</v>
      </c>
      <c r="B467" s="26" t="str">
        <f>_xlfn.CONCAT(LEFT(A467,3),RIGHT(Sales_Data!B467,3),LEFT(Sales_Data!I467,2))</f>
        <v>Arj007Ja</v>
      </c>
      <c r="C467" s="26" t="str">
        <f>IF(COUNTIF(Sales_Data!T467, "*@*"), LOWER(TRIM(Sales_Data!T467)), "Invalid Email")</f>
        <v>arjun.rao@company.com</v>
      </c>
    </row>
    <row r="468" spans="1:3" x14ac:dyDescent="0.3">
      <c r="A468" s="26" t="str">
        <f>TRIM(PROPER(Sales_Data!F468))</f>
        <v>Pooja Shah</v>
      </c>
      <c r="B468" s="26" t="str">
        <f>_xlfn.CONCAT(LEFT(A468,3),RIGHT(Sales_Data!B468,3),LEFT(Sales_Data!I468,2))</f>
        <v>Poo010Pu</v>
      </c>
      <c r="C468" s="26" t="str">
        <f>IF(COUNTIF(Sales_Data!T468, "*@*"), LOWER(TRIM(Sales_Data!T468)), "Invalid Email")</f>
        <v>pooja.shah@company.com</v>
      </c>
    </row>
    <row r="469" spans="1:3" x14ac:dyDescent="0.3">
      <c r="A469" s="26" t="str">
        <f>TRIM(PROPER(Sales_Data!F469))</f>
        <v>Kavya Nair</v>
      </c>
      <c r="B469" s="26" t="str">
        <f>_xlfn.CONCAT(LEFT(A469,3),RIGHT(Sales_Data!B469,3),LEFT(Sales_Data!I469,2))</f>
        <v>Kav008Ah</v>
      </c>
      <c r="C469" s="26" t="str">
        <f>IF(COUNTIF(Sales_Data!T469, "*@*"), LOWER(TRIM(Sales_Data!T469)), "Invalid Email")</f>
        <v>kavya.nair@company.com</v>
      </c>
    </row>
    <row r="470" spans="1:3" x14ac:dyDescent="0.3">
      <c r="A470" s="26" t="str">
        <f>TRIM(PROPER(Sales_Data!F470))</f>
        <v>Priya Patel</v>
      </c>
      <c r="B470" s="26" t="str">
        <f>_xlfn.CONCAT(LEFT(A470,3),RIGHT(Sales_Data!B470,3),LEFT(Sales_Data!I470,2))</f>
        <v>Pri002Mu</v>
      </c>
      <c r="C470" s="26" t="str">
        <f>IF(COUNTIF(Sales_Data!T470, "*@*"), LOWER(TRIM(Sales_Data!T470)), "Invalid Email")</f>
        <v>priya.patel@company.com</v>
      </c>
    </row>
    <row r="471" spans="1:3" x14ac:dyDescent="0.3">
      <c r="A471" s="26" t="str">
        <f>TRIM(PROPER(Sales_Data!F471))</f>
        <v>Amit Sharma</v>
      </c>
      <c r="B471" s="26" t="str">
        <f>_xlfn.CONCAT(LEFT(A471,3),RIGHT(Sales_Data!B471,3),LEFT(Sales_Data!I471,2))</f>
        <v>Ami001Pu</v>
      </c>
      <c r="C471" s="26" t="str">
        <f>IF(COUNTIF(Sales_Data!T471, "*@*"), LOWER(TRIM(Sales_Data!T471)), "Invalid Email")</f>
        <v>amit.sharma@company.com</v>
      </c>
    </row>
    <row r="472" spans="1:3" x14ac:dyDescent="0.3">
      <c r="A472" s="26" t="str">
        <f>TRIM(PROPER(Sales_Data!F472))</f>
        <v>Kavya Nair</v>
      </c>
      <c r="B472" s="26" t="str">
        <f>_xlfn.CONCAT(LEFT(A472,3),RIGHT(Sales_Data!B472,3),LEFT(Sales_Data!I472,2))</f>
        <v>Kav008Be</v>
      </c>
      <c r="C472" s="26" t="str">
        <f>IF(COUNTIF(Sales_Data!T472, "*@*"), LOWER(TRIM(Sales_Data!T472)), "Invalid Email")</f>
        <v>kavya.nair@company.com</v>
      </c>
    </row>
    <row r="473" spans="1:3" x14ac:dyDescent="0.3">
      <c r="A473" s="26" t="str">
        <f>TRIM(PROPER(Sales_Data!F473))</f>
        <v>Pooja Shah</v>
      </c>
      <c r="B473" s="26" t="str">
        <f>_xlfn.CONCAT(LEFT(A473,3),RIGHT(Sales_Data!B473,3),LEFT(Sales_Data!I473,2))</f>
        <v>Poo010Pu</v>
      </c>
      <c r="C473" s="26" t="str">
        <f>IF(COUNTIF(Sales_Data!T473, "*@*"), LOWER(TRIM(Sales_Data!T473)), "Invalid Email")</f>
        <v>pooja.shah@company.com</v>
      </c>
    </row>
    <row r="474" spans="1:3" x14ac:dyDescent="0.3">
      <c r="A474" s="26" t="str">
        <f>TRIM(PROPER(Sales_Data!F474))</f>
        <v>Sneha Joshi</v>
      </c>
      <c r="B474" s="26" t="str">
        <f>_xlfn.CONCAT(LEFT(A474,3),RIGHT(Sales_Data!B474,3),LEFT(Sales_Data!I474,2))</f>
        <v>Sne006De</v>
      </c>
      <c r="C474" s="26" t="str">
        <f>IF(COUNTIF(Sales_Data!T474, "*@*"), LOWER(TRIM(Sales_Data!T474)), "Invalid Email")</f>
        <v>sneha.joshi@company.com</v>
      </c>
    </row>
    <row r="475" spans="1:3" x14ac:dyDescent="0.3">
      <c r="A475" s="26" t="str">
        <f>TRIM(PROPER(Sales_Data!F475))</f>
        <v>Mohit Verma</v>
      </c>
      <c r="B475" s="26" t="str">
        <f>_xlfn.CONCAT(LEFT(A475,3),RIGHT(Sales_Data!B475,3),LEFT(Sales_Data!I475,2))</f>
        <v>Moh009De</v>
      </c>
      <c r="C475" s="26" t="str">
        <f>IF(COUNTIF(Sales_Data!T475, "*@*"), LOWER(TRIM(Sales_Data!T475)), "Invalid Email")</f>
        <v>mohit.verma@company.com</v>
      </c>
    </row>
    <row r="476" spans="1:3" x14ac:dyDescent="0.3">
      <c r="A476" s="26" t="str">
        <f>TRIM(PROPER(Sales_Data!F476))</f>
        <v>Amit Sharma</v>
      </c>
      <c r="B476" s="26" t="str">
        <f>_xlfn.CONCAT(LEFT(A476,3),RIGHT(Sales_Data!B476,3),LEFT(Sales_Data!I476,2))</f>
        <v>Ami001Mu</v>
      </c>
      <c r="C476" s="26" t="str">
        <f>IF(COUNTIF(Sales_Data!T476, "*@*"), LOWER(TRIM(Sales_Data!T476)), "Invalid Email")</f>
        <v>amit.sharma@company.com</v>
      </c>
    </row>
    <row r="477" spans="1:3" x14ac:dyDescent="0.3">
      <c r="A477" s="26" t="str">
        <f>TRIM(PROPER(Sales_Data!F477))</f>
        <v>Rohit Singh</v>
      </c>
      <c r="B477" s="26" t="str">
        <f>_xlfn.CONCAT(LEFT(A477,3),RIGHT(Sales_Data!B477,3),LEFT(Sales_Data!I477,2))</f>
        <v>Roh003Ko</v>
      </c>
      <c r="C477" s="26" t="str">
        <f>IF(COUNTIF(Sales_Data!T477, "*@*"), LOWER(TRIM(Sales_Data!T477)), "Invalid Email")</f>
        <v>rohit.singh@company.com</v>
      </c>
    </row>
    <row r="478" spans="1:3" x14ac:dyDescent="0.3">
      <c r="A478" s="26" t="str">
        <f>TRIM(PROPER(Sales_Data!F478))</f>
        <v>Pooja Shah</v>
      </c>
      <c r="B478" s="26" t="str">
        <f>_xlfn.CONCAT(LEFT(A478,3),RIGHT(Sales_Data!B478,3),LEFT(Sales_Data!I478,2))</f>
        <v>Poo010Mu</v>
      </c>
      <c r="C478" s="26" t="str">
        <f>IF(COUNTIF(Sales_Data!T478, "*@*"), LOWER(TRIM(Sales_Data!T478)), "Invalid Email")</f>
        <v>pooja.shah@company.com</v>
      </c>
    </row>
    <row r="479" spans="1:3" x14ac:dyDescent="0.3">
      <c r="A479" s="26" t="str">
        <f>TRIM(PROPER(Sales_Data!F479))</f>
        <v>Kavya Nair</v>
      </c>
      <c r="B479" s="26" t="str">
        <f>_xlfn.CONCAT(LEFT(A479,3),RIGHT(Sales_Data!B479,3),LEFT(Sales_Data!I479,2))</f>
        <v>Kav008Be</v>
      </c>
      <c r="C479" s="26" t="str">
        <f>IF(COUNTIF(Sales_Data!T479, "*@*"), LOWER(TRIM(Sales_Data!T479)), "Invalid Email")</f>
        <v>kavya.nair@company.com</v>
      </c>
    </row>
    <row r="480" spans="1:3" x14ac:dyDescent="0.3">
      <c r="A480" s="26" t="str">
        <f>TRIM(PROPER(Sales_Data!F480))</f>
        <v>Anita Gupta</v>
      </c>
      <c r="B480" s="26" t="str">
        <f>_xlfn.CONCAT(LEFT(A480,3),RIGHT(Sales_Data!B480,3),LEFT(Sales_Data!I480,2))</f>
        <v>Ani004Ko</v>
      </c>
      <c r="C480" s="26" t="str">
        <f>IF(COUNTIF(Sales_Data!T480, "*@*"), LOWER(TRIM(Sales_Data!T480)), "Invalid Email")</f>
        <v>anita.gupta@company.com</v>
      </c>
    </row>
    <row r="481" spans="1:3" x14ac:dyDescent="0.3">
      <c r="A481" s="26" t="str">
        <f>TRIM(PROPER(Sales_Data!F481))</f>
        <v>Rohit Singh</v>
      </c>
      <c r="B481" s="26" t="str">
        <f>_xlfn.CONCAT(LEFT(A481,3),RIGHT(Sales_Data!B481,3),LEFT(Sales_Data!I481,2))</f>
        <v>Roh003Ah</v>
      </c>
      <c r="C481" s="26" t="str">
        <f>IF(COUNTIF(Sales_Data!T481, "*@*"), LOWER(TRIM(Sales_Data!T481)), "Invalid Email")</f>
        <v>rohit.singh@company.com</v>
      </c>
    </row>
    <row r="482" spans="1:3" x14ac:dyDescent="0.3">
      <c r="A482" s="26" t="str">
        <f>TRIM(PROPER(Sales_Data!F482))</f>
        <v>Kavya Nair</v>
      </c>
      <c r="B482" s="26" t="str">
        <f>_xlfn.CONCAT(LEFT(A482,3),RIGHT(Sales_Data!B482,3),LEFT(Sales_Data!I482,2))</f>
        <v>Kav008Be</v>
      </c>
      <c r="C482" s="26" t="str">
        <f>IF(COUNTIF(Sales_Data!T482, "*@*"), LOWER(TRIM(Sales_Data!T482)), "Invalid Email")</f>
        <v>kavya.nair@company.com</v>
      </c>
    </row>
    <row r="483" spans="1:3" x14ac:dyDescent="0.3">
      <c r="A483" s="26" t="str">
        <f>TRIM(PROPER(Sales_Data!F483))</f>
        <v>Rohit Singh</v>
      </c>
      <c r="B483" s="26" t="str">
        <f>_xlfn.CONCAT(LEFT(A483,3),RIGHT(Sales_Data!B483,3),LEFT(Sales_Data!I483,2))</f>
        <v>Roh003Ko</v>
      </c>
      <c r="C483" s="26" t="str">
        <f>IF(COUNTIF(Sales_Data!T483, "*@*"), LOWER(TRIM(Sales_Data!T483)), "Invalid Email")</f>
        <v>rohit.singh@company.com</v>
      </c>
    </row>
    <row r="484" spans="1:3" x14ac:dyDescent="0.3">
      <c r="A484" s="26" t="str">
        <f>TRIM(PROPER(Sales_Data!F484))</f>
        <v>Mohit Verma</v>
      </c>
      <c r="B484" s="26" t="str">
        <f>_xlfn.CONCAT(LEFT(A484,3),RIGHT(Sales_Data!B484,3),LEFT(Sales_Data!I484,2))</f>
        <v>Moh009Ko</v>
      </c>
      <c r="C484" s="26" t="str">
        <f>IF(COUNTIF(Sales_Data!T484, "*@*"), LOWER(TRIM(Sales_Data!T484)), "Invalid Email")</f>
        <v>mohit.verma@company.com</v>
      </c>
    </row>
    <row r="485" spans="1:3" x14ac:dyDescent="0.3">
      <c r="A485" s="26" t="str">
        <f>TRIM(PROPER(Sales_Data!F485))</f>
        <v>Kavya Nair</v>
      </c>
      <c r="B485" s="26" t="str">
        <f>_xlfn.CONCAT(LEFT(A485,3),RIGHT(Sales_Data!B485,3),LEFT(Sales_Data!I485,2))</f>
        <v>Kav008Hy</v>
      </c>
      <c r="C485" s="26" t="str">
        <f>IF(COUNTIF(Sales_Data!T485, "*@*"), LOWER(TRIM(Sales_Data!T485)), "Invalid Email")</f>
        <v>kavya.nair@company.com</v>
      </c>
    </row>
    <row r="486" spans="1:3" x14ac:dyDescent="0.3">
      <c r="A486" s="26" t="str">
        <f>TRIM(PROPER(Sales_Data!F486))</f>
        <v>Amit Sharma</v>
      </c>
      <c r="B486" s="26" t="str">
        <f>_xlfn.CONCAT(LEFT(A486,3),RIGHT(Sales_Data!B486,3),LEFT(Sales_Data!I486,2))</f>
        <v>Ami001Ah</v>
      </c>
      <c r="C486" s="26" t="str">
        <f>IF(COUNTIF(Sales_Data!T486, "*@*"), LOWER(TRIM(Sales_Data!T486)), "Invalid Email")</f>
        <v>amit.sharma@company.com</v>
      </c>
    </row>
    <row r="487" spans="1:3" x14ac:dyDescent="0.3">
      <c r="A487" s="26" t="str">
        <f>TRIM(PROPER(Sales_Data!F487))</f>
        <v>Priya Patel</v>
      </c>
      <c r="B487" s="26" t="str">
        <f>_xlfn.CONCAT(LEFT(A487,3),RIGHT(Sales_Data!B487,3),LEFT(Sales_Data!I487,2))</f>
        <v>Pri002Ja</v>
      </c>
      <c r="C487" s="26" t="str">
        <f>IF(COUNTIF(Sales_Data!T487, "*@*"), LOWER(TRIM(Sales_Data!T487)), "Invalid Email")</f>
        <v>priya.patel@company.com</v>
      </c>
    </row>
    <row r="488" spans="1:3" x14ac:dyDescent="0.3">
      <c r="A488" s="26" t="str">
        <f>TRIM(PROPER(Sales_Data!F488))</f>
        <v>Sneha Joshi</v>
      </c>
      <c r="B488" s="26" t="str">
        <f>_xlfn.CONCAT(LEFT(A488,3),RIGHT(Sales_Data!B488,3),LEFT(Sales_Data!I488,2))</f>
        <v>Sne006Ko</v>
      </c>
      <c r="C488" s="26" t="str">
        <f>IF(COUNTIF(Sales_Data!T488, "*@*"), LOWER(TRIM(Sales_Data!T488)), "Invalid Email")</f>
        <v>sneha.joshi@company.com</v>
      </c>
    </row>
    <row r="489" spans="1:3" x14ac:dyDescent="0.3">
      <c r="A489" s="26" t="str">
        <f>TRIM(PROPER(Sales_Data!F489))</f>
        <v>Pooja Shah</v>
      </c>
      <c r="B489" s="26" t="str">
        <f>_xlfn.CONCAT(LEFT(A489,3),RIGHT(Sales_Data!B489,3),LEFT(Sales_Data!I489,2))</f>
        <v>Poo010Ko</v>
      </c>
      <c r="C489" s="26" t="str">
        <f>IF(COUNTIF(Sales_Data!T489, "*@*"), LOWER(TRIM(Sales_Data!T489)), "Invalid Email")</f>
        <v>pooja.shah@company.com</v>
      </c>
    </row>
    <row r="490" spans="1:3" x14ac:dyDescent="0.3">
      <c r="A490" s="26" t="str">
        <f>TRIM(PROPER(Sales_Data!F490))</f>
        <v>Anita Gupta</v>
      </c>
      <c r="B490" s="26" t="str">
        <f>_xlfn.CONCAT(LEFT(A490,3),RIGHT(Sales_Data!B490,3),LEFT(Sales_Data!I490,2))</f>
        <v>Ani004Pu</v>
      </c>
      <c r="C490" s="26" t="str">
        <f>IF(COUNTIF(Sales_Data!T490, "*@*"), LOWER(TRIM(Sales_Data!T490)), "Invalid Email")</f>
        <v>anita.gupta@company.com</v>
      </c>
    </row>
    <row r="491" spans="1:3" x14ac:dyDescent="0.3">
      <c r="A491" s="26" t="str">
        <f>TRIM(PROPER(Sales_Data!F491))</f>
        <v>Amit Sharma</v>
      </c>
      <c r="B491" s="26" t="str">
        <f>_xlfn.CONCAT(LEFT(A491,3),RIGHT(Sales_Data!B491,3),LEFT(Sales_Data!I491,2))</f>
        <v>Ami001Hy</v>
      </c>
      <c r="C491" s="26" t="str">
        <f>IF(COUNTIF(Sales_Data!T491, "*@*"), LOWER(TRIM(Sales_Data!T491)), "Invalid Email")</f>
        <v>amit.sharma@company.com</v>
      </c>
    </row>
    <row r="492" spans="1:3" x14ac:dyDescent="0.3">
      <c r="A492" s="26" t="str">
        <f>TRIM(PROPER(Sales_Data!F492))</f>
        <v>Priya Patel</v>
      </c>
      <c r="B492" s="26" t="str">
        <f>_xlfn.CONCAT(LEFT(A492,3),RIGHT(Sales_Data!B492,3),LEFT(Sales_Data!I492,2))</f>
        <v>Pri002Pu</v>
      </c>
      <c r="C492" s="26" t="str">
        <f>IF(COUNTIF(Sales_Data!T492, "*@*"), LOWER(TRIM(Sales_Data!T492)), "Invalid Email")</f>
        <v>priya.patel@company.com</v>
      </c>
    </row>
    <row r="493" spans="1:3" x14ac:dyDescent="0.3">
      <c r="A493" s="26" t="str">
        <f>TRIM(PROPER(Sales_Data!F493))</f>
        <v>Arjun Rao</v>
      </c>
      <c r="B493" s="26" t="str">
        <f>_xlfn.CONCAT(LEFT(A493,3),RIGHT(Sales_Data!B493,3),LEFT(Sales_Data!I493,2))</f>
        <v>Arj007De</v>
      </c>
      <c r="C493" s="26" t="str">
        <f>IF(COUNTIF(Sales_Data!T493, "*@*"), LOWER(TRIM(Sales_Data!T493)), "Invalid Email")</f>
        <v>arjun.rao@company.com</v>
      </c>
    </row>
    <row r="494" spans="1:3" x14ac:dyDescent="0.3">
      <c r="A494" s="26" t="str">
        <f>TRIM(PROPER(Sales_Data!F494))</f>
        <v>Rohit Singh</v>
      </c>
      <c r="B494" s="26" t="str">
        <f>_xlfn.CONCAT(LEFT(A494,3),RIGHT(Sales_Data!B494,3),LEFT(Sales_Data!I494,2))</f>
        <v>Roh003Hy</v>
      </c>
      <c r="C494" s="26" t="str">
        <f>IF(COUNTIF(Sales_Data!T494, "*@*"), LOWER(TRIM(Sales_Data!T494)), "Invalid Email")</f>
        <v>rohit.singh@company.com</v>
      </c>
    </row>
    <row r="495" spans="1:3" x14ac:dyDescent="0.3">
      <c r="A495" s="26" t="str">
        <f>TRIM(PROPER(Sales_Data!F495))</f>
        <v>Arjun Rao</v>
      </c>
      <c r="B495" s="26" t="str">
        <f>_xlfn.CONCAT(LEFT(A495,3),RIGHT(Sales_Data!B495,3),LEFT(Sales_Data!I495,2))</f>
        <v>Arj007Ah</v>
      </c>
      <c r="C495" s="26" t="str">
        <f>IF(COUNTIF(Sales_Data!T495, "*@*"), LOWER(TRIM(Sales_Data!T495)), "Invalid Email")</f>
        <v>arjun.rao@company.com</v>
      </c>
    </row>
    <row r="496" spans="1:3" x14ac:dyDescent="0.3">
      <c r="A496" s="26" t="str">
        <f>TRIM(PROPER(Sales_Data!F496))</f>
        <v>Mohit Verma</v>
      </c>
      <c r="B496" s="26" t="str">
        <f>_xlfn.CONCAT(LEFT(A496,3),RIGHT(Sales_Data!B496,3),LEFT(Sales_Data!I496,2))</f>
        <v>Moh009Pu</v>
      </c>
      <c r="C496" s="26" t="str">
        <f>IF(COUNTIF(Sales_Data!T496, "*@*"), LOWER(TRIM(Sales_Data!T496)), "Invalid Email")</f>
        <v>mohit.verma@company.com</v>
      </c>
    </row>
    <row r="497" spans="1:3" x14ac:dyDescent="0.3">
      <c r="A497" s="26" t="str">
        <f>TRIM(PROPER(Sales_Data!F497))</f>
        <v>Anita Gupta</v>
      </c>
      <c r="B497" s="26" t="str">
        <f>_xlfn.CONCAT(LEFT(A497,3),RIGHT(Sales_Data!B497,3),LEFT(Sales_Data!I497,2))</f>
        <v>Ani004Ja</v>
      </c>
      <c r="C497" s="26" t="str">
        <f>IF(COUNTIF(Sales_Data!T497, "*@*"), LOWER(TRIM(Sales_Data!T497)), "Invalid Email")</f>
        <v>anita.gupta@company.com</v>
      </c>
    </row>
    <row r="498" spans="1:3" x14ac:dyDescent="0.3">
      <c r="A498" s="26" t="str">
        <f>TRIM(PROPER(Sales_Data!F498))</f>
        <v>Arjun Rao</v>
      </c>
      <c r="B498" s="26" t="str">
        <f>_xlfn.CONCAT(LEFT(A498,3),RIGHT(Sales_Data!B498,3),LEFT(Sales_Data!I498,2))</f>
        <v>Arj007Ja</v>
      </c>
      <c r="C498" s="26" t="str">
        <f>IF(COUNTIF(Sales_Data!T498, "*@*"), LOWER(TRIM(Sales_Data!T498)), "Invalid Email")</f>
        <v>arjun.rao@company.com</v>
      </c>
    </row>
    <row r="499" spans="1:3" x14ac:dyDescent="0.3">
      <c r="A499" s="26" t="str">
        <f>TRIM(PROPER(Sales_Data!F499))</f>
        <v>Vikas Mehta</v>
      </c>
      <c r="B499" s="26" t="str">
        <f>_xlfn.CONCAT(LEFT(A499,3),RIGHT(Sales_Data!B499,3),LEFT(Sales_Data!I499,2))</f>
        <v>Vik005De</v>
      </c>
      <c r="C499" s="26" t="str">
        <f>IF(COUNTIF(Sales_Data!T499, "*@*"), LOWER(TRIM(Sales_Data!T499)), "Invalid Email")</f>
        <v>Invalid Email</v>
      </c>
    </row>
    <row r="500" spans="1:3" x14ac:dyDescent="0.3">
      <c r="A500" s="26" t="str">
        <f>TRIM(PROPER(Sales_Data!F500))</f>
        <v>Priya Patel</v>
      </c>
      <c r="B500" s="26" t="str">
        <f>_xlfn.CONCAT(LEFT(A500,3),RIGHT(Sales_Data!B500,3),LEFT(Sales_Data!I500,2))</f>
        <v>Pri002Mu</v>
      </c>
      <c r="C500" s="26" t="str">
        <f>IF(COUNTIF(Sales_Data!T500, "*@*"), LOWER(TRIM(Sales_Data!T500)), "Invalid Email")</f>
        <v>priya.patel@company.com</v>
      </c>
    </row>
    <row r="501" spans="1:3" x14ac:dyDescent="0.3">
      <c r="A501" s="26" t="str">
        <f>TRIM(PROPER(Sales_Data!F501))</f>
        <v>Priya Patel</v>
      </c>
      <c r="B501" s="26" t="str">
        <f>_xlfn.CONCAT(LEFT(A501,3),RIGHT(Sales_Data!B501,3),LEFT(Sales_Data!I501,2))</f>
        <v>Pri002Be</v>
      </c>
      <c r="C501" s="26" t="str">
        <f>IF(COUNTIF(Sales_Data!T501, "*@*"), LOWER(TRIM(Sales_Data!T501)), "Invalid Email")</f>
        <v>priya.patel@company.com</v>
      </c>
    </row>
    <row r="502" spans="1:3" x14ac:dyDescent="0.3">
      <c r="A502" s="26" t="str">
        <f>TRIM(PROPER(Sales_Data!F502))</f>
        <v/>
      </c>
      <c r="B502" s="26" t="str">
        <f>_xlfn.CONCAT(LEFT(A502,3),RIGHT(Sales_Data!B502,3),LEFT(Sales_Data!I502,2))</f>
        <v/>
      </c>
      <c r="C502" s="26" t="str">
        <f>IF(COUNTIF(Sales_Data!T502, "*@*"), LOWER(TRIM(Sales_Data!T502)), "Invalid Email")</f>
        <v>Invalid Email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7E34-E3E5-42BC-BEAC-573A502B36B2}">
  <dimension ref="A1:Y501"/>
  <sheetViews>
    <sheetView showGridLines="0" topLeftCell="H1" zoomScale="88" zoomScaleNormal="88" workbookViewId="0">
      <selection activeCell="Y5" sqref="Y5"/>
    </sheetView>
  </sheetViews>
  <sheetFormatPr defaultRowHeight="14.4" x14ac:dyDescent="0.3"/>
  <cols>
    <col min="1" max="1" width="10.33203125" bestFit="1" customWidth="1"/>
    <col min="2" max="2" width="12.109375" bestFit="1" customWidth="1"/>
    <col min="3" max="3" width="10.44140625" bestFit="1" customWidth="1"/>
    <col min="4" max="4" width="11.33203125" bestFit="1" customWidth="1"/>
    <col min="5" max="5" width="13.109375" bestFit="1" customWidth="1"/>
    <col min="6" max="6" width="18" bestFit="1" customWidth="1"/>
    <col min="7" max="7" width="7.44140625" bestFit="1" customWidth="1"/>
    <col min="8" max="8" width="11.33203125" bestFit="1" customWidth="1"/>
    <col min="9" max="9" width="11.21875" bestFit="1" customWidth="1"/>
    <col min="10" max="10" width="6.88671875" bestFit="1" customWidth="1"/>
    <col min="11" max="11" width="16.109375" bestFit="1" customWidth="1"/>
    <col min="12" max="12" width="13.88671875" bestFit="1" customWidth="1"/>
    <col min="13" max="13" width="8.5546875" bestFit="1" customWidth="1"/>
    <col min="14" max="14" width="9.77734375" bestFit="1" customWidth="1"/>
    <col min="15" max="15" width="10.77734375" bestFit="1" customWidth="1"/>
    <col min="16" max="16" width="8.6640625" bestFit="1" customWidth="1"/>
    <col min="17" max="17" width="6.33203125" bestFit="1" customWidth="1"/>
    <col min="18" max="18" width="14.77734375" bestFit="1" customWidth="1"/>
    <col min="19" max="19" width="11.21875" bestFit="1" customWidth="1"/>
    <col min="20" max="20" width="26.44140625" bestFit="1" customWidth="1"/>
    <col min="21" max="21" width="12" bestFit="1" customWidth="1"/>
    <col min="22" max="22" width="12.44140625" bestFit="1" customWidth="1"/>
    <col min="23" max="23" width="13.21875" bestFit="1" customWidth="1"/>
    <col min="24" max="24" width="18.44140625" bestFit="1" customWidth="1"/>
    <col min="25" max="25" width="13.88671875" bestFit="1" customWidth="1"/>
  </cols>
  <sheetData>
    <row r="1" spans="1:25"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2095</v>
      </c>
      <c r="X1" s="14" t="s">
        <v>2096</v>
      </c>
      <c r="Y1" s="14" t="s">
        <v>2097</v>
      </c>
    </row>
    <row r="2" spans="1:25" x14ac:dyDescent="0.3">
      <c r="A2" s="15" t="s">
        <v>22</v>
      </c>
      <c r="B2" s="15" t="s">
        <v>23</v>
      </c>
      <c r="C2" s="15" t="s">
        <v>24</v>
      </c>
      <c r="D2" s="16">
        <v>45918</v>
      </c>
      <c r="E2" s="16">
        <v>45922</v>
      </c>
      <c r="F2" s="15" t="s">
        <v>27</v>
      </c>
      <c r="G2" s="15" t="s">
        <v>28</v>
      </c>
      <c r="H2" s="16">
        <v>27767</v>
      </c>
      <c r="I2" s="15" t="s">
        <v>30</v>
      </c>
      <c r="J2" s="15" t="s">
        <v>31</v>
      </c>
      <c r="K2" s="15" t="s">
        <v>32</v>
      </c>
      <c r="L2" s="15" t="s">
        <v>33</v>
      </c>
      <c r="M2" s="15">
        <v>4</v>
      </c>
      <c r="N2" s="15">
        <v>2200</v>
      </c>
      <c r="O2" s="15">
        <v>10</v>
      </c>
      <c r="P2" s="15">
        <v>7920</v>
      </c>
      <c r="Q2" s="15">
        <v>4</v>
      </c>
      <c r="R2" s="15" t="s">
        <v>34</v>
      </c>
      <c r="S2" s="15" t="s">
        <v>35</v>
      </c>
      <c r="T2" s="17" t="s">
        <v>36</v>
      </c>
      <c r="U2" s="18" t="s">
        <v>37</v>
      </c>
      <c r="V2" s="15" t="s">
        <v>38</v>
      </c>
      <c r="W2" s="15">
        <f ca="1">DATEDIF(H2,TODAY(),"Y")</f>
        <v>50</v>
      </c>
      <c r="X2" s="15">
        <f>DATEDIF(D2,E2,"D")</f>
        <v>4</v>
      </c>
      <c r="Y2" s="15" t="str" cm="1">
        <f t="array" ref="Y2">_xlfn.IFS(ISERROR(X2), "Pending", X2&lt;=5, "On Time", X2&gt;5, "Delayed")</f>
        <v>On Time</v>
      </c>
    </row>
    <row r="3" spans="1:25" x14ac:dyDescent="0.3">
      <c r="A3" s="19" t="s">
        <v>39</v>
      </c>
      <c r="B3" s="19" t="s">
        <v>23</v>
      </c>
      <c r="C3" s="19" t="s">
        <v>40</v>
      </c>
      <c r="D3" s="20">
        <v>45774</v>
      </c>
      <c r="E3" s="20">
        <v>45781</v>
      </c>
      <c r="F3" s="19" t="s">
        <v>27</v>
      </c>
      <c r="G3" s="19" t="s">
        <v>28</v>
      </c>
      <c r="H3" s="20">
        <v>36815</v>
      </c>
      <c r="I3" s="19" t="s">
        <v>44</v>
      </c>
      <c r="J3" s="19" t="s">
        <v>45</v>
      </c>
      <c r="K3" s="19" t="s">
        <v>46</v>
      </c>
      <c r="L3" s="19" t="s">
        <v>47</v>
      </c>
      <c r="M3" s="19">
        <v>17</v>
      </c>
      <c r="N3" s="19">
        <v>12000</v>
      </c>
      <c r="O3" s="19">
        <v>10</v>
      </c>
      <c r="P3" s="19">
        <v>183600</v>
      </c>
      <c r="Q3" s="19">
        <v>1</v>
      </c>
      <c r="R3" s="19" t="s">
        <v>48</v>
      </c>
      <c r="S3" s="19" t="s">
        <v>49</v>
      </c>
      <c r="T3" s="19" t="s">
        <v>50</v>
      </c>
      <c r="U3" s="21" t="s">
        <v>51</v>
      </c>
      <c r="V3" s="19" t="s">
        <v>38</v>
      </c>
      <c r="W3" s="19">
        <f t="shared" ref="W3:W66" ca="1" si="0">DATEDIF(H3,TODAY(),"Y")</f>
        <v>25</v>
      </c>
      <c r="X3" s="19">
        <f t="shared" ref="X3:X66" si="1">DATEDIF(D3,E3,"D")</f>
        <v>7</v>
      </c>
      <c r="Y3" s="19" t="str" cm="1">
        <f t="array" ref="Y3">_xlfn.IFS(ISERROR(X3), "Pending", X3&lt;=5, "On Time", X3&gt;5, "Delayed")</f>
        <v>Delayed</v>
      </c>
    </row>
    <row r="4" spans="1:25" x14ac:dyDescent="0.3">
      <c r="A4" s="15" t="s">
        <v>52</v>
      </c>
      <c r="B4" s="15" t="s">
        <v>53</v>
      </c>
      <c r="C4" s="15" t="s">
        <v>54</v>
      </c>
      <c r="D4" s="16">
        <v>45903</v>
      </c>
      <c r="E4" s="16">
        <v>45914</v>
      </c>
      <c r="F4" s="15" t="s">
        <v>57</v>
      </c>
      <c r="G4" s="15" t="s">
        <v>28</v>
      </c>
      <c r="H4" s="16">
        <v>34593</v>
      </c>
      <c r="I4" s="15" t="s">
        <v>59</v>
      </c>
      <c r="J4" s="15" t="s">
        <v>31</v>
      </c>
      <c r="K4" s="15" t="s">
        <v>46</v>
      </c>
      <c r="L4" s="15" t="s">
        <v>60</v>
      </c>
      <c r="M4" s="15">
        <v>5</v>
      </c>
      <c r="N4" s="15">
        <v>55000</v>
      </c>
      <c r="O4" s="15">
        <v>5</v>
      </c>
      <c r="P4" s="15">
        <v>261250</v>
      </c>
      <c r="Q4" s="15">
        <v>3</v>
      </c>
      <c r="R4" s="15" t="s">
        <v>48</v>
      </c>
      <c r="S4" s="15" t="s">
        <v>61</v>
      </c>
      <c r="T4" s="15" t="s">
        <v>62</v>
      </c>
      <c r="U4" s="18" t="s">
        <v>63</v>
      </c>
      <c r="V4" s="15" t="s">
        <v>64</v>
      </c>
      <c r="W4" s="15">
        <f t="shared" ca="1" si="0"/>
        <v>31</v>
      </c>
      <c r="X4" s="15">
        <f t="shared" si="1"/>
        <v>11</v>
      </c>
      <c r="Y4" s="15" t="str" cm="1">
        <f t="array" ref="Y4">_xlfn.IFS(ISERROR(X4), "Pending", X4&lt;=5, "On Time", X4&gt;5, "Delayed")</f>
        <v>Delayed</v>
      </c>
    </row>
    <row r="5" spans="1:25" x14ac:dyDescent="0.3">
      <c r="A5" s="19" t="s">
        <v>39</v>
      </c>
      <c r="B5" s="19" t="s">
        <v>23</v>
      </c>
      <c r="C5" s="19" t="s">
        <v>24</v>
      </c>
      <c r="D5" s="20">
        <v>46102</v>
      </c>
      <c r="E5" s="20">
        <v>46114</v>
      </c>
      <c r="F5" s="19" t="s">
        <v>27</v>
      </c>
      <c r="G5" s="19" t="s">
        <v>28</v>
      </c>
      <c r="H5" s="20">
        <v>38171</v>
      </c>
      <c r="I5" s="19" t="s">
        <v>59</v>
      </c>
      <c r="J5" s="19" t="s">
        <v>31</v>
      </c>
      <c r="K5" s="19" t="s">
        <v>32</v>
      </c>
      <c r="L5" s="19" t="s">
        <v>33</v>
      </c>
      <c r="M5" s="19">
        <v>5</v>
      </c>
      <c r="N5" s="19">
        <v>2200</v>
      </c>
      <c r="O5" s="19">
        <v>5</v>
      </c>
      <c r="P5" s="19">
        <v>10450</v>
      </c>
      <c r="Q5" s="19">
        <v>5</v>
      </c>
      <c r="R5" s="19" t="s">
        <v>48</v>
      </c>
      <c r="S5" s="19" t="s">
        <v>61</v>
      </c>
      <c r="T5" s="22" t="s">
        <v>50</v>
      </c>
      <c r="U5" s="21" t="s">
        <v>68</v>
      </c>
      <c r="V5" s="19" t="s">
        <v>69</v>
      </c>
      <c r="W5" s="19">
        <f t="shared" ca="1" si="0"/>
        <v>22</v>
      </c>
      <c r="X5" s="19">
        <f t="shared" si="1"/>
        <v>12</v>
      </c>
      <c r="Y5" s="19" t="str" cm="1">
        <f t="array" ref="Y5">_xlfn.IFS(ISERROR(X5), "Pending", X5&lt;=5, "On Time", X5&gt;5, "Delayed")</f>
        <v>Delayed</v>
      </c>
    </row>
    <row r="6" spans="1:25" x14ac:dyDescent="0.3">
      <c r="A6" s="15" t="s">
        <v>70</v>
      </c>
      <c r="B6" s="15" t="s">
        <v>71</v>
      </c>
      <c r="C6" s="15" t="s">
        <v>72</v>
      </c>
      <c r="D6" s="16">
        <v>45927</v>
      </c>
      <c r="E6" s="16">
        <v>45937</v>
      </c>
      <c r="F6" s="15" t="s">
        <v>75</v>
      </c>
      <c r="G6" s="15" t="s">
        <v>76</v>
      </c>
      <c r="H6" s="16">
        <v>27863</v>
      </c>
      <c r="I6" s="15" t="s">
        <v>44</v>
      </c>
      <c r="J6" s="15" t="s">
        <v>45</v>
      </c>
      <c r="K6" s="15" t="s">
        <v>46</v>
      </c>
      <c r="L6" s="15" t="s">
        <v>78</v>
      </c>
      <c r="M6" s="15">
        <v>8</v>
      </c>
      <c r="N6" s="15">
        <v>1200</v>
      </c>
      <c r="O6" s="15">
        <v>5</v>
      </c>
      <c r="P6" s="15">
        <v>9120</v>
      </c>
      <c r="Q6" s="15">
        <v>2</v>
      </c>
      <c r="R6" s="15" t="s">
        <v>79</v>
      </c>
      <c r="S6" s="15" t="s">
        <v>61</v>
      </c>
      <c r="T6" s="15" t="s">
        <v>80</v>
      </c>
      <c r="U6" s="18" t="s">
        <v>81</v>
      </c>
      <c r="V6" s="15" t="s">
        <v>64</v>
      </c>
      <c r="W6" s="15">
        <f t="shared" ca="1" si="0"/>
        <v>50</v>
      </c>
      <c r="X6" s="15">
        <f t="shared" si="1"/>
        <v>10</v>
      </c>
      <c r="Y6" s="15" t="str" cm="1">
        <f t="array" ref="Y6">_xlfn.IFS(ISERROR(X6), "Pending", X6&lt;=5, "On Time", X6&gt;5, "Delayed")</f>
        <v>Delayed</v>
      </c>
    </row>
    <row r="7" spans="1:25" x14ac:dyDescent="0.3">
      <c r="A7" s="19" t="s">
        <v>82</v>
      </c>
      <c r="B7" s="19" t="s">
        <v>83</v>
      </c>
      <c r="C7" s="19" t="s">
        <v>24</v>
      </c>
      <c r="D7" s="20">
        <v>46026</v>
      </c>
      <c r="E7" s="20">
        <v>46034</v>
      </c>
      <c r="F7" s="19" t="s">
        <v>86</v>
      </c>
      <c r="G7" s="19" t="s">
        <v>76</v>
      </c>
      <c r="H7" s="20">
        <v>32326</v>
      </c>
      <c r="I7" s="19" t="s">
        <v>30</v>
      </c>
      <c r="J7" s="19" t="s">
        <v>31</v>
      </c>
      <c r="K7" s="19" t="s">
        <v>32</v>
      </c>
      <c r="L7" s="19" t="s">
        <v>33</v>
      </c>
      <c r="M7" s="19">
        <v>4</v>
      </c>
      <c r="N7" s="19">
        <v>2200</v>
      </c>
      <c r="O7" s="19">
        <v>0</v>
      </c>
      <c r="P7" s="19">
        <v>8800</v>
      </c>
      <c r="Q7" s="19">
        <v>1</v>
      </c>
      <c r="R7" s="19" t="s">
        <v>88</v>
      </c>
      <c r="S7" s="19" t="s">
        <v>35</v>
      </c>
      <c r="T7" s="19" t="s">
        <v>89</v>
      </c>
      <c r="U7" s="21" t="s">
        <v>90</v>
      </c>
      <c r="V7" s="19" t="s">
        <v>38</v>
      </c>
      <c r="W7" s="19">
        <f t="shared" ca="1" si="0"/>
        <v>38</v>
      </c>
      <c r="X7" s="19">
        <f t="shared" si="1"/>
        <v>8</v>
      </c>
      <c r="Y7" s="19" t="str" cm="1">
        <f t="array" ref="Y7">_xlfn.IFS(ISERROR(X7), "Pending", X7&lt;=5, "On Time", X7&gt;5, "Delayed")</f>
        <v>Delayed</v>
      </c>
    </row>
    <row r="8" spans="1:25" x14ac:dyDescent="0.3">
      <c r="A8" s="15" t="s">
        <v>91</v>
      </c>
      <c r="B8" s="15" t="s">
        <v>23</v>
      </c>
      <c r="C8" s="15" t="s">
        <v>92</v>
      </c>
      <c r="D8" s="15" t="s">
        <v>93</v>
      </c>
      <c r="E8" s="16">
        <v>46078</v>
      </c>
      <c r="F8" s="15" t="s">
        <v>95</v>
      </c>
      <c r="G8" s="15" t="s">
        <v>28</v>
      </c>
      <c r="H8" s="16">
        <v>37700</v>
      </c>
      <c r="I8" s="15" t="s">
        <v>30</v>
      </c>
      <c r="J8" s="15" t="s">
        <v>31</v>
      </c>
      <c r="K8" s="15" t="s">
        <v>32</v>
      </c>
      <c r="L8" s="15" t="s">
        <v>97</v>
      </c>
      <c r="M8" s="15">
        <v>2</v>
      </c>
      <c r="N8" s="15">
        <v>3500</v>
      </c>
      <c r="O8" s="15">
        <v>5</v>
      </c>
      <c r="P8" s="15">
        <v>6650</v>
      </c>
      <c r="Q8" s="15">
        <v>1</v>
      </c>
      <c r="R8" s="15" t="s">
        <v>88</v>
      </c>
      <c r="S8" s="15" t="s">
        <v>35</v>
      </c>
      <c r="T8" s="15" t="s">
        <v>50</v>
      </c>
      <c r="U8" s="18" t="s">
        <v>98</v>
      </c>
      <c r="V8" s="15" t="s">
        <v>38</v>
      </c>
      <c r="W8" s="15">
        <f t="shared" ca="1" si="0"/>
        <v>23</v>
      </c>
      <c r="X8" s="15" t="e">
        <f t="shared" si="1"/>
        <v>#VALUE!</v>
      </c>
      <c r="Y8" s="15" t="str" cm="1">
        <f t="array" ref="Y8">_xlfn.IFS(ISERROR(X8), "Pending", X8&lt;=5, "On Time", X8&gt;5, "Delayed")</f>
        <v>Pending</v>
      </c>
    </row>
    <row r="9" spans="1:25" x14ac:dyDescent="0.3">
      <c r="A9" s="19" t="s">
        <v>99</v>
      </c>
      <c r="B9" s="19" t="s">
        <v>100</v>
      </c>
      <c r="C9" s="19" t="s">
        <v>40</v>
      </c>
      <c r="D9" s="20">
        <v>45760</v>
      </c>
      <c r="E9" s="20">
        <v>45766</v>
      </c>
      <c r="F9" s="19" t="s">
        <v>103</v>
      </c>
      <c r="G9" s="19" t="s">
        <v>28</v>
      </c>
      <c r="H9" s="20">
        <v>34883</v>
      </c>
      <c r="I9" s="19" t="s">
        <v>105</v>
      </c>
      <c r="J9" s="19" t="s">
        <v>106</v>
      </c>
      <c r="K9" s="19" t="s">
        <v>46</v>
      </c>
      <c r="L9" s="19" t="s">
        <v>47</v>
      </c>
      <c r="M9" s="19">
        <v>14</v>
      </c>
      <c r="N9" s="19">
        <v>12000</v>
      </c>
      <c r="O9" s="19">
        <v>15</v>
      </c>
      <c r="P9" s="19">
        <v>142800</v>
      </c>
      <c r="Q9" s="19">
        <v>4</v>
      </c>
      <c r="R9" s="19" t="s">
        <v>48</v>
      </c>
      <c r="S9" s="19" t="s">
        <v>35</v>
      </c>
      <c r="T9" s="22" t="s">
        <v>107</v>
      </c>
      <c r="U9" s="21" t="s">
        <v>108</v>
      </c>
      <c r="V9" s="19" t="s">
        <v>38</v>
      </c>
      <c r="W9" s="19">
        <f t="shared" ca="1" si="0"/>
        <v>31</v>
      </c>
      <c r="X9" s="19">
        <f t="shared" si="1"/>
        <v>6</v>
      </c>
      <c r="Y9" s="19" t="str" cm="1">
        <f t="array" ref="Y9">_xlfn.IFS(ISERROR(X9), "Pending", X9&lt;=5, "On Time", X9&gt;5, "Delayed")</f>
        <v>Delayed</v>
      </c>
    </row>
    <row r="10" spans="1:25" x14ac:dyDescent="0.3">
      <c r="A10" s="15" t="s">
        <v>109</v>
      </c>
      <c r="B10" s="15" t="s">
        <v>23</v>
      </c>
      <c r="C10" s="15" t="s">
        <v>40</v>
      </c>
      <c r="D10" s="16">
        <v>46053</v>
      </c>
      <c r="E10" s="16">
        <v>46055</v>
      </c>
      <c r="F10" s="15" t="s">
        <v>112</v>
      </c>
      <c r="G10" s="15" t="s">
        <v>28</v>
      </c>
      <c r="H10" s="16">
        <v>35585</v>
      </c>
      <c r="I10" s="15" t="s">
        <v>114</v>
      </c>
      <c r="J10" s="15" t="s">
        <v>106</v>
      </c>
      <c r="K10" s="15" t="s">
        <v>46</v>
      </c>
      <c r="L10" s="15" t="s">
        <v>47</v>
      </c>
      <c r="M10" s="15">
        <v>4</v>
      </c>
      <c r="N10" s="15">
        <v>12000</v>
      </c>
      <c r="O10" s="15">
        <v>15</v>
      </c>
      <c r="P10" s="15">
        <v>40800</v>
      </c>
      <c r="Q10" s="15">
        <v>4</v>
      </c>
      <c r="R10" s="15" t="s">
        <v>88</v>
      </c>
      <c r="S10" s="15" t="s">
        <v>115</v>
      </c>
      <c r="T10" s="15" t="s">
        <v>50</v>
      </c>
      <c r="U10" s="18" t="s">
        <v>116</v>
      </c>
      <c r="V10" s="15" t="s">
        <v>38</v>
      </c>
      <c r="W10" s="15">
        <f t="shared" ca="1" si="0"/>
        <v>29</v>
      </c>
      <c r="X10" s="15">
        <f t="shared" si="1"/>
        <v>2</v>
      </c>
      <c r="Y10" s="15" t="str" cm="1">
        <f t="array" ref="Y10">_xlfn.IFS(ISERROR(X10), "Pending", X10&lt;=5, "On Time", X10&gt;5, "Delayed")</f>
        <v>On Time</v>
      </c>
    </row>
    <row r="11" spans="1:25" x14ac:dyDescent="0.3">
      <c r="A11" s="19" t="s">
        <v>117</v>
      </c>
      <c r="B11" s="19" t="s">
        <v>100</v>
      </c>
      <c r="C11" s="19" t="s">
        <v>118</v>
      </c>
      <c r="D11" s="20">
        <v>45741</v>
      </c>
      <c r="E11" s="20">
        <v>45743</v>
      </c>
      <c r="F11" s="19" t="s">
        <v>103</v>
      </c>
      <c r="G11" s="19" t="s">
        <v>28</v>
      </c>
      <c r="H11" s="20">
        <v>33055</v>
      </c>
      <c r="I11" s="19" t="s">
        <v>105</v>
      </c>
      <c r="J11" s="19" t="s">
        <v>106</v>
      </c>
      <c r="K11" s="19" t="s">
        <v>122</v>
      </c>
      <c r="L11" s="19" t="s">
        <v>123</v>
      </c>
      <c r="M11" s="19">
        <v>6</v>
      </c>
      <c r="N11" s="19">
        <v>60</v>
      </c>
      <c r="O11" s="19">
        <v>0</v>
      </c>
      <c r="P11" s="19">
        <v>360</v>
      </c>
      <c r="Q11" s="19">
        <v>4</v>
      </c>
      <c r="R11" s="19" t="s">
        <v>79</v>
      </c>
      <c r="S11" s="19" t="s">
        <v>115</v>
      </c>
      <c r="T11" s="22" t="s">
        <v>124</v>
      </c>
      <c r="U11" s="21" t="s">
        <v>125</v>
      </c>
      <c r="V11" s="19" t="s">
        <v>38</v>
      </c>
      <c r="W11" s="19">
        <f t="shared" ca="1" si="0"/>
        <v>36</v>
      </c>
      <c r="X11" s="19">
        <f t="shared" si="1"/>
        <v>2</v>
      </c>
      <c r="Y11" s="19" t="str" cm="1">
        <f t="array" ref="Y11">_xlfn.IFS(ISERROR(X11), "Pending", X11&lt;=5, "On Time", X11&gt;5, "Delayed")</f>
        <v>On Time</v>
      </c>
    </row>
    <row r="12" spans="1:25" x14ac:dyDescent="0.3">
      <c r="A12" s="15" t="s">
        <v>126</v>
      </c>
      <c r="B12" s="15" t="s">
        <v>127</v>
      </c>
      <c r="C12" s="15" t="s">
        <v>24</v>
      </c>
      <c r="D12" s="16">
        <v>45919</v>
      </c>
      <c r="E12" s="16">
        <v>45923</v>
      </c>
      <c r="F12" s="15" t="s">
        <v>130</v>
      </c>
      <c r="G12" s="15" t="s">
        <v>76</v>
      </c>
      <c r="H12" s="16">
        <v>30229</v>
      </c>
      <c r="I12" s="15" t="s">
        <v>44</v>
      </c>
      <c r="J12" s="15" t="s">
        <v>45</v>
      </c>
      <c r="K12" s="15" t="s">
        <v>32</v>
      </c>
      <c r="L12" s="15" t="s">
        <v>33</v>
      </c>
      <c r="M12" s="15">
        <v>-3</v>
      </c>
      <c r="N12" s="15">
        <v>2200</v>
      </c>
      <c r="O12" s="15">
        <v>0</v>
      </c>
      <c r="P12" s="15">
        <v>35200</v>
      </c>
      <c r="Q12" s="15">
        <v>2</v>
      </c>
      <c r="R12" s="15" t="s">
        <v>79</v>
      </c>
      <c r="S12" s="15" t="s">
        <v>49</v>
      </c>
      <c r="T12" s="15" t="s">
        <v>132</v>
      </c>
      <c r="U12" s="18" t="s">
        <v>133</v>
      </c>
      <c r="V12" s="15" t="s">
        <v>64</v>
      </c>
      <c r="W12" s="15">
        <f t="shared" ca="1" si="0"/>
        <v>43</v>
      </c>
      <c r="X12" s="15">
        <f t="shared" si="1"/>
        <v>4</v>
      </c>
      <c r="Y12" s="15" t="str" cm="1">
        <f t="array" ref="Y12">_xlfn.IFS(ISERROR(X12), "Pending", X12&lt;=5, "On Time", X12&gt;5, "Delayed")</f>
        <v>On Time</v>
      </c>
    </row>
    <row r="13" spans="1:25" x14ac:dyDescent="0.3">
      <c r="A13" s="19" t="s">
        <v>134</v>
      </c>
      <c r="B13" s="19" t="s">
        <v>23</v>
      </c>
      <c r="C13" s="19" t="s">
        <v>92</v>
      </c>
      <c r="D13" s="20">
        <v>45724</v>
      </c>
      <c r="E13" s="20">
        <v>45731</v>
      </c>
      <c r="F13" s="19" t="s">
        <v>27</v>
      </c>
      <c r="G13" s="19" t="s">
        <v>28</v>
      </c>
      <c r="H13" s="20">
        <v>29974</v>
      </c>
      <c r="I13" s="19" t="s">
        <v>138</v>
      </c>
      <c r="J13" s="19" t="s">
        <v>106</v>
      </c>
      <c r="K13" s="19" t="s">
        <v>32</v>
      </c>
      <c r="L13" s="19" t="s">
        <v>97</v>
      </c>
      <c r="M13" s="19">
        <v>10</v>
      </c>
      <c r="N13" s="19">
        <v>3500</v>
      </c>
      <c r="O13" s="19">
        <v>5</v>
      </c>
      <c r="P13" s="19">
        <v>33250</v>
      </c>
      <c r="Q13" s="19">
        <v>5</v>
      </c>
      <c r="R13" s="19" t="s">
        <v>79</v>
      </c>
      <c r="S13" s="19" t="s">
        <v>61</v>
      </c>
      <c r="T13" s="19" t="s">
        <v>50</v>
      </c>
      <c r="U13" s="21" t="s">
        <v>139</v>
      </c>
      <c r="V13" s="19" t="s">
        <v>69</v>
      </c>
      <c r="W13" s="19">
        <f t="shared" ca="1" si="0"/>
        <v>44</v>
      </c>
      <c r="X13" s="19">
        <f t="shared" si="1"/>
        <v>7</v>
      </c>
      <c r="Y13" s="19" t="str" cm="1">
        <f t="array" ref="Y13">_xlfn.IFS(ISERROR(X13), "Pending", X13&lt;=5, "On Time", X13&gt;5, "Delayed")</f>
        <v>Delayed</v>
      </c>
    </row>
    <row r="14" spans="1:25" x14ac:dyDescent="0.3">
      <c r="A14" s="15" t="s">
        <v>140</v>
      </c>
      <c r="B14" s="15" t="s">
        <v>100</v>
      </c>
      <c r="C14" s="15" t="s">
        <v>24</v>
      </c>
      <c r="D14" s="16">
        <v>45667</v>
      </c>
      <c r="E14" s="16">
        <v>45672</v>
      </c>
      <c r="F14" s="15" t="s">
        <v>103</v>
      </c>
      <c r="G14" s="15" t="s">
        <v>28</v>
      </c>
      <c r="H14" s="16">
        <v>33762</v>
      </c>
      <c r="I14" s="15" t="s">
        <v>114</v>
      </c>
      <c r="J14" s="15" t="s">
        <v>106</v>
      </c>
      <c r="K14" s="15" t="s">
        <v>32</v>
      </c>
      <c r="L14" s="15" t="s">
        <v>33</v>
      </c>
      <c r="M14" s="15">
        <v>15</v>
      </c>
      <c r="N14" s="15">
        <v>2200</v>
      </c>
      <c r="O14" s="15">
        <v>10</v>
      </c>
      <c r="P14" s="15">
        <v>29700</v>
      </c>
      <c r="Q14" s="15">
        <v>1</v>
      </c>
      <c r="R14" s="15" t="s">
        <v>88</v>
      </c>
      <c r="S14" s="15" t="s">
        <v>115</v>
      </c>
      <c r="T14" s="15" t="s">
        <v>144</v>
      </c>
      <c r="U14" s="18" t="s">
        <v>145</v>
      </c>
      <c r="V14" s="15" t="s">
        <v>64</v>
      </c>
      <c r="W14" s="15">
        <f t="shared" ca="1" si="0"/>
        <v>34</v>
      </c>
      <c r="X14" s="15">
        <f t="shared" si="1"/>
        <v>5</v>
      </c>
      <c r="Y14" s="15" t="str" cm="1">
        <f t="array" ref="Y14">_xlfn.IFS(ISERROR(X14), "Pending", X14&lt;=5, "On Time", X14&gt;5, "Delayed")</f>
        <v>On Time</v>
      </c>
    </row>
    <row r="15" spans="1:25" x14ac:dyDescent="0.3">
      <c r="A15" s="19" t="s">
        <v>146</v>
      </c>
      <c r="B15" s="19" t="s">
        <v>127</v>
      </c>
      <c r="C15" s="19" t="s">
        <v>24</v>
      </c>
      <c r="D15" s="20">
        <v>45725</v>
      </c>
      <c r="E15" s="20">
        <v>45729</v>
      </c>
      <c r="F15" s="19" t="s">
        <v>149</v>
      </c>
      <c r="G15" s="19" t="s">
        <v>76</v>
      </c>
      <c r="H15" s="20">
        <v>37334</v>
      </c>
      <c r="I15" s="19" t="s">
        <v>105</v>
      </c>
      <c r="J15" s="19" t="s">
        <v>106</v>
      </c>
      <c r="K15" s="19" t="s">
        <v>32</v>
      </c>
      <c r="L15" s="19" t="s">
        <v>33</v>
      </c>
      <c r="M15" s="19">
        <v>17</v>
      </c>
      <c r="N15" s="19">
        <v>2200</v>
      </c>
      <c r="O15" s="19">
        <v>5</v>
      </c>
      <c r="P15" s="19">
        <v>35530</v>
      </c>
      <c r="Q15" s="19">
        <v>1</v>
      </c>
      <c r="R15" s="19" t="s">
        <v>34</v>
      </c>
      <c r="S15" s="19" t="s">
        <v>151</v>
      </c>
      <c r="T15" s="22" t="s">
        <v>152</v>
      </c>
      <c r="U15" s="21" t="s">
        <v>153</v>
      </c>
      <c r="V15" s="19" t="s">
        <v>38</v>
      </c>
      <c r="W15" s="19">
        <f t="shared" ca="1" si="0"/>
        <v>24</v>
      </c>
      <c r="X15" s="19">
        <f t="shared" si="1"/>
        <v>4</v>
      </c>
      <c r="Y15" s="19" t="str" cm="1">
        <f t="array" ref="Y15">_xlfn.IFS(ISERROR(X15), "Pending", X15&lt;=5, "On Time", X15&gt;5, "Delayed")</f>
        <v>On Time</v>
      </c>
    </row>
    <row r="16" spans="1:25" x14ac:dyDescent="0.3">
      <c r="A16" s="15" t="s">
        <v>154</v>
      </c>
      <c r="B16" s="15" t="s">
        <v>23</v>
      </c>
      <c r="C16" s="15" t="s">
        <v>92</v>
      </c>
      <c r="D16" s="16">
        <v>45864</v>
      </c>
      <c r="E16" s="16">
        <v>45876</v>
      </c>
      <c r="F16" s="15" t="s">
        <v>157</v>
      </c>
      <c r="G16" s="15" t="s">
        <v>28</v>
      </c>
      <c r="H16" s="16">
        <v>36908</v>
      </c>
      <c r="I16" s="15" t="s">
        <v>105</v>
      </c>
      <c r="J16" s="15" t="s">
        <v>106</v>
      </c>
      <c r="K16" s="15" t="s">
        <v>32</v>
      </c>
      <c r="L16" s="15" t="s">
        <v>97</v>
      </c>
      <c r="M16" s="15">
        <v>15</v>
      </c>
      <c r="N16" s="15">
        <v>3500</v>
      </c>
      <c r="O16" s="15">
        <v>15</v>
      </c>
      <c r="P16" s="15">
        <v>44625</v>
      </c>
      <c r="Q16" s="15">
        <v>2</v>
      </c>
      <c r="R16" s="15" t="s">
        <v>34</v>
      </c>
      <c r="S16" s="15" t="s">
        <v>115</v>
      </c>
      <c r="T16" s="17" t="s">
        <v>50</v>
      </c>
      <c r="U16" s="18" t="s">
        <v>159</v>
      </c>
      <c r="V16" s="15" t="s">
        <v>69</v>
      </c>
      <c r="W16" s="15">
        <f t="shared" ca="1" si="0"/>
        <v>25</v>
      </c>
      <c r="X16" s="15">
        <f t="shared" si="1"/>
        <v>12</v>
      </c>
      <c r="Y16" s="15" t="str" cm="1">
        <f t="array" ref="Y16">_xlfn.IFS(ISERROR(X16), "Pending", X16&lt;=5, "On Time", X16&gt;5, "Delayed")</f>
        <v>Delayed</v>
      </c>
    </row>
    <row r="17" spans="1:25" x14ac:dyDescent="0.3">
      <c r="A17" s="19" t="s">
        <v>160</v>
      </c>
      <c r="B17" s="19" t="s">
        <v>53</v>
      </c>
      <c r="C17" s="19" t="s">
        <v>72</v>
      </c>
      <c r="D17" s="20">
        <v>46120</v>
      </c>
      <c r="E17" s="20">
        <v>46123</v>
      </c>
      <c r="F17" s="19" t="s">
        <v>163</v>
      </c>
      <c r="G17" s="19" t="s">
        <v>28</v>
      </c>
      <c r="H17" s="20">
        <v>37564</v>
      </c>
      <c r="I17" s="19" t="s">
        <v>30</v>
      </c>
      <c r="J17" s="19" t="s">
        <v>31</v>
      </c>
      <c r="K17" s="19" t="s">
        <v>46</v>
      </c>
      <c r="L17" s="19" t="s">
        <v>78</v>
      </c>
      <c r="M17" s="19">
        <v>3</v>
      </c>
      <c r="N17" s="19">
        <v>1200</v>
      </c>
      <c r="O17" s="19">
        <v>5</v>
      </c>
      <c r="P17" s="19">
        <v>3420</v>
      </c>
      <c r="Q17" s="19">
        <v>5</v>
      </c>
      <c r="R17" s="19" t="s">
        <v>88</v>
      </c>
      <c r="S17" s="19" t="s">
        <v>35</v>
      </c>
      <c r="T17" s="19" t="s">
        <v>165</v>
      </c>
      <c r="U17" s="21" t="s">
        <v>166</v>
      </c>
      <c r="V17" s="19" t="s">
        <v>38</v>
      </c>
      <c r="W17" s="19">
        <f t="shared" ca="1" si="0"/>
        <v>23</v>
      </c>
      <c r="X17" s="19">
        <f t="shared" si="1"/>
        <v>3</v>
      </c>
      <c r="Y17" s="19" t="str" cm="1">
        <f t="array" ref="Y17">_xlfn.IFS(ISERROR(X17), "Pending", X17&lt;=5, "On Time", X17&gt;5, "Delayed")</f>
        <v>On Time</v>
      </c>
    </row>
    <row r="18" spans="1:25" x14ac:dyDescent="0.3">
      <c r="A18" s="15" t="s">
        <v>167</v>
      </c>
      <c r="B18" s="15" t="s">
        <v>168</v>
      </c>
      <c r="C18" s="15" t="s">
        <v>169</v>
      </c>
      <c r="D18" s="16">
        <v>46075</v>
      </c>
      <c r="E18" s="16">
        <v>46084</v>
      </c>
      <c r="F18" s="15" t="s">
        <v>172</v>
      </c>
      <c r="G18" s="15" t="s">
        <v>28</v>
      </c>
      <c r="H18" s="16">
        <v>37272</v>
      </c>
      <c r="I18" s="15" t="s">
        <v>114</v>
      </c>
      <c r="J18" s="15" t="s">
        <v>106</v>
      </c>
      <c r="K18" s="15" t="s">
        <v>32</v>
      </c>
      <c r="L18" s="15" t="s">
        <v>174</v>
      </c>
      <c r="M18" s="15">
        <v>13</v>
      </c>
      <c r="N18" s="15">
        <v>8500</v>
      </c>
      <c r="O18" s="15">
        <v>20</v>
      </c>
      <c r="P18" s="15">
        <v>88400</v>
      </c>
      <c r="Q18" s="15">
        <v>4</v>
      </c>
      <c r="R18" s="15" t="s">
        <v>79</v>
      </c>
      <c r="S18" s="15" t="s">
        <v>49</v>
      </c>
      <c r="T18" s="15" t="s">
        <v>175</v>
      </c>
      <c r="U18" s="18" t="s">
        <v>176</v>
      </c>
      <c r="V18" s="15" t="s">
        <v>64</v>
      </c>
      <c r="W18" s="15">
        <f t="shared" ca="1" si="0"/>
        <v>24</v>
      </c>
      <c r="X18" s="15">
        <f t="shared" si="1"/>
        <v>9</v>
      </c>
      <c r="Y18" s="15" t="str" cm="1">
        <f t="array" ref="Y18">_xlfn.IFS(ISERROR(X18), "Pending", X18&lt;=5, "On Time", X18&gt;5, "Delayed")</f>
        <v>Delayed</v>
      </c>
    </row>
    <row r="19" spans="1:25" x14ac:dyDescent="0.3">
      <c r="A19" s="19" t="s">
        <v>177</v>
      </c>
      <c r="B19" s="19" t="s">
        <v>83</v>
      </c>
      <c r="C19" s="19" t="s">
        <v>169</v>
      </c>
      <c r="D19" s="20">
        <v>46081</v>
      </c>
      <c r="E19" s="20">
        <v>46086</v>
      </c>
      <c r="F19" s="19" t="s">
        <v>180</v>
      </c>
      <c r="G19" s="19" t="s">
        <v>76</v>
      </c>
      <c r="H19" s="20">
        <v>32761</v>
      </c>
      <c r="I19" s="19" t="s">
        <v>138</v>
      </c>
      <c r="J19" s="19" t="s">
        <v>106</v>
      </c>
      <c r="K19" s="19" t="s">
        <v>32</v>
      </c>
      <c r="L19" s="19" t="s">
        <v>174</v>
      </c>
      <c r="M19" s="19">
        <v>4</v>
      </c>
      <c r="N19" s="19">
        <v>8500</v>
      </c>
      <c r="O19" s="19">
        <v>20</v>
      </c>
      <c r="P19" s="19">
        <v>27200</v>
      </c>
      <c r="Q19" s="19">
        <v>5</v>
      </c>
      <c r="R19" s="19" t="s">
        <v>79</v>
      </c>
      <c r="S19" s="19" t="s">
        <v>61</v>
      </c>
      <c r="T19" s="19" t="s">
        <v>89</v>
      </c>
      <c r="U19" s="21" t="s">
        <v>182</v>
      </c>
      <c r="V19" s="19" t="s">
        <v>64</v>
      </c>
      <c r="W19" s="19">
        <f t="shared" ca="1" si="0"/>
        <v>36</v>
      </c>
      <c r="X19" s="19">
        <f t="shared" si="1"/>
        <v>5</v>
      </c>
      <c r="Y19" s="19" t="str" cm="1">
        <f t="array" ref="Y19">_xlfn.IFS(ISERROR(X19), "Pending", X19&lt;=5, "On Time", X19&gt;5, "Delayed")</f>
        <v>On Time</v>
      </c>
    </row>
    <row r="20" spans="1:25" x14ac:dyDescent="0.3">
      <c r="A20" s="15" t="s">
        <v>183</v>
      </c>
      <c r="B20" s="15" t="s">
        <v>83</v>
      </c>
      <c r="C20" s="15" t="s">
        <v>184</v>
      </c>
      <c r="D20" s="16">
        <v>45992</v>
      </c>
      <c r="E20" s="16">
        <v>45995</v>
      </c>
      <c r="F20" s="15" t="s">
        <v>187</v>
      </c>
      <c r="G20" s="15" t="s">
        <v>76</v>
      </c>
      <c r="H20" s="16">
        <v>33539</v>
      </c>
      <c r="I20" s="15" t="s">
        <v>105</v>
      </c>
      <c r="J20" s="15" t="s">
        <v>106</v>
      </c>
      <c r="K20" s="15" t="s">
        <v>46</v>
      </c>
      <c r="L20" s="15" t="s">
        <v>189</v>
      </c>
      <c r="M20" s="15">
        <v>9</v>
      </c>
      <c r="N20" s="15">
        <v>700</v>
      </c>
      <c r="O20" s="15">
        <v>5</v>
      </c>
      <c r="P20" s="15">
        <v>5985</v>
      </c>
      <c r="Q20" s="15">
        <v>3</v>
      </c>
      <c r="R20" s="15" t="s">
        <v>88</v>
      </c>
      <c r="S20" s="15" t="s">
        <v>35</v>
      </c>
      <c r="T20" s="17" t="s">
        <v>190</v>
      </c>
      <c r="U20" s="18" t="s">
        <v>191</v>
      </c>
      <c r="V20" s="15" t="s">
        <v>64</v>
      </c>
      <c r="W20" s="15">
        <f t="shared" ca="1" si="0"/>
        <v>34</v>
      </c>
      <c r="X20" s="15">
        <f t="shared" si="1"/>
        <v>3</v>
      </c>
      <c r="Y20" s="15" t="str" cm="1">
        <f t="array" ref="Y20">_xlfn.IFS(ISERROR(X20), "Pending", X20&lt;=5, "On Time", X20&gt;5, "Delayed")</f>
        <v>On Time</v>
      </c>
    </row>
    <row r="21" spans="1:25" x14ac:dyDescent="0.3">
      <c r="A21" s="19" t="s">
        <v>192</v>
      </c>
      <c r="B21" s="19" t="s">
        <v>23</v>
      </c>
      <c r="C21" s="19" t="s">
        <v>54</v>
      </c>
      <c r="D21" s="20">
        <v>45833</v>
      </c>
      <c r="E21" s="20">
        <v>45841</v>
      </c>
      <c r="F21" s="19" t="s">
        <v>27</v>
      </c>
      <c r="G21" s="19" t="s">
        <v>28</v>
      </c>
      <c r="H21" s="20">
        <v>32876</v>
      </c>
      <c r="I21" s="19" t="s">
        <v>138</v>
      </c>
      <c r="J21" s="19" t="s">
        <v>106</v>
      </c>
      <c r="K21" s="19" t="s">
        <v>46</v>
      </c>
      <c r="L21" s="19" t="s">
        <v>60</v>
      </c>
      <c r="M21" s="19">
        <v>8</v>
      </c>
      <c r="N21" s="19">
        <v>55000</v>
      </c>
      <c r="O21" s="19">
        <v>20</v>
      </c>
      <c r="P21" s="19">
        <v>352000</v>
      </c>
      <c r="Q21" s="19">
        <v>1</v>
      </c>
      <c r="R21" s="19" t="s">
        <v>34</v>
      </c>
      <c r="S21" s="19" t="s">
        <v>151</v>
      </c>
      <c r="T21" s="19" t="s">
        <v>50</v>
      </c>
      <c r="U21" s="21" t="s">
        <v>196</v>
      </c>
      <c r="V21" s="19" t="s">
        <v>38</v>
      </c>
      <c r="W21" s="19">
        <f t="shared" ca="1" si="0"/>
        <v>36</v>
      </c>
      <c r="X21" s="19">
        <f t="shared" si="1"/>
        <v>8</v>
      </c>
      <c r="Y21" s="19" t="str" cm="1">
        <f t="array" ref="Y21">_xlfn.IFS(ISERROR(X21), "Pending", X21&lt;=5, "On Time", X21&gt;5, "Delayed")</f>
        <v>Delayed</v>
      </c>
    </row>
    <row r="22" spans="1:25" x14ac:dyDescent="0.3">
      <c r="A22" s="15" t="s">
        <v>197</v>
      </c>
      <c r="B22" s="15" t="s">
        <v>127</v>
      </c>
      <c r="C22" s="15" t="s">
        <v>184</v>
      </c>
      <c r="D22" s="16">
        <v>45773</v>
      </c>
      <c r="E22" s="16">
        <v>45782</v>
      </c>
      <c r="F22" s="15" t="s">
        <v>200</v>
      </c>
      <c r="G22" s="15" t="s">
        <v>76</v>
      </c>
      <c r="H22" s="16">
        <v>37455</v>
      </c>
      <c r="I22" s="15" t="s">
        <v>44</v>
      </c>
      <c r="J22" s="15" t="s">
        <v>45</v>
      </c>
      <c r="K22" s="15" t="s">
        <v>202</v>
      </c>
      <c r="L22" s="15" t="s">
        <v>189</v>
      </c>
      <c r="M22" s="15">
        <v>10</v>
      </c>
      <c r="N22" s="15">
        <v>700</v>
      </c>
      <c r="O22" s="15">
        <v>20</v>
      </c>
      <c r="P22" s="15">
        <v>5600</v>
      </c>
      <c r="Q22" s="15">
        <v>4</v>
      </c>
      <c r="R22" s="15" t="s">
        <v>79</v>
      </c>
      <c r="S22" s="15" t="s">
        <v>61</v>
      </c>
      <c r="T22" s="15" t="s">
        <v>132</v>
      </c>
      <c r="U22" s="18" t="s">
        <v>203</v>
      </c>
      <c r="V22" s="15" t="s">
        <v>69</v>
      </c>
      <c r="W22" s="15">
        <f t="shared" ca="1" si="0"/>
        <v>24</v>
      </c>
      <c r="X22" s="15">
        <f t="shared" si="1"/>
        <v>9</v>
      </c>
      <c r="Y22" s="15" t="str" cm="1">
        <f t="array" ref="Y22">_xlfn.IFS(ISERROR(X22), "Pending", X22&lt;=5, "On Time", X22&gt;5, "Delayed")</f>
        <v>Delayed</v>
      </c>
    </row>
    <row r="23" spans="1:25" x14ac:dyDescent="0.3">
      <c r="A23" s="19" t="s">
        <v>204</v>
      </c>
      <c r="B23" s="19" t="s">
        <v>23</v>
      </c>
      <c r="C23" s="19" t="s">
        <v>92</v>
      </c>
      <c r="D23" s="20">
        <v>45660</v>
      </c>
      <c r="E23" s="20">
        <v>45665</v>
      </c>
      <c r="F23" s="19" t="s">
        <v>112</v>
      </c>
      <c r="G23" s="19" t="s">
        <v>28</v>
      </c>
      <c r="H23" s="20">
        <v>38336</v>
      </c>
      <c r="I23" s="19" t="s">
        <v>59</v>
      </c>
      <c r="J23" s="19" t="s">
        <v>31</v>
      </c>
      <c r="K23" s="19" t="s">
        <v>32</v>
      </c>
      <c r="L23" s="19" t="s">
        <v>97</v>
      </c>
      <c r="M23" s="19">
        <v>1</v>
      </c>
      <c r="N23" s="19">
        <v>3500</v>
      </c>
      <c r="O23" s="19">
        <v>5</v>
      </c>
      <c r="P23" s="19">
        <v>3325</v>
      </c>
      <c r="Q23" s="19">
        <v>3</v>
      </c>
      <c r="R23" s="19" t="s">
        <v>88</v>
      </c>
      <c r="S23" s="19" t="s">
        <v>115</v>
      </c>
      <c r="T23" s="19" t="s">
        <v>50</v>
      </c>
      <c r="U23" s="21" t="s">
        <v>208</v>
      </c>
      <c r="V23" s="19" t="s">
        <v>69</v>
      </c>
      <c r="W23" s="19">
        <f t="shared" ca="1" si="0"/>
        <v>21</v>
      </c>
      <c r="X23" s="19">
        <f t="shared" si="1"/>
        <v>5</v>
      </c>
      <c r="Y23" s="19" t="str" cm="1">
        <f t="array" ref="Y23">_xlfn.IFS(ISERROR(X23), "Pending", X23&lt;=5, "On Time", X23&gt;5, "Delayed")</f>
        <v>On Time</v>
      </c>
    </row>
    <row r="24" spans="1:25" x14ac:dyDescent="0.3">
      <c r="A24" s="15" t="s">
        <v>209</v>
      </c>
      <c r="B24" s="15" t="s">
        <v>100</v>
      </c>
      <c r="C24" s="15" t="s">
        <v>184</v>
      </c>
      <c r="D24" s="16">
        <v>45766</v>
      </c>
      <c r="E24" s="16">
        <v>45777</v>
      </c>
      <c r="F24" s="15" t="s">
        <v>103</v>
      </c>
      <c r="G24" s="15" t="s">
        <v>28</v>
      </c>
      <c r="H24" s="16">
        <v>30779</v>
      </c>
      <c r="I24" s="15" t="s">
        <v>212</v>
      </c>
      <c r="J24" s="15" t="s">
        <v>45</v>
      </c>
      <c r="K24" s="15" t="s">
        <v>46</v>
      </c>
      <c r="L24" s="15" t="s">
        <v>189</v>
      </c>
      <c r="M24" s="15">
        <v>19</v>
      </c>
      <c r="N24" s="15">
        <v>700</v>
      </c>
      <c r="O24" s="15">
        <v>15</v>
      </c>
      <c r="P24" s="15">
        <v>11305</v>
      </c>
      <c r="Q24" s="15">
        <v>3</v>
      </c>
      <c r="R24" s="15" t="s">
        <v>48</v>
      </c>
      <c r="S24" s="15" t="s">
        <v>151</v>
      </c>
      <c r="T24" s="15" t="s">
        <v>144</v>
      </c>
      <c r="U24" s="18" t="s">
        <v>213</v>
      </c>
      <c r="V24" s="15" t="s">
        <v>64</v>
      </c>
      <c r="W24" s="15">
        <f t="shared" ca="1" si="0"/>
        <v>42</v>
      </c>
      <c r="X24" s="15">
        <f t="shared" si="1"/>
        <v>11</v>
      </c>
      <c r="Y24" s="15" t="str" cm="1">
        <f t="array" ref="Y24">_xlfn.IFS(ISERROR(X24), "Pending", X24&lt;=5, "On Time", X24&gt;5, "Delayed")</f>
        <v>Delayed</v>
      </c>
    </row>
    <row r="25" spans="1:25" x14ac:dyDescent="0.3">
      <c r="A25" s="19" t="s">
        <v>214</v>
      </c>
      <c r="B25" s="19" t="s">
        <v>71</v>
      </c>
      <c r="C25" s="19" t="s">
        <v>54</v>
      </c>
      <c r="D25" s="20">
        <v>46013</v>
      </c>
      <c r="E25" s="20">
        <v>46023</v>
      </c>
      <c r="F25" s="19" t="s">
        <v>217</v>
      </c>
      <c r="G25" s="19" t="s">
        <v>76</v>
      </c>
      <c r="H25" s="20">
        <v>28546</v>
      </c>
      <c r="I25" s="19" t="s">
        <v>59</v>
      </c>
      <c r="J25" s="19" t="s">
        <v>31</v>
      </c>
      <c r="K25" s="19" t="s">
        <v>46</v>
      </c>
      <c r="L25" s="19" t="s">
        <v>60</v>
      </c>
      <c r="M25" s="19">
        <v>12</v>
      </c>
      <c r="N25" s="19">
        <v>55000</v>
      </c>
      <c r="O25" s="19">
        <v>0</v>
      </c>
      <c r="P25" s="19">
        <v>660000</v>
      </c>
      <c r="Q25" s="19">
        <v>1</v>
      </c>
      <c r="R25" s="19" t="s">
        <v>79</v>
      </c>
      <c r="S25" s="19" t="s">
        <v>49</v>
      </c>
      <c r="T25" s="19" t="s">
        <v>80</v>
      </c>
      <c r="U25" s="21" t="s">
        <v>219</v>
      </c>
      <c r="V25" s="19" t="s">
        <v>64</v>
      </c>
      <c r="W25" s="19">
        <f t="shared" ca="1" si="0"/>
        <v>48</v>
      </c>
      <c r="X25" s="19">
        <f t="shared" si="1"/>
        <v>10</v>
      </c>
      <c r="Y25" s="19" t="str" cm="1">
        <f t="array" ref="Y25">_xlfn.IFS(ISERROR(X25), "Pending", X25&lt;=5, "On Time", X25&gt;5, "Delayed")</f>
        <v>Delayed</v>
      </c>
    </row>
    <row r="26" spans="1:25" x14ac:dyDescent="0.3">
      <c r="A26" s="15" t="s">
        <v>220</v>
      </c>
      <c r="B26" s="15" t="s">
        <v>221</v>
      </c>
      <c r="C26" s="15" t="s">
        <v>222</v>
      </c>
      <c r="D26" s="16">
        <v>46121</v>
      </c>
      <c r="E26" s="16">
        <v>46132</v>
      </c>
      <c r="F26" s="15" t="s">
        <v>225</v>
      </c>
      <c r="G26" s="15" t="s">
        <v>76</v>
      </c>
      <c r="H26" s="16">
        <v>33305</v>
      </c>
      <c r="I26" s="15" t="s">
        <v>105</v>
      </c>
      <c r="J26" s="15" t="s">
        <v>106</v>
      </c>
      <c r="K26" s="15" t="s">
        <v>122</v>
      </c>
      <c r="L26" s="15" t="s">
        <v>227</v>
      </c>
      <c r="M26" s="15">
        <v>1</v>
      </c>
      <c r="N26" s="15">
        <v>20</v>
      </c>
      <c r="O26" s="15">
        <v>5</v>
      </c>
      <c r="P26" s="15">
        <v>19</v>
      </c>
      <c r="Q26" s="15">
        <v>5</v>
      </c>
      <c r="R26" s="15" t="s">
        <v>79</v>
      </c>
      <c r="S26" s="15" t="s">
        <v>35</v>
      </c>
      <c r="T26" s="15" t="s">
        <v>228</v>
      </c>
      <c r="U26" s="18" t="s">
        <v>229</v>
      </c>
      <c r="V26" s="15" t="s">
        <v>69</v>
      </c>
      <c r="W26" s="15">
        <f t="shared" ca="1" si="0"/>
        <v>35</v>
      </c>
      <c r="X26" s="15">
        <f t="shared" si="1"/>
        <v>11</v>
      </c>
      <c r="Y26" s="15" t="str" cm="1">
        <f t="array" ref="Y26">_xlfn.IFS(ISERROR(X26), "Pending", X26&lt;=5, "On Time", X26&gt;5, "Delayed")</f>
        <v>Delayed</v>
      </c>
    </row>
    <row r="27" spans="1:25" x14ac:dyDescent="0.3">
      <c r="A27" s="19" t="s">
        <v>230</v>
      </c>
      <c r="B27" s="19" t="s">
        <v>83</v>
      </c>
      <c r="C27" s="19" t="s">
        <v>222</v>
      </c>
      <c r="D27" s="20">
        <v>45832</v>
      </c>
      <c r="E27" s="20">
        <v>45840</v>
      </c>
      <c r="F27" s="19" t="s">
        <v>180</v>
      </c>
      <c r="G27" s="19" t="s">
        <v>76</v>
      </c>
      <c r="H27" s="20">
        <v>28441</v>
      </c>
      <c r="I27" s="19" t="s">
        <v>105</v>
      </c>
      <c r="J27" s="19" t="s">
        <v>106</v>
      </c>
      <c r="K27" s="19" t="s">
        <v>122</v>
      </c>
      <c r="L27" s="19" t="s">
        <v>227</v>
      </c>
      <c r="M27" s="19">
        <v>2</v>
      </c>
      <c r="N27" s="19">
        <v>20</v>
      </c>
      <c r="O27" s="19">
        <v>15</v>
      </c>
      <c r="P27" s="19">
        <v>34</v>
      </c>
      <c r="Q27" s="19">
        <v>1</v>
      </c>
      <c r="R27" s="19" t="s">
        <v>88</v>
      </c>
      <c r="S27" s="19" t="s">
        <v>35</v>
      </c>
      <c r="T27" s="19" t="s">
        <v>89</v>
      </c>
      <c r="U27" s="21" t="s">
        <v>234</v>
      </c>
      <c r="V27" s="19" t="s">
        <v>64</v>
      </c>
      <c r="W27" s="19">
        <f t="shared" ca="1" si="0"/>
        <v>48</v>
      </c>
      <c r="X27" s="19">
        <f t="shared" si="1"/>
        <v>8</v>
      </c>
      <c r="Y27" s="19" t="str" cm="1">
        <f t="array" ref="Y27">_xlfn.IFS(ISERROR(X27), "Pending", X27&lt;=5, "On Time", X27&gt;5, "Delayed")</f>
        <v>Delayed</v>
      </c>
    </row>
    <row r="28" spans="1:25" x14ac:dyDescent="0.3">
      <c r="A28" s="15" t="s">
        <v>235</v>
      </c>
      <c r="B28" s="15" t="s">
        <v>71</v>
      </c>
      <c r="C28" s="15" t="s">
        <v>92</v>
      </c>
      <c r="D28" s="16">
        <v>45799</v>
      </c>
      <c r="E28" s="16">
        <v>45802</v>
      </c>
      <c r="F28" s="15" t="s">
        <v>217</v>
      </c>
      <c r="G28" s="15" t="s">
        <v>76</v>
      </c>
      <c r="H28" s="16">
        <v>33818</v>
      </c>
      <c r="I28" s="15" t="s">
        <v>138</v>
      </c>
      <c r="J28" s="15" t="s">
        <v>106</v>
      </c>
      <c r="K28" s="15" t="s">
        <v>32</v>
      </c>
      <c r="L28" s="15" t="s">
        <v>97</v>
      </c>
      <c r="M28" s="15">
        <v>12</v>
      </c>
      <c r="N28" s="15">
        <v>3500</v>
      </c>
      <c r="O28" s="15">
        <v>15</v>
      </c>
      <c r="P28" s="15">
        <v>35700</v>
      </c>
      <c r="Q28" s="15">
        <v>4</v>
      </c>
      <c r="R28" s="15" t="s">
        <v>34</v>
      </c>
      <c r="S28" s="15" t="s">
        <v>49</v>
      </c>
      <c r="T28" s="15" t="s">
        <v>80</v>
      </c>
      <c r="U28" s="18" t="s">
        <v>239</v>
      </c>
      <c r="V28" s="15" t="s">
        <v>69</v>
      </c>
      <c r="W28" s="15">
        <f t="shared" ca="1" si="0"/>
        <v>34</v>
      </c>
      <c r="X28" s="15">
        <f t="shared" si="1"/>
        <v>3</v>
      </c>
      <c r="Y28" s="15" t="str" cm="1">
        <f t="array" ref="Y28">_xlfn.IFS(ISERROR(X28), "Pending", X28&lt;=5, "On Time", X28&gt;5, "Delayed")</f>
        <v>On Time</v>
      </c>
    </row>
    <row r="29" spans="1:25" x14ac:dyDescent="0.3">
      <c r="A29" s="19" t="s">
        <v>240</v>
      </c>
      <c r="B29" s="19" t="s">
        <v>23</v>
      </c>
      <c r="C29" s="19" t="s">
        <v>72</v>
      </c>
      <c r="D29" s="20">
        <v>46094</v>
      </c>
      <c r="E29" s="20">
        <v>46101</v>
      </c>
      <c r="F29" s="19" t="s">
        <v>27</v>
      </c>
      <c r="G29" s="19" t="s">
        <v>28</v>
      </c>
      <c r="H29" s="20">
        <v>38113</v>
      </c>
      <c r="I29" s="19" t="s">
        <v>138</v>
      </c>
      <c r="J29" s="19" t="s">
        <v>106</v>
      </c>
      <c r="K29" s="19" t="s">
        <v>46</v>
      </c>
      <c r="L29" s="19" t="s">
        <v>78</v>
      </c>
      <c r="M29" s="19">
        <v>11</v>
      </c>
      <c r="N29" s="19">
        <v>1200</v>
      </c>
      <c r="O29" s="19">
        <v>0</v>
      </c>
      <c r="P29" s="19">
        <v>13200</v>
      </c>
      <c r="Q29" s="19">
        <v>2</v>
      </c>
      <c r="R29" s="19" t="s">
        <v>88</v>
      </c>
      <c r="S29" s="19" t="s">
        <v>151</v>
      </c>
      <c r="T29" s="19" t="s">
        <v>50</v>
      </c>
      <c r="U29" s="21" t="s">
        <v>244</v>
      </c>
      <c r="V29" s="19" t="s">
        <v>38</v>
      </c>
      <c r="W29" s="19">
        <f t="shared" ca="1" si="0"/>
        <v>22</v>
      </c>
      <c r="X29" s="19">
        <f t="shared" si="1"/>
        <v>7</v>
      </c>
      <c r="Y29" s="19" t="str" cm="1">
        <f t="array" ref="Y29">_xlfn.IFS(ISERROR(X29), "Pending", X29&lt;=5, "On Time", X29&gt;5, "Delayed")</f>
        <v>Delayed</v>
      </c>
    </row>
    <row r="30" spans="1:25" x14ac:dyDescent="0.3">
      <c r="A30" s="15" t="s">
        <v>245</v>
      </c>
      <c r="B30" s="15" t="s">
        <v>127</v>
      </c>
      <c r="C30" s="15" t="s">
        <v>169</v>
      </c>
      <c r="D30" s="16">
        <v>45908</v>
      </c>
      <c r="E30" s="16">
        <v>45920</v>
      </c>
      <c r="F30" s="15" t="s">
        <v>200</v>
      </c>
      <c r="G30" s="15" t="s">
        <v>76</v>
      </c>
      <c r="H30" s="16">
        <v>37203</v>
      </c>
      <c r="I30" s="15" t="s">
        <v>114</v>
      </c>
      <c r="J30" s="15" t="s">
        <v>106</v>
      </c>
      <c r="K30" s="15" t="s">
        <v>32</v>
      </c>
      <c r="L30" s="15" t="s">
        <v>174</v>
      </c>
      <c r="M30" s="15">
        <v>6</v>
      </c>
      <c r="N30" s="15">
        <v>8500</v>
      </c>
      <c r="O30" s="15">
        <v>65</v>
      </c>
      <c r="P30" s="15">
        <v>51000</v>
      </c>
      <c r="Q30" s="15">
        <v>1</v>
      </c>
      <c r="R30" s="15" t="s">
        <v>79</v>
      </c>
      <c r="S30" s="15" t="s">
        <v>61</v>
      </c>
      <c r="T30" s="15" t="s">
        <v>132</v>
      </c>
      <c r="U30" s="18" t="s">
        <v>249</v>
      </c>
      <c r="V30" s="15" t="s">
        <v>38</v>
      </c>
      <c r="W30" s="15">
        <f t="shared" ca="1" si="0"/>
        <v>24</v>
      </c>
      <c r="X30" s="15">
        <f t="shared" si="1"/>
        <v>12</v>
      </c>
      <c r="Y30" s="15" t="str" cm="1">
        <f t="array" ref="Y30">_xlfn.IFS(ISERROR(X30), "Pending", X30&lt;=5, "On Time", X30&gt;5, "Delayed")</f>
        <v>Delayed</v>
      </c>
    </row>
    <row r="31" spans="1:25" x14ac:dyDescent="0.3">
      <c r="A31" s="19" t="s">
        <v>250</v>
      </c>
      <c r="B31" s="19" t="s">
        <v>251</v>
      </c>
      <c r="C31" s="19" t="s">
        <v>118</v>
      </c>
      <c r="D31" s="20">
        <v>46033</v>
      </c>
      <c r="E31" s="20">
        <v>46038</v>
      </c>
      <c r="F31" s="19" t="s">
        <v>254</v>
      </c>
      <c r="G31" s="19" t="s">
        <v>28</v>
      </c>
      <c r="H31" s="20">
        <v>29680</v>
      </c>
      <c r="I31" s="19" t="s">
        <v>114</v>
      </c>
      <c r="J31" s="19" t="s">
        <v>106</v>
      </c>
      <c r="K31" s="19" t="s">
        <v>122</v>
      </c>
      <c r="L31" s="19" t="s">
        <v>123</v>
      </c>
      <c r="M31" s="19">
        <v>2</v>
      </c>
      <c r="N31" s="19">
        <v>60</v>
      </c>
      <c r="O31" s="19">
        <v>5</v>
      </c>
      <c r="P31" s="19">
        <v>114</v>
      </c>
      <c r="Q31" s="19">
        <v>3</v>
      </c>
      <c r="R31" s="19" t="s">
        <v>34</v>
      </c>
      <c r="S31" s="19" t="s">
        <v>151</v>
      </c>
      <c r="T31" s="19" t="s">
        <v>256</v>
      </c>
      <c r="U31" s="21" t="s">
        <v>257</v>
      </c>
      <c r="V31" s="19" t="s">
        <v>69</v>
      </c>
      <c r="W31" s="19">
        <f t="shared" ca="1" si="0"/>
        <v>45</v>
      </c>
      <c r="X31" s="19">
        <f t="shared" si="1"/>
        <v>5</v>
      </c>
      <c r="Y31" s="19" t="str" cm="1">
        <f t="array" ref="Y31">_xlfn.IFS(ISERROR(X31), "Pending", X31&lt;=5, "On Time", X31&gt;5, "Delayed")</f>
        <v>On Time</v>
      </c>
    </row>
    <row r="32" spans="1:25" x14ac:dyDescent="0.3">
      <c r="A32" s="15" t="s">
        <v>258</v>
      </c>
      <c r="B32" s="15" t="s">
        <v>23</v>
      </c>
      <c r="C32" s="15" t="s">
        <v>259</v>
      </c>
      <c r="D32" s="16">
        <v>45824</v>
      </c>
      <c r="E32" s="16">
        <v>45834</v>
      </c>
      <c r="F32" s="15" t="s">
        <v>27</v>
      </c>
      <c r="G32" s="15" t="s">
        <v>28</v>
      </c>
      <c r="H32" s="16">
        <v>35102</v>
      </c>
      <c r="I32" s="15" t="s">
        <v>59</v>
      </c>
      <c r="J32" s="15" t="s">
        <v>31</v>
      </c>
      <c r="K32" s="15" t="s">
        <v>122</v>
      </c>
      <c r="L32" s="15" t="s">
        <v>263</v>
      </c>
      <c r="M32" s="15">
        <v>19</v>
      </c>
      <c r="N32" s="15">
        <v>45</v>
      </c>
      <c r="O32" s="15">
        <v>20</v>
      </c>
      <c r="P32" s="15">
        <v>684</v>
      </c>
      <c r="Q32" s="15">
        <v>4</v>
      </c>
      <c r="R32" s="15" t="s">
        <v>48</v>
      </c>
      <c r="S32" s="15" t="s">
        <v>61</v>
      </c>
      <c r="T32" s="15" t="s">
        <v>50</v>
      </c>
      <c r="U32" s="18" t="s">
        <v>264</v>
      </c>
      <c r="V32" s="15" t="s">
        <v>69</v>
      </c>
      <c r="W32" s="15">
        <f t="shared" ca="1" si="0"/>
        <v>30</v>
      </c>
      <c r="X32" s="15">
        <f t="shared" si="1"/>
        <v>10</v>
      </c>
      <c r="Y32" s="15" t="str" cm="1">
        <f t="array" ref="Y32">_xlfn.IFS(ISERROR(X32), "Pending", X32&lt;=5, "On Time", X32&gt;5, "Delayed")</f>
        <v>Delayed</v>
      </c>
    </row>
    <row r="33" spans="1:25" x14ac:dyDescent="0.3">
      <c r="A33" s="19" t="s">
        <v>265</v>
      </c>
      <c r="B33" s="19" t="s">
        <v>100</v>
      </c>
      <c r="C33" s="19" t="s">
        <v>40</v>
      </c>
      <c r="D33" s="20">
        <v>45839</v>
      </c>
      <c r="E33" s="20">
        <v>45851</v>
      </c>
      <c r="F33" s="19" t="s">
        <v>268</v>
      </c>
      <c r="G33" s="19" t="s">
        <v>28</v>
      </c>
      <c r="H33" s="20">
        <v>28079</v>
      </c>
      <c r="I33" s="19" t="s">
        <v>138</v>
      </c>
      <c r="J33" s="19" t="s">
        <v>106</v>
      </c>
      <c r="K33" s="19" t="s">
        <v>46</v>
      </c>
      <c r="L33" s="19" t="s">
        <v>47</v>
      </c>
      <c r="M33" s="19">
        <v>11</v>
      </c>
      <c r="N33" s="19">
        <v>12000</v>
      </c>
      <c r="O33" s="19">
        <v>0</v>
      </c>
      <c r="P33" s="19">
        <v>132000</v>
      </c>
      <c r="Q33" s="19">
        <v>3</v>
      </c>
      <c r="R33" s="19" t="s">
        <v>88</v>
      </c>
      <c r="S33" s="19" t="s">
        <v>35</v>
      </c>
      <c r="T33" s="19" t="s">
        <v>144</v>
      </c>
      <c r="U33" s="21" t="s">
        <v>270</v>
      </c>
      <c r="V33" s="19" t="s">
        <v>64</v>
      </c>
      <c r="W33" s="19">
        <f t="shared" ca="1" si="0"/>
        <v>49</v>
      </c>
      <c r="X33" s="19">
        <f t="shared" si="1"/>
        <v>12</v>
      </c>
      <c r="Y33" s="19" t="str" cm="1">
        <f t="array" ref="Y33">_xlfn.IFS(ISERROR(X33), "Pending", X33&lt;=5, "On Time", X33&gt;5, "Delayed")</f>
        <v>Delayed</v>
      </c>
    </row>
    <row r="34" spans="1:25" x14ac:dyDescent="0.3">
      <c r="A34" s="15" t="s">
        <v>271</v>
      </c>
      <c r="B34" s="15" t="s">
        <v>251</v>
      </c>
      <c r="C34" s="15" t="s">
        <v>24</v>
      </c>
      <c r="D34" s="16">
        <v>45723</v>
      </c>
      <c r="E34" s="16">
        <v>45731</v>
      </c>
      <c r="F34" s="15" t="s">
        <v>254</v>
      </c>
      <c r="G34" s="15" t="s">
        <v>28</v>
      </c>
      <c r="H34" s="16">
        <v>32444</v>
      </c>
      <c r="I34" s="15" t="s">
        <v>59</v>
      </c>
      <c r="J34" s="15" t="s">
        <v>31</v>
      </c>
      <c r="K34" s="15" t="s">
        <v>32</v>
      </c>
      <c r="L34" s="15" t="s">
        <v>33</v>
      </c>
      <c r="M34" s="15">
        <v>20</v>
      </c>
      <c r="N34" s="15">
        <v>2200</v>
      </c>
      <c r="O34" s="15">
        <v>5</v>
      </c>
      <c r="P34" s="15">
        <v>41800</v>
      </c>
      <c r="Q34" s="15">
        <v>1</v>
      </c>
      <c r="R34" s="15" t="s">
        <v>34</v>
      </c>
      <c r="S34" s="15" t="s">
        <v>49</v>
      </c>
      <c r="T34" s="15" t="s">
        <v>256</v>
      </c>
      <c r="U34" s="18" t="s">
        <v>274</v>
      </c>
      <c r="V34" s="15" t="s">
        <v>64</v>
      </c>
      <c r="W34" s="15">
        <f t="shared" ca="1" si="0"/>
        <v>37</v>
      </c>
      <c r="X34" s="15">
        <f t="shared" si="1"/>
        <v>8</v>
      </c>
      <c r="Y34" s="15" t="str" cm="1">
        <f t="array" ref="Y34">_xlfn.IFS(ISERROR(X34), "Pending", X34&lt;=5, "On Time", X34&gt;5, "Delayed")</f>
        <v>Delayed</v>
      </c>
    </row>
    <row r="35" spans="1:25" x14ac:dyDescent="0.3">
      <c r="A35" s="19" t="s">
        <v>275</v>
      </c>
      <c r="B35" s="19" t="s">
        <v>83</v>
      </c>
      <c r="C35" s="19" t="s">
        <v>222</v>
      </c>
      <c r="D35" s="20">
        <v>45832</v>
      </c>
      <c r="E35" s="20">
        <v>45842</v>
      </c>
      <c r="F35" s="19" t="s">
        <v>180</v>
      </c>
      <c r="G35" s="19" t="s">
        <v>76</v>
      </c>
      <c r="H35" s="20">
        <v>38161</v>
      </c>
      <c r="I35" s="19" t="s">
        <v>138</v>
      </c>
      <c r="J35" s="19" t="s">
        <v>106</v>
      </c>
      <c r="K35" s="19" t="s">
        <v>122</v>
      </c>
      <c r="L35" s="19" t="s">
        <v>227</v>
      </c>
      <c r="M35" s="19">
        <v>3</v>
      </c>
      <c r="N35" s="19">
        <v>20</v>
      </c>
      <c r="O35" s="19">
        <v>0</v>
      </c>
      <c r="P35" s="19">
        <v>60</v>
      </c>
      <c r="Q35" s="19">
        <v>2</v>
      </c>
      <c r="R35" s="19" t="s">
        <v>79</v>
      </c>
      <c r="S35" s="19" t="s">
        <v>35</v>
      </c>
      <c r="T35" s="19" t="s">
        <v>278</v>
      </c>
      <c r="U35" s="21" t="s">
        <v>279</v>
      </c>
      <c r="V35" s="19" t="s">
        <v>69</v>
      </c>
      <c r="W35" s="19">
        <f t="shared" ca="1" si="0"/>
        <v>22</v>
      </c>
      <c r="X35" s="19">
        <f t="shared" si="1"/>
        <v>10</v>
      </c>
      <c r="Y35" s="19" t="str" cm="1">
        <f t="array" ref="Y35">_xlfn.IFS(ISERROR(X35), "Pending", X35&lt;=5, "On Time", X35&gt;5, "Delayed")</f>
        <v>Delayed</v>
      </c>
    </row>
    <row r="36" spans="1:25" x14ac:dyDescent="0.3">
      <c r="A36" s="15" t="s">
        <v>280</v>
      </c>
      <c r="B36" s="15" t="s">
        <v>127</v>
      </c>
      <c r="C36" s="15" t="s">
        <v>259</v>
      </c>
      <c r="D36" s="16">
        <v>45939</v>
      </c>
      <c r="E36" s="16">
        <v>45949</v>
      </c>
      <c r="F36" s="15" t="s">
        <v>200</v>
      </c>
      <c r="G36" s="15" t="s">
        <v>76</v>
      </c>
      <c r="H36" s="16">
        <v>35177</v>
      </c>
      <c r="I36" s="15" t="s">
        <v>114</v>
      </c>
      <c r="J36" s="15" t="s">
        <v>106</v>
      </c>
      <c r="K36" s="15" t="s">
        <v>122</v>
      </c>
      <c r="L36" s="15" t="s">
        <v>263</v>
      </c>
      <c r="M36" s="15">
        <v>18</v>
      </c>
      <c r="N36" s="15">
        <v>45</v>
      </c>
      <c r="O36" s="15">
        <v>20</v>
      </c>
      <c r="P36" s="15">
        <v>648</v>
      </c>
      <c r="Q36" s="15">
        <v>4</v>
      </c>
      <c r="R36" s="15" t="s">
        <v>48</v>
      </c>
      <c r="S36" s="15" t="s">
        <v>35</v>
      </c>
      <c r="T36" s="15" t="s">
        <v>132</v>
      </c>
      <c r="U36" s="18" t="s">
        <v>284</v>
      </c>
      <c r="V36" s="15" t="s">
        <v>69</v>
      </c>
      <c r="W36" s="15">
        <f t="shared" ca="1" si="0"/>
        <v>30</v>
      </c>
      <c r="X36" s="15">
        <f t="shared" si="1"/>
        <v>10</v>
      </c>
      <c r="Y36" s="15" t="str" cm="1">
        <f t="array" ref="Y36">_xlfn.IFS(ISERROR(X36), "Pending", X36&lt;=5, "On Time", X36&gt;5, "Delayed")</f>
        <v>Delayed</v>
      </c>
    </row>
    <row r="37" spans="1:25" x14ac:dyDescent="0.3">
      <c r="A37" s="19" t="s">
        <v>285</v>
      </c>
      <c r="B37" s="19" t="s">
        <v>127</v>
      </c>
      <c r="C37" s="19" t="s">
        <v>72</v>
      </c>
      <c r="D37" s="20">
        <v>45980</v>
      </c>
      <c r="E37" s="20">
        <v>45987</v>
      </c>
      <c r="F37" s="19" t="s">
        <v>200</v>
      </c>
      <c r="G37" s="19" t="s">
        <v>76</v>
      </c>
      <c r="H37" s="20">
        <v>29043</v>
      </c>
      <c r="I37" s="19" t="s">
        <v>59</v>
      </c>
      <c r="J37" s="19" t="s">
        <v>31</v>
      </c>
      <c r="K37" s="19" t="s">
        <v>46</v>
      </c>
      <c r="L37" s="19" t="s">
        <v>78</v>
      </c>
      <c r="M37" s="19">
        <v>4</v>
      </c>
      <c r="N37" s="19">
        <v>1200</v>
      </c>
      <c r="O37" s="19">
        <v>20</v>
      </c>
      <c r="P37" s="19">
        <v>3840</v>
      </c>
      <c r="Q37" s="19">
        <v>3</v>
      </c>
      <c r="R37" s="19" t="s">
        <v>48</v>
      </c>
      <c r="S37" s="19" t="s">
        <v>61</v>
      </c>
      <c r="T37" s="19" t="s">
        <v>132</v>
      </c>
      <c r="U37" s="21" t="s">
        <v>289</v>
      </c>
      <c r="V37" s="19" t="s">
        <v>38</v>
      </c>
      <c r="W37" s="19">
        <f t="shared" ca="1" si="0"/>
        <v>47</v>
      </c>
      <c r="X37" s="19">
        <f t="shared" si="1"/>
        <v>7</v>
      </c>
      <c r="Y37" s="19" t="str" cm="1">
        <f t="array" ref="Y37">_xlfn.IFS(ISERROR(X37), "Pending", X37&lt;=5, "On Time", X37&gt;5, "Delayed")</f>
        <v>Delayed</v>
      </c>
    </row>
    <row r="38" spans="1:25" x14ac:dyDescent="0.3">
      <c r="A38" s="15" t="s">
        <v>290</v>
      </c>
      <c r="B38" s="15" t="s">
        <v>71</v>
      </c>
      <c r="C38" s="15" t="s">
        <v>54</v>
      </c>
      <c r="D38" s="16">
        <v>45966</v>
      </c>
      <c r="E38" s="16">
        <v>45975</v>
      </c>
      <c r="F38" s="15" t="s">
        <v>217</v>
      </c>
      <c r="G38" s="15" t="s">
        <v>76</v>
      </c>
      <c r="H38" s="16">
        <v>29491</v>
      </c>
      <c r="I38" s="15" t="s">
        <v>294</v>
      </c>
      <c r="J38" s="15" t="s">
        <v>295</v>
      </c>
      <c r="K38" s="15" t="s">
        <v>46</v>
      </c>
      <c r="L38" s="15" t="s">
        <v>60</v>
      </c>
      <c r="M38" s="15">
        <v>10</v>
      </c>
      <c r="N38" s="15">
        <v>55000</v>
      </c>
      <c r="O38" s="15">
        <v>0</v>
      </c>
      <c r="P38" s="15">
        <v>550000</v>
      </c>
      <c r="Q38" s="15">
        <v>1</v>
      </c>
      <c r="R38" s="15" t="s">
        <v>88</v>
      </c>
      <c r="S38" s="15" t="s">
        <v>49</v>
      </c>
      <c r="T38" s="15" t="s">
        <v>80</v>
      </c>
      <c r="U38" s="18" t="s">
        <v>296</v>
      </c>
      <c r="V38" s="15" t="s">
        <v>69</v>
      </c>
      <c r="W38" s="15">
        <f t="shared" ca="1" si="0"/>
        <v>45</v>
      </c>
      <c r="X38" s="15">
        <f t="shared" si="1"/>
        <v>9</v>
      </c>
      <c r="Y38" s="15" t="str" cm="1">
        <f t="array" ref="Y38">_xlfn.IFS(ISERROR(X38), "Pending", X38&lt;=5, "On Time", X38&gt;5, "Delayed")</f>
        <v>Delayed</v>
      </c>
    </row>
    <row r="39" spans="1:25" x14ac:dyDescent="0.3">
      <c r="A39" s="19" t="s">
        <v>297</v>
      </c>
      <c r="B39" s="19" t="s">
        <v>251</v>
      </c>
      <c r="C39" s="19" t="s">
        <v>92</v>
      </c>
      <c r="D39" s="20">
        <v>46089</v>
      </c>
      <c r="E39" s="20">
        <v>46101</v>
      </c>
      <c r="F39" s="19" t="s">
        <v>254</v>
      </c>
      <c r="G39" s="19" t="s">
        <v>28</v>
      </c>
      <c r="H39" s="20">
        <v>29393</v>
      </c>
      <c r="I39" s="19" t="s">
        <v>44</v>
      </c>
      <c r="J39" s="19" t="s">
        <v>45</v>
      </c>
      <c r="K39" s="19" t="s">
        <v>32</v>
      </c>
      <c r="L39" s="19" t="s">
        <v>97</v>
      </c>
      <c r="M39" s="19">
        <v>20</v>
      </c>
      <c r="N39" s="19">
        <v>3500</v>
      </c>
      <c r="O39" s="19">
        <v>10</v>
      </c>
      <c r="P39" s="19">
        <v>63000</v>
      </c>
      <c r="Q39" s="19">
        <v>3</v>
      </c>
      <c r="R39" s="19" t="s">
        <v>79</v>
      </c>
      <c r="S39" s="19" t="s">
        <v>49</v>
      </c>
      <c r="T39" s="19" t="s">
        <v>256</v>
      </c>
      <c r="U39" s="21" t="s">
        <v>300</v>
      </c>
      <c r="V39" s="19" t="s">
        <v>69</v>
      </c>
      <c r="W39" s="19">
        <f t="shared" ca="1" si="0"/>
        <v>46</v>
      </c>
      <c r="X39" s="19">
        <f t="shared" si="1"/>
        <v>12</v>
      </c>
      <c r="Y39" s="19" t="str" cm="1">
        <f t="array" ref="Y39">_xlfn.IFS(ISERROR(X39), "Pending", X39&lt;=5, "On Time", X39&gt;5, "Delayed")</f>
        <v>Delayed</v>
      </c>
    </row>
    <row r="40" spans="1:25" x14ac:dyDescent="0.3">
      <c r="A40" s="15" t="s">
        <v>301</v>
      </c>
      <c r="B40" s="15" t="s">
        <v>23</v>
      </c>
      <c r="C40" s="15" t="s">
        <v>222</v>
      </c>
      <c r="D40" s="16">
        <v>45701</v>
      </c>
      <c r="E40" s="16">
        <v>45707</v>
      </c>
      <c r="F40" s="15" t="s">
        <v>27</v>
      </c>
      <c r="G40" s="15" t="s">
        <v>28</v>
      </c>
      <c r="H40" s="16">
        <v>29023</v>
      </c>
      <c r="I40" s="15" t="s">
        <v>114</v>
      </c>
      <c r="J40" s="15" t="s">
        <v>106</v>
      </c>
      <c r="K40" s="15" t="s">
        <v>122</v>
      </c>
      <c r="L40" s="15" t="s">
        <v>227</v>
      </c>
      <c r="M40" s="15">
        <v>5</v>
      </c>
      <c r="N40" s="15" t="s">
        <v>305</v>
      </c>
      <c r="O40" s="15">
        <v>0</v>
      </c>
      <c r="P40" s="15">
        <v>100</v>
      </c>
      <c r="Q40" s="15">
        <v>1</v>
      </c>
      <c r="R40" s="15" t="s">
        <v>34</v>
      </c>
      <c r="S40" s="15" t="s">
        <v>49</v>
      </c>
      <c r="T40" s="15" t="s">
        <v>50</v>
      </c>
      <c r="U40" s="18" t="s">
        <v>306</v>
      </c>
      <c r="V40" s="15" t="s">
        <v>69</v>
      </c>
      <c r="W40" s="15">
        <f t="shared" ca="1" si="0"/>
        <v>47</v>
      </c>
      <c r="X40" s="15">
        <f t="shared" si="1"/>
        <v>6</v>
      </c>
      <c r="Y40" s="15" t="str" cm="1">
        <f t="array" ref="Y40">_xlfn.IFS(ISERROR(X40), "Pending", X40&lt;=5, "On Time", X40&gt;5, "Delayed")</f>
        <v>Delayed</v>
      </c>
    </row>
    <row r="41" spans="1:25" x14ac:dyDescent="0.3">
      <c r="A41" s="19" t="s">
        <v>307</v>
      </c>
      <c r="B41" s="19" t="s">
        <v>53</v>
      </c>
      <c r="C41" s="19" t="s">
        <v>169</v>
      </c>
      <c r="D41" s="20">
        <v>45935</v>
      </c>
      <c r="E41" s="20">
        <v>45945</v>
      </c>
      <c r="F41" s="19" t="s">
        <v>163</v>
      </c>
      <c r="G41" s="19" t="s">
        <v>28</v>
      </c>
      <c r="H41" s="20">
        <v>33773</v>
      </c>
      <c r="I41" s="19" t="s">
        <v>105</v>
      </c>
      <c r="J41" s="19" t="s">
        <v>106</v>
      </c>
      <c r="K41" s="19" t="s">
        <v>32</v>
      </c>
      <c r="L41" s="19" t="s">
        <v>174</v>
      </c>
      <c r="M41" s="19">
        <v>20</v>
      </c>
      <c r="N41" s="19">
        <v>8500</v>
      </c>
      <c r="O41" s="19">
        <v>0</v>
      </c>
      <c r="P41" s="19">
        <v>170000</v>
      </c>
      <c r="Q41" s="19">
        <v>1</v>
      </c>
      <c r="R41" s="19" t="s">
        <v>88</v>
      </c>
      <c r="S41" s="19" t="s">
        <v>115</v>
      </c>
      <c r="T41" s="19" t="s">
        <v>62</v>
      </c>
      <c r="U41" s="21" t="s">
        <v>311</v>
      </c>
      <c r="V41" s="19" t="s">
        <v>69</v>
      </c>
      <c r="W41" s="19">
        <f t="shared" ca="1" si="0"/>
        <v>34</v>
      </c>
      <c r="X41" s="19">
        <f t="shared" si="1"/>
        <v>10</v>
      </c>
      <c r="Y41" s="19" t="str" cm="1">
        <f t="array" ref="Y41">_xlfn.IFS(ISERROR(X41), "Pending", X41&lt;=5, "On Time", X41&gt;5, "Delayed")</f>
        <v>Delayed</v>
      </c>
    </row>
    <row r="42" spans="1:25" x14ac:dyDescent="0.3">
      <c r="A42" s="15" t="s">
        <v>312</v>
      </c>
      <c r="B42" s="15" t="s">
        <v>83</v>
      </c>
      <c r="C42" s="15" t="s">
        <v>118</v>
      </c>
      <c r="D42" s="16">
        <v>46063</v>
      </c>
      <c r="E42" s="16">
        <v>46065</v>
      </c>
      <c r="F42" s="15" t="s">
        <v>180</v>
      </c>
      <c r="G42" s="15" t="s">
        <v>76</v>
      </c>
      <c r="H42" s="16">
        <v>34491</v>
      </c>
      <c r="I42" s="15" t="s">
        <v>59</v>
      </c>
      <c r="J42" s="15" t="s">
        <v>31</v>
      </c>
      <c r="K42" s="15" t="s">
        <v>122</v>
      </c>
      <c r="L42" s="15" t="s">
        <v>123</v>
      </c>
      <c r="M42" s="15">
        <v>8</v>
      </c>
      <c r="N42" s="15">
        <v>60</v>
      </c>
      <c r="O42" s="15">
        <v>15</v>
      </c>
      <c r="P42" s="15">
        <v>408</v>
      </c>
      <c r="Q42" s="15">
        <v>5</v>
      </c>
      <c r="R42" s="15" t="s">
        <v>88</v>
      </c>
      <c r="S42" s="15" t="s">
        <v>49</v>
      </c>
      <c r="T42" s="15" t="s">
        <v>89</v>
      </c>
      <c r="U42" s="18" t="s">
        <v>316</v>
      </c>
      <c r="V42" s="15" t="s">
        <v>64</v>
      </c>
      <c r="W42" s="15">
        <f t="shared" ca="1" si="0"/>
        <v>32</v>
      </c>
      <c r="X42" s="15">
        <f t="shared" si="1"/>
        <v>2</v>
      </c>
      <c r="Y42" s="15" t="str" cm="1">
        <f t="array" ref="Y42">_xlfn.IFS(ISERROR(X42), "Pending", X42&lt;=5, "On Time", X42&gt;5, "Delayed")</f>
        <v>On Time</v>
      </c>
    </row>
    <row r="43" spans="1:25" x14ac:dyDescent="0.3">
      <c r="A43" s="19" t="s">
        <v>317</v>
      </c>
      <c r="B43" s="19" t="s">
        <v>53</v>
      </c>
      <c r="C43" s="19" t="s">
        <v>92</v>
      </c>
      <c r="D43" s="20">
        <v>45812</v>
      </c>
      <c r="E43" s="20">
        <v>45824</v>
      </c>
      <c r="F43" s="19" t="s">
        <v>163</v>
      </c>
      <c r="G43" s="19" t="s">
        <v>28</v>
      </c>
      <c r="H43" s="20">
        <v>32408</v>
      </c>
      <c r="I43" s="19" t="s">
        <v>114</v>
      </c>
      <c r="J43" s="19" t="s">
        <v>106</v>
      </c>
      <c r="K43" s="19" t="s">
        <v>32</v>
      </c>
      <c r="L43" s="19" t="s">
        <v>97</v>
      </c>
      <c r="M43" s="19">
        <v>8</v>
      </c>
      <c r="N43" s="19">
        <v>3500</v>
      </c>
      <c r="O43" s="19">
        <v>5</v>
      </c>
      <c r="P43" s="19">
        <v>26600</v>
      </c>
      <c r="Q43" s="19">
        <v>1</v>
      </c>
      <c r="R43" s="19" t="s">
        <v>79</v>
      </c>
      <c r="S43" s="19" t="s">
        <v>115</v>
      </c>
      <c r="T43" s="19" t="s">
        <v>62</v>
      </c>
      <c r="U43" s="21" t="s">
        <v>320</v>
      </c>
      <c r="V43" s="19" t="s">
        <v>64</v>
      </c>
      <c r="W43" s="19">
        <f t="shared" ca="1" si="0"/>
        <v>37</v>
      </c>
      <c r="X43" s="19">
        <f t="shared" si="1"/>
        <v>12</v>
      </c>
      <c r="Y43" s="19" t="str" cm="1">
        <f t="array" ref="Y43">_xlfn.IFS(ISERROR(X43), "Pending", X43&lt;=5, "On Time", X43&gt;5, "Delayed")</f>
        <v>Delayed</v>
      </c>
    </row>
    <row r="44" spans="1:25" x14ac:dyDescent="0.3">
      <c r="A44" s="15" t="s">
        <v>321</v>
      </c>
      <c r="B44" s="15" t="s">
        <v>71</v>
      </c>
      <c r="C44" s="15" t="s">
        <v>169</v>
      </c>
      <c r="D44" s="16">
        <v>46061</v>
      </c>
      <c r="E44" s="16">
        <v>46067</v>
      </c>
      <c r="F44" s="15" t="s">
        <v>217</v>
      </c>
      <c r="G44" s="15" t="s">
        <v>76</v>
      </c>
      <c r="H44" s="16">
        <v>37086</v>
      </c>
      <c r="I44" s="15" t="s">
        <v>212</v>
      </c>
      <c r="J44" s="15" t="s">
        <v>45</v>
      </c>
      <c r="K44" s="15" t="s">
        <v>32</v>
      </c>
      <c r="L44" s="15" t="s">
        <v>174</v>
      </c>
      <c r="M44" s="15">
        <v>1</v>
      </c>
      <c r="N44" s="15">
        <v>8500</v>
      </c>
      <c r="O44" s="15">
        <v>0</v>
      </c>
      <c r="P44" s="15">
        <v>8500</v>
      </c>
      <c r="Q44" s="15">
        <v>2</v>
      </c>
      <c r="R44" s="15" t="s">
        <v>79</v>
      </c>
      <c r="S44" s="15" t="s">
        <v>115</v>
      </c>
      <c r="T44" s="15" t="s">
        <v>80</v>
      </c>
      <c r="U44" s="18" t="s">
        <v>325</v>
      </c>
      <c r="V44" s="15" t="s">
        <v>64</v>
      </c>
      <c r="W44" s="15">
        <f t="shared" ca="1" si="0"/>
        <v>25</v>
      </c>
      <c r="X44" s="15">
        <f t="shared" si="1"/>
        <v>6</v>
      </c>
      <c r="Y44" s="15" t="str" cm="1">
        <f t="array" ref="Y44">_xlfn.IFS(ISERROR(X44), "Pending", X44&lt;=5, "On Time", X44&gt;5, "Delayed")</f>
        <v>Delayed</v>
      </c>
    </row>
    <row r="45" spans="1:25" x14ac:dyDescent="0.3">
      <c r="A45" s="19" t="s">
        <v>326</v>
      </c>
      <c r="B45" s="19" t="s">
        <v>327</v>
      </c>
      <c r="C45" s="19" t="s">
        <v>259</v>
      </c>
      <c r="D45" s="20">
        <v>45746</v>
      </c>
      <c r="E45" s="20">
        <v>45747</v>
      </c>
      <c r="F45" s="19" t="s">
        <v>330</v>
      </c>
      <c r="G45" s="19" t="s">
        <v>76</v>
      </c>
      <c r="H45" s="20">
        <v>33489</v>
      </c>
      <c r="I45" s="19" t="s">
        <v>114</v>
      </c>
      <c r="J45" s="19" t="s">
        <v>106</v>
      </c>
      <c r="K45" s="19" t="s">
        <v>122</v>
      </c>
      <c r="L45" s="19" t="s">
        <v>263</v>
      </c>
      <c r="M45" s="19">
        <v>8</v>
      </c>
      <c r="N45" s="19">
        <v>45</v>
      </c>
      <c r="O45" s="19">
        <v>15</v>
      </c>
      <c r="P45" s="19">
        <v>306</v>
      </c>
      <c r="Q45" s="19">
        <v>2</v>
      </c>
      <c r="R45" s="19" t="s">
        <v>79</v>
      </c>
      <c r="S45" s="19" t="s">
        <v>61</v>
      </c>
      <c r="T45" s="19" t="s">
        <v>332</v>
      </c>
      <c r="U45" s="21" t="s">
        <v>333</v>
      </c>
      <c r="V45" s="19" t="s">
        <v>38</v>
      </c>
      <c r="W45" s="19">
        <f t="shared" ca="1" si="0"/>
        <v>34</v>
      </c>
      <c r="X45" s="19">
        <f t="shared" si="1"/>
        <v>1</v>
      </c>
      <c r="Y45" s="19" t="str" cm="1">
        <f t="array" ref="Y45">_xlfn.IFS(ISERROR(X45), "Pending", X45&lt;=5, "On Time", X45&gt;5, "Delayed")</f>
        <v>On Time</v>
      </c>
    </row>
    <row r="46" spans="1:25" x14ac:dyDescent="0.3">
      <c r="A46" s="15" t="s">
        <v>334</v>
      </c>
      <c r="B46" s="15" t="s">
        <v>251</v>
      </c>
      <c r="C46" s="15" t="s">
        <v>24</v>
      </c>
      <c r="D46" s="16">
        <v>45772</v>
      </c>
      <c r="E46" s="16">
        <v>45775</v>
      </c>
      <c r="F46" s="15" t="s">
        <v>254</v>
      </c>
      <c r="G46" s="15" t="s">
        <v>28</v>
      </c>
      <c r="H46" s="16">
        <v>32437</v>
      </c>
      <c r="I46" s="15" t="s">
        <v>114</v>
      </c>
      <c r="J46" s="15" t="s">
        <v>106</v>
      </c>
      <c r="K46" s="15" t="s">
        <v>32</v>
      </c>
      <c r="L46" s="15" t="s">
        <v>33</v>
      </c>
      <c r="M46" s="15">
        <v>16</v>
      </c>
      <c r="N46" s="15">
        <v>2200</v>
      </c>
      <c r="O46" s="15">
        <v>5</v>
      </c>
      <c r="P46" s="15">
        <v>33440</v>
      </c>
      <c r="Q46" s="15">
        <v>5</v>
      </c>
      <c r="R46" s="15" t="s">
        <v>79</v>
      </c>
      <c r="S46" s="15" t="s">
        <v>61</v>
      </c>
      <c r="T46" s="15" t="s">
        <v>256</v>
      </c>
      <c r="U46" s="18" t="s">
        <v>338</v>
      </c>
      <c r="V46" s="15" t="s">
        <v>69</v>
      </c>
      <c r="W46" s="15">
        <f t="shared" ca="1" si="0"/>
        <v>37</v>
      </c>
      <c r="X46" s="15">
        <f t="shared" si="1"/>
        <v>3</v>
      </c>
      <c r="Y46" s="15" t="str" cm="1">
        <f t="array" ref="Y46">_xlfn.IFS(ISERROR(X46), "Pending", X46&lt;=5, "On Time", X46&gt;5, "Delayed")</f>
        <v>On Time</v>
      </c>
    </row>
    <row r="47" spans="1:25" x14ac:dyDescent="0.3">
      <c r="A47" s="19" t="s">
        <v>339</v>
      </c>
      <c r="B47" s="19" t="s">
        <v>71</v>
      </c>
      <c r="C47" s="19" t="s">
        <v>92</v>
      </c>
      <c r="D47" s="20">
        <v>45943</v>
      </c>
      <c r="E47" s="20">
        <v>45953</v>
      </c>
      <c r="F47" s="19" t="s">
        <v>217</v>
      </c>
      <c r="G47" s="19" t="s">
        <v>76</v>
      </c>
      <c r="H47" s="20">
        <v>37579</v>
      </c>
      <c r="I47" s="19" t="s">
        <v>59</v>
      </c>
      <c r="J47" s="19" t="s">
        <v>31</v>
      </c>
      <c r="K47" s="19" t="s">
        <v>32</v>
      </c>
      <c r="L47" s="19" t="s">
        <v>97</v>
      </c>
      <c r="M47" s="19">
        <v>19</v>
      </c>
      <c r="N47" s="19">
        <v>3500</v>
      </c>
      <c r="O47" s="19">
        <v>20</v>
      </c>
      <c r="P47" s="19">
        <v>53200</v>
      </c>
      <c r="Q47" s="19">
        <v>3</v>
      </c>
      <c r="R47" s="19" t="s">
        <v>34</v>
      </c>
      <c r="S47" s="19" t="s">
        <v>151</v>
      </c>
      <c r="T47" s="19" t="s">
        <v>80</v>
      </c>
      <c r="U47" s="21" t="s">
        <v>343</v>
      </c>
      <c r="V47" s="19" t="s">
        <v>69</v>
      </c>
      <c r="W47" s="19">
        <f t="shared" ca="1" si="0"/>
        <v>23</v>
      </c>
      <c r="X47" s="19">
        <f t="shared" si="1"/>
        <v>10</v>
      </c>
      <c r="Y47" s="19" t="str" cm="1">
        <f t="array" ref="Y47">_xlfn.IFS(ISERROR(X47), "Pending", X47&lt;=5, "On Time", X47&gt;5, "Delayed")</f>
        <v>Delayed</v>
      </c>
    </row>
    <row r="48" spans="1:25" x14ac:dyDescent="0.3">
      <c r="A48" s="15" t="s">
        <v>344</v>
      </c>
      <c r="B48" s="15" t="s">
        <v>251</v>
      </c>
      <c r="C48" s="15" t="s">
        <v>184</v>
      </c>
      <c r="D48" s="16">
        <v>45941</v>
      </c>
      <c r="E48" s="16">
        <v>45944</v>
      </c>
      <c r="F48" s="15" t="s">
        <v>254</v>
      </c>
      <c r="G48" s="15" t="s">
        <v>28</v>
      </c>
      <c r="H48" s="16">
        <v>36684</v>
      </c>
      <c r="I48" s="15" t="s">
        <v>114</v>
      </c>
      <c r="J48" s="15" t="s">
        <v>106</v>
      </c>
      <c r="K48" s="15" t="s">
        <v>46</v>
      </c>
      <c r="L48" s="15" t="s">
        <v>189</v>
      </c>
      <c r="M48" s="15">
        <v>15</v>
      </c>
      <c r="N48" s="15">
        <v>700</v>
      </c>
      <c r="O48" s="15">
        <v>15</v>
      </c>
      <c r="P48" s="15">
        <v>8925</v>
      </c>
      <c r="Q48" s="15">
        <v>4</v>
      </c>
      <c r="R48" s="15" t="s">
        <v>88</v>
      </c>
      <c r="S48" s="15" t="s">
        <v>115</v>
      </c>
      <c r="T48" s="15" t="s">
        <v>348</v>
      </c>
      <c r="U48" s="18" t="s">
        <v>349</v>
      </c>
      <c r="V48" s="15" t="s">
        <v>38</v>
      </c>
      <c r="W48" s="15">
        <f t="shared" ca="1" si="0"/>
        <v>26</v>
      </c>
      <c r="X48" s="15">
        <f t="shared" si="1"/>
        <v>3</v>
      </c>
      <c r="Y48" s="15" t="str" cm="1">
        <f t="array" ref="Y48">_xlfn.IFS(ISERROR(X48), "Pending", X48&lt;=5, "On Time", X48&gt;5, "Delayed")</f>
        <v>On Time</v>
      </c>
    </row>
    <row r="49" spans="1:25" x14ac:dyDescent="0.3">
      <c r="A49" s="19" t="s">
        <v>350</v>
      </c>
      <c r="B49" s="19" t="s">
        <v>251</v>
      </c>
      <c r="C49" s="19" t="s">
        <v>184</v>
      </c>
      <c r="D49" s="20">
        <v>45988</v>
      </c>
      <c r="E49" s="20">
        <v>45994</v>
      </c>
      <c r="F49" s="19" t="s">
        <v>254</v>
      </c>
      <c r="G49" s="19" t="s">
        <v>28</v>
      </c>
      <c r="H49" s="20">
        <v>36125</v>
      </c>
      <c r="I49" s="19" t="s">
        <v>212</v>
      </c>
      <c r="J49" s="19" t="s">
        <v>45</v>
      </c>
      <c r="K49" s="19" t="s">
        <v>46</v>
      </c>
      <c r="L49" s="19" t="s">
        <v>189</v>
      </c>
      <c r="M49" s="19">
        <v>19</v>
      </c>
      <c r="N49" s="19">
        <v>700</v>
      </c>
      <c r="O49" s="19">
        <v>20</v>
      </c>
      <c r="P49" s="19">
        <v>10640</v>
      </c>
      <c r="Q49" s="19">
        <v>1</v>
      </c>
      <c r="R49" s="19" t="s">
        <v>34</v>
      </c>
      <c r="S49" s="19" t="s">
        <v>115</v>
      </c>
      <c r="T49" s="19" t="s">
        <v>256</v>
      </c>
      <c r="U49" s="21" t="s">
        <v>354</v>
      </c>
      <c r="V49" s="19" t="s">
        <v>38</v>
      </c>
      <c r="W49" s="19">
        <f t="shared" ca="1" si="0"/>
        <v>27</v>
      </c>
      <c r="X49" s="19">
        <f t="shared" si="1"/>
        <v>6</v>
      </c>
      <c r="Y49" s="19" t="str" cm="1">
        <f t="array" ref="Y49">_xlfn.IFS(ISERROR(X49), "Pending", X49&lt;=5, "On Time", X49&gt;5, "Delayed")</f>
        <v>Delayed</v>
      </c>
    </row>
    <row r="50" spans="1:25" x14ac:dyDescent="0.3">
      <c r="A50" s="15" t="s">
        <v>355</v>
      </c>
      <c r="B50" s="15" t="s">
        <v>71</v>
      </c>
      <c r="C50" s="15" t="s">
        <v>40</v>
      </c>
      <c r="D50" s="16">
        <v>46131</v>
      </c>
      <c r="E50" s="15"/>
      <c r="F50" s="15" t="s">
        <v>217</v>
      </c>
      <c r="G50" s="15" t="s">
        <v>76</v>
      </c>
      <c r="H50" s="16">
        <v>35130</v>
      </c>
      <c r="I50" s="15" t="s">
        <v>44</v>
      </c>
      <c r="J50" s="15" t="s">
        <v>45</v>
      </c>
      <c r="K50" s="15" t="s">
        <v>46</v>
      </c>
      <c r="L50" s="15" t="s">
        <v>47</v>
      </c>
      <c r="M50" s="15">
        <v>19</v>
      </c>
      <c r="N50" s="15">
        <v>12000</v>
      </c>
      <c r="O50" s="15">
        <v>0</v>
      </c>
      <c r="P50" s="15">
        <v>228000</v>
      </c>
      <c r="Q50" s="15">
        <v>1</v>
      </c>
      <c r="R50" s="15" t="s">
        <v>48</v>
      </c>
      <c r="S50" s="15" t="s">
        <v>61</v>
      </c>
      <c r="T50" s="15" t="s">
        <v>80</v>
      </c>
      <c r="U50" s="18" t="s">
        <v>358</v>
      </c>
      <c r="V50" s="15" t="s">
        <v>38</v>
      </c>
      <c r="W50" s="15">
        <f t="shared" ca="1" si="0"/>
        <v>30</v>
      </c>
      <c r="X50" s="15" t="e">
        <f t="shared" si="1"/>
        <v>#NUM!</v>
      </c>
      <c r="Y50" s="15" t="str" cm="1">
        <f t="array" ref="Y50">_xlfn.IFS(ISERROR(X50), "Pending", X50&lt;=5, "On Time", X50&gt;5, "Delayed")</f>
        <v>Pending</v>
      </c>
    </row>
    <row r="51" spans="1:25" x14ac:dyDescent="0.3">
      <c r="A51" s="19" t="s">
        <v>359</v>
      </c>
      <c r="B51" s="19" t="s">
        <v>168</v>
      </c>
      <c r="C51" s="19" t="s">
        <v>72</v>
      </c>
      <c r="D51" s="20">
        <v>46131</v>
      </c>
      <c r="E51" s="20">
        <v>46133</v>
      </c>
      <c r="F51" s="19" t="s">
        <v>361</v>
      </c>
      <c r="G51" s="19" t="s">
        <v>28</v>
      </c>
      <c r="H51" s="20">
        <v>31851</v>
      </c>
      <c r="I51" s="19" t="s">
        <v>114</v>
      </c>
      <c r="J51" s="19" t="s">
        <v>106</v>
      </c>
      <c r="K51" s="19" t="s">
        <v>46</v>
      </c>
      <c r="L51" s="19" t="s">
        <v>78</v>
      </c>
      <c r="M51" s="19">
        <v>6</v>
      </c>
      <c r="N51" s="19">
        <v>1200</v>
      </c>
      <c r="O51" s="19">
        <v>5</v>
      </c>
      <c r="P51" s="19">
        <v>6840</v>
      </c>
      <c r="Q51" s="19">
        <v>2</v>
      </c>
      <c r="R51" s="19" t="s">
        <v>34</v>
      </c>
      <c r="S51" s="19" t="s">
        <v>35</v>
      </c>
      <c r="T51" s="19" t="s">
        <v>175</v>
      </c>
      <c r="U51" s="21" t="s">
        <v>363</v>
      </c>
      <c r="V51" s="19" t="s">
        <v>64</v>
      </c>
      <c r="W51" s="19">
        <f t="shared" ca="1" si="0"/>
        <v>39</v>
      </c>
      <c r="X51" s="19">
        <f t="shared" si="1"/>
        <v>2</v>
      </c>
      <c r="Y51" s="19" t="str" cm="1">
        <f t="array" ref="Y51">_xlfn.IFS(ISERROR(X51), "Pending", X51&lt;=5, "On Time", X51&gt;5, "Delayed")</f>
        <v>On Time</v>
      </c>
    </row>
    <row r="52" spans="1:25" x14ac:dyDescent="0.3">
      <c r="A52" s="15" t="s">
        <v>364</v>
      </c>
      <c r="B52" s="15" t="s">
        <v>53</v>
      </c>
      <c r="C52" s="15" t="s">
        <v>24</v>
      </c>
      <c r="D52" s="16">
        <v>45744</v>
      </c>
      <c r="E52" s="16">
        <v>45754</v>
      </c>
      <c r="F52" s="15" t="s">
        <v>367</v>
      </c>
      <c r="G52" s="15" t="s">
        <v>28</v>
      </c>
      <c r="H52" s="16">
        <v>28906</v>
      </c>
      <c r="I52" s="15" t="s">
        <v>59</v>
      </c>
      <c r="J52" s="15" t="s">
        <v>31</v>
      </c>
      <c r="K52" s="15" t="s">
        <v>32</v>
      </c>
      <c r="L52" s="15" t="s">
        <v>33</v>
      </c>
      <c r="M52" s="15">
        <v>7</v>
      </c>
      <c r="N52" s="15">
        <v>2200</v>
      </c>
      <c r="O52" s="15">
        <v>15</v>
      </c>
      <c r="P52" s="15">
        <v>13090</v>
      </c>
      <c r="Q52" s="15">
        <v>1</v>
      </c>
      <c r="R52" s="15" t="s">
        <v>88</v>
      </c>
      <c r="S52" s="15" t="s">
        <v>61</v>
      </c>
      <c r="T52" s="15" t="s">
        <v>62</v>
      </c>
      <c r="U52" s="18" t="s">
        <v>369</v>
      </c>
      <c r="V52" s="15" t="s">
        <v>38</v>
      </c>
      <c r="W52" s="15">
        <f t="shared" ca="1" si="0"/>
        <v>47</v>
      </c>
      <c r="X52" s="15">
        <f t="shared" si="1"/>
        <v>10</v>
      </c>
      <c r="Y52" s="15" t="str" cm="1">
        <f t="array" ref="Y52">_xlfn.IFS(ISERROR(X52), "Pending", X52&lt;=5, "On Time", X52&gt;5, "Delayed")</f>
        <v>Delayed</v>
      </c>
    </row>
    <row r="53" spans="1:25" x14ac:dyDescent="0.3">
      <c r="A53" s="19" t="s">
        <v>370</v>
      </c>
      <c r="B53" s="19" t="s">
        <v>100</v>
      </c>
      <c r="C53" s="19" t="s">
        <v>118</v>
      </c>
      <c r="D53" s="20">
        <v>45894</v>
      </c>
      <c r="E53" s="20">
        <v>45897</v>
      </c>
      <c r="F53" s="19" t="s">
        <v>103</v>
      </c>
      <c r="G53" s="19" t="s">
        <v>28</v>
      </c>
      <c r="H53" s="20">
        <v>36777</v>
      </c>
      <c r="I53" s="19" t="s">
        <v>212</v>
      </c>
      <c r="J53" s="19" t="s">
        <v>45</v>
      </c>
      <c r="K53" s="19" t="s">
        <v>122</v>
      </c>
      <c r="L53" s="19" t="s">
        <v>123</v>
      </c>
      <c r="M53" s="19">
        <v>8</v>
      </c>
      <c r="N53" s="19">
        <v>60</v>
      </c>
      <c r="O53" s="19">
        <v>10</v>
      </c>
      <c r="P53" s="19">
        <v>432</v>
      </c>
      <c r="Q53" s="19">
        <v>5</v>
      </c>
      <c r="R53" s="19" t="s">
        <v>79</v>
      </c>
      <c r="S53" s="19" t="s">
        <v>61</v>
      </c>
      <c r="T53" s="19" t="s">
        <v>144</v>
      </c>
      <c r="U53" s="21" t="s">
        <v>374</v>
      </c>
      <c r="V53" s="19" t="s">
        <v>69</v>
      </c>
      <c r="W53" s="19">
        <f t="shared" ca="1" si="0"/>
        <v>25</v>
      </c>
      <c r="X53" s="19">
        <f t="shared" si="1"/>
        <v>3</v>
      </c>
      <c r="Y53" s="19" t="str" cm="1">
        <f t="array" ref="Y53">_xlfn.IFS(ISERROR(X53), "Pending", X53&lt;=5, "On Time", X53&gt;5, "Delayed")</f>
        <v>On Time</v>
      </c>
    </row>
    <row r="54" spans="1:25" x14ac:dyDescent="0.3">
      <c r="A54" s="15" t="s">
        <v>375</v>
      </c>
      <c r="B54" s="15" t="s">
        <v>221</v>
      </c>
      <c r="C54" s="15" t="s">
        <v>54</v>
      </c>
      <c r="D54" s="16">
        <v>45888</v>
      </c>
      <c r="E54" s="16">
        <v>45892</v>
      </c>
      <c r="F54" s="15" t="s">
        <v>225</v>
      </c>
      <c r="G54" s="15" t="s">
        <v>76</v>
      </c>
      <c r="H54" s="16">
        <v>27776</v>
      </c>
      <c r="I54" s="15" t="s">
        <v>294</v>
      </c>
      <c r="J54" s="15" t="s">
        <v>295</v>
      </c>
      <c r="K54" s="15" t="s">
        <v>46</v>
      </c>
      <c r="L54" s="15" t="s">
        <v>60</v>
      </c>
      <c r="M54" s="15">
        <v>12</v>
      </c>
      <c r="N54" s="15">
        <v>55000</v>
      </c>
      <c r="O54" s="15">
        <v>5</v>
      </c>
      <c r="P54" s="15">
        <v>627000</v>
      </c>
      <c r="Q54" s="15">
        <v>2</v>
      </c>
      <c r="R54" s="15" t="s">
        <v>88</v>
      </c>
      <c r="S54" s="15" t="s">
        <v>49</v>
      </c>
      <c r="T54" s="15" t="s">
        <v>228</v>
      </c>
      <c r="U54" s="18" t="s">
        <v>379</v>
      </c>
      <c r="V54" s="15" t="s">
        <v>64</v>
      </c>
      <c r="W54" s="15">
        <f t="shared" ca="1" si="0"/>
        <v>50</v>
      </c>
      <c r="X54" s="15">
        <f t="shared" si="1"/>
        <v>4</v>
      </c>
      <c r="Y54" s="15" t="str" cm="1">
        <f t="array" ref="Y54">_xlfn.IFS(ISERROR(X54), "Pending", X54&lt;=5, "On Time", X54&gt;5, "Delayed")</f>
        <v>On Time</v>
      </c>
    </row>
    <row r="55" spans="1:25" x14ac:dyDescent="0.3">
      <c r="A55" s="19" t="s">
        <v>380</v>
      </c>
      <c r="B55" s="19" t="s">
        <v>23</v>
      </c>
      <c r="C55" s="19" t="s">
        <v>184</v>
      </c>
      <c r="D55" s="20">
        <v>45865</v>
      </c>
      <c r="E55" s="20">
        <v>45874</v>
      </c>
      <c r="F55" s="19" t="s">
        <v>27</v>
      </c>
      <c r="G55" s="19" t="s">
        <v>28</v>
      </c>
      <c r="H55" s="20">
        <v>27488</v>
      </c>
      <c r="I55" s="19" t="s">
        <v>212</v>
      </c>
      <c r="J55" s="19" t="s">
        <v>45</v>
      </c>
      <c r="K55" s="19" t="s">
        <v>46</v>
      </c>
      <c r="L55" s="19" t="s">
        <v>189</v>
      </c>
      <c r="M55" s="19">
        <v>3</v>
      </c>
      <c r="N55" s="19">
        <v>700</v>
      </c>
      <c r="O55" s="19">
        <v>0</v>
      </c>
      <c r="P55" s="19">
        <v>2100</v>
      </c>
      <c r="Q55" s="19">
        <v>3</v>
      </c>
      <c r="R55" s="19" t="s">
        <v>79</v>
      </c>
      <c r="S55" s="19" t="s">
        <v>151</v>
      </c>
      <c r="T55" s="19" t="s">
        <v>50</v>
      </c>
      <c r="U55" s="21" t="s">
        <v>384</v>
      </c>
      <c r="V55" s="19" t="s">
        <v>69</v>
      </c>
      <c r="W55" s="19">
        <f t="shared" ca="1" si="0"/>
        <v>51</v>
      </c>
      <c r="X55" s="19">
        <f t="shared" si="1"/>
        <v>9</v>
      </c>
      <c r="Y55" s="19" t="str" cm="1">
        <f t="array" ref="Y55">_xlfn.IFS(ISERROR(X55), "Pending", X55&lt;=5, "On Time", X55&gt;5, "Delayed")</f>
        <v>Delayed</v>
      </c>
    </row>
    <row r="56" spans="1:25" x14ac:dyDescent="0.3">
      <c r="A56" s="15" t="s">
        <v>385</v>
      </c>
      <c r="B56" s="15" t="s">
        <v>127</v>
      </c>
      <c r="C56" s="15" t="s">
        <v>118</v>
      </c>
      <c r="D56" s="16">
        <v>45709</v>
      </c>
      <c r="E56" s="16">
        <v>45714</v>
      </c>
      <c r="F56" s="15" t="s">
        <v>388</v>
      </c>
      <c r="G56" s="15" t="s">
        <v>76</v>
      </c>
      <c r="H56" s="16">
        <v>28076</v>
      </c>
      <c r="I56" s="15" t="s">
        <v>138</v>
      </c>
      <c r="J56" s="15" t="s">
        <v>106</v>
      </c>
      <c r="K56" s="15" t="s">
        <v>122</v>
      </c>
      <c r="L56" s="15" t="s">
        <v>123</v>
      </c>
      <c r="M56" s="15">
        <v>19</v>
      </c>
      <c r="N56" s="15">
        <v>60</v>
      </c>
      <c r="O56" s="15">
        <v>15</v>
      </c>
      <c r="P56" s="15">
        <v>969</v>
      </c>
      <c r="Q56" s="15">
        <v>4</v>
      </c>
      <c r="R56" s="15" t="s">
        <v>79</v>
      </c>
      <c r="S56" s="15" t="s">
        <v>49</v>
      </c>
      <c r="T56" s="15" t="s">
        <v>132</v>
      </c>
      <c r="U56" s="18" t="s">
        <v>390</v>
      </c>
      <c r="V56" s="15" t="s">
        <v>69</v>
      </c>
      <c r="W56" s="15">
        <f t="shared" ca="1" si="0"/>
        <v>49</v>
      </c>
      <c r="X56" s="15">
        <f t="shared" si="1"/>
        <v>5</v>
      </c>
      <c r="Y56" s="15" t="str" cm="1">
        <f t="array" ref="Y56">_xlfn.IFS(ISERROR(X56), "Pending", X56&lt;=5, "On Time", X56&gt;5, "Delayed")</f>
        <v>On Time</v>
      </c>
    </row>
    <row r="57" spans="1:25" x14ac:dyDescent="0.3">
      <c r="A57" s="19" t="s">
        <v>391</v>
      </c>
      <c r="B57" s="19" t="s">
        <v>327</v>
      </c>
      <c r="C57" s="19" t="s">
        <v>118</v>
      </c>
      <c r="D57" s="20">
        <v>45879</v>
      </c>
      <c r="E57" s="20">
        <v>45880</v>
      </c>
      <c r="F57" s="19" t="s">
        <v>394</v>
      </c>
      <c r="G57" s="19" t="s">
        <v>76</v>
      </c>
      <c r="H57" s="20">
        <v>28926</v>
      </c>
      <c r="I57" s="19" t="s">
        <v>212</v>
      </c>
      <c r="J57" s="19" t="s">
        <v>45</v>
      </c>
      <c r="K57" s="19" t="s">
        <v>122</v>
      </c>
      <c r="L57" s="19" t="s">
        <v>123</v>
      </c>
      <c r="M57" s="19">
        <v>9</v>
      </c>
      <c r="N57" s="19">
        <v>60</v>
      </c>
      <c r="O57" s="19">
        <v>20</v>
      </c>
      <c r="P57" s="19">
        <v>432</v>
      </c>
      <c r="Q57" s="19">
        <v>1</v>
      </c>
      <c r="R57" s="19" t="s">
        <v>48</v>
      </c>
      <c r="S57" s="19" t="s">
        <v>115</v>
      </c>
      <c r="T57" s="19" t="s">
        <v>332</v>
      </c>
      <c r="U57" s="21" t="s">
        <v>396</v>
      </c>
      <c r="V57" s="19" t="s">
        <v>64</v>
      </c>
      <c r="W57" s="19">
        <f t="shared" ca="1" si="0"/>
        <v>47</v>
      </c>
      <c r="X57" s="19">
        <f t="shared" si="1"/>
        <v>1</v>
      </c>
      <c r="Y57" s="19" t="str" cm="1">
        <f t="array" ref="Y57">_xlfn.IFS(ISERROR(X57), "Pending", X57&lt;=5, "On Time", X57&gt;5, "Delayed")</f>
        <v>On Time</v>
      </c>
    </row>
    <row r="58" spans="1:25" x14ac:dyDescent="0.3">
      <c r="A58" s="15" t="s">
        <v>397</v>
      </c>
      <c r="B58" s="15" t="s">
        <v>327</v>
      </c>
      <c r="C58" s="15" t="s">
        <v>184</v>
      </c>
      <c r="D58" s="16">
        <v>46105</v>
      </c>
      <c r="E58" s="16">
        <v>46111</v>
      </c>
      <c r="F58" s="15" t="s">
        <v>394</v>
      </c>
      <c r="G58" s="15" t="s">
        <v>76</v>
      </c>
      <c r="H58" s="16">
        <v>28851</v>
      </c>
      <c r="I58" s="15" t="s">
        <v>59</v>
      </c>
      <c r="J58" s="15" t="s">
        <v>31</v>
      </c>
      <c r="K58" s="15" t="s">
        <v>46</v>
      </c>
      <c r="L58" s="15" t="s">
        <v>189</v>
      </c>
      <c r="M58" s="15">
        <v>6</v>
      </c>
      <c r="N58" s="15">
        <v>700</v>
      </c>
      <c r="O58" s="15">
        <v>0</v>
      </c>
      <c r="P58" s="15">
        <v>4200</v>
      </c>
      <c r="Q58" s="15">
        <v>4</v>
      </c>
      <c r="R58" s="15" t="s">
        <v>88</v>
      </c>
      <c r="S58" s="15" t="s">
        <v>49</v>
      </c>
      <c r="T58" s="15" t="s">
        <v>401</v>
      </c>
      <c r="U58" s="18" t="s">
        <v>402</v>
      </c>
      <c r="V58" s="15" t="s">
        <v>69</v>
      </c>
      <c r="W58" s="15">
        <f t="shared" ca="1" si="0"/>
        <v>47</v>
      </c>
      <c r="X58" s="15">
        <f t="shared" si="1"/>
        <v>6</v>
      </c>
      <c r="Y58" s="15" t="str" cm="1">
        <f t="array" ref="Y58">_xlfn.IFS(ISERROR(X58), "Pending", X58&lt;=5, "On Time", X58&gt;5, "Delayed")</f>
        <v>Delayed</v>
      </c>
    </row>
    <row r="59" spans="1:25" x14ac:dyDescent="0.3">
      <c r="A59" s="19" t="s">
        <v>403</v>
      </c>
      <c r="B59" s="19" t="s">
        <v>127</v>
      </c>
      <c r="C59" s="19" t="s">
        <v>259</v>
      </c>
      <c r="D59" s="20">
        <v>46094</v>
      </c>
      <c r="E59" s="20">
        <v>46100</v>
      </c>
      <c r="F59" s="19" t="s">
        <v>200</v>
      </c>
      <c r="G59" s="19" t="s">
        <v>76</v>
      </c>
      <c r="H59" s="20">
        <v>27499</v>
      </c>
      <c r="I59" s="19" t="s">
        <v>44</v>
      </c>
      <c r="J59" s="19" t="s">
        <v>45</v>
      </c>
      <c r="K59" s="19" t="s">
        <v>122</v>
      </c>
      <c r="L59" s="19" t="s">
        <v>263</v>
      </c>
      <c r="M59" s="19">
        <v>18</v>
      </c>
      <c r="N59" s="19">
        <v>45</v>
      </c>
      <c r="O59" s="19">
        <v>5</v>
      </c>
      <c r="P59" s="19">
        <v>769.5</v>
      </c>
      <c r="Q59" s="19">
        <v>1</v>
      </c>
      <c r="R59" s="19" t="s">
        <v>79</v>
      </c>
      <c r="S59" s="19" t="s">
        <v>61</v>
      </c>
      <c r="T59" s="19" t="s">
        <v>132</v>
      </c>
      <c r="U59" s="21" t="s">
        <v>406</v>
      </c>
      <c r="V59" s="19" t="s">
        <v>64</v>
      </c>
      <c r="W59" s="19">
        <f t="shared" ca="1" si="0"/>
        <v>51</v>
      </c>
      <c r="X59" s="19">
        <f t="shared" si="1"/>
        <v>6</v>
      </c>
      <c r="Y59" s="19" t="str" cm="1">
        <f t="array" ref="Y59">_xlfn.IFS(ISERROR(X59), "Pending", X59&lt;=5, "On Time", X59&gt;5, "Delayed")</f>
        <v>Delayed</v>
      </c>
    </row>
    <row r="60" spans="1:25" x14ac:dyDescent="0.3">
      <c r="A60" s="15" t="s">
        <v>407</v>
      </c>
      <c r="B60" s="15" t="s">
        <v>83</v>
      </c>
      <c r="C60" s="15" t="s">
        <v>222</v>
      </c>
      <c r="D60" s="16">
        <v>45823</v>
      </c>
      <c r="E60" s="16">
        <v>45834</v>
      </c>
      <c r="F60" s="15" t="s">
        <v>180</v>
      </c>
      <c r="G60" s="15" t="s">
        <v>76</v>
      </c>
      <c r="H60" s="16">
        <v>32496</v>
      </c>
      <c r="I60" s="15" t="s">
        <v>212</v>
      </c>
      <c r="J60" s="15" t="s">
        <v>45</v>
      </c>
      <c r="K60" s="15" t="s">
        <v>122</v>
      </c>
      <c r="L60" s="15" t="s">
        <v>227</v>
      </c>
      <c r="M60" s="15">
        <v>8</v>
      </c>
      <c r="N60" s="15">
        <v>20</v>
      </c>
      <c r="O60" s="15">
        <v>5</v>
      </c>
      <c r="P60" s="15">
        <v>152</v>
      </c>
      <c r="Q60" s="15">
        <v>1</v>
      </c>
      <c r="R60" s="15" t="s">
        <v>79</v>
      </c>
      <c r="S60" s="15" t="s">
        <v>35</v>
      </c>
      <c r="T60" s="15" t="s">
        <v>89</v>
      </c>
      <c r="U60" s="18" t="s">
        <v>410</v>
      </c>
      <c r="V60" s="15" t="s">
        <v>411</v>
      </c>
      <c r="W60" s="15">
        <f t="shared" ca="1" si="0"/>
        <v>37</v>
      </c>
      <c r="X60" s="15">
        <f t="shared" si="1"/>
        <v>11</v>
      </c>
      <c r="Y60" s="15" t="str" cm="1">
        <f t="array" ref="Y60">_xlfn.IFS(ISERROR(X60), "Pending", X60&lt;=5, "On Time", X60&gt;5, "Delayed")</f>
        <v>Delayed</v>
      </c>
    </row>
    <row r="61" spans="1:25" x14ac:dyDescent="0.3">
      <c r="A61" s="19" t="s">
        <v>412</v>
      </c>
      <c r="B61" s="19" t="s">
        <v>221</v>
      </c>
      <c r="C61" s="19" t="s">
        <v>184</v>
      </c>
      <c r="D61" s="20">
        <v>45721</v>
      </c>
      <c r="E61" s="20">
        <v>45722</v>
      </c>
      <c r="F61" s="19" t="s">
        <v>225</v>
      </c>
      <c r="G61" s="19" t="s">
        <v>76</v>
      </c>
      <c r="H61" s="20">
        <v>29039</v>
      </c>
      <c r="I61" s="19" t="s">
        <v>212</v>
      </c>
      <c r="J61" s="19" t="s">
        <v>45</v>
      </c>
      <c r="K61" s="19" t="s">
        <v>46</v>
      </c>
      <c r="L61" s="19" t="s">
        <v>189</v>
      </c>
      <c r="M61" s="19">
        <v>8</v>
      </c>
      <c r="N61" s="19">
        <v>700</v>
      </c>
      <c r="O61" s="19">
        <v>10</v>
      </c>
      <c r="P61" s="19">
        <v>5040</v>
      </c>
      <c r="Q61" s="19">
        <v>1</v>
      </c>
      <c r="R61" s="19" t="s">
        <v>48</v>
      </c>
      <c r="S61" s="19" t="s">
        <v>61</v>
      </c>
      <c r="T61" s="22" t="s">
        <v>416</v>
      </c>
      <c r="U61" s="21" t="s">
        <v>417</v>
      </c>
      <c r="V61" s="19" t="s">
        <v>69</v>
      </c>
      <c r="W61" s="19">
        <f t="shared" ca="1" si="0"/>
        <v>47</v>
      </c>
      <c r="X61" s="19">
        <f t="shared" si="1"/>
        <v>1</v>
      </c>
      <c r="Y61" s="19" t="str" cm="1">
        <f t="array" ref="Y61">_xlfn.IFS(ISERROR(X61), "Pending", X61&lt;=5, "On Time", X61&gt;5, "Delayed")</f>
        <v>On Time</v>
      </c>
    </row>
    <row r="62" spans="1:25" x14ac:dyDescent="0.3">
      <c r="A62" s="15" t="s">
        <v>418</v>
      </c>
      <c r="B62" s="15" t="s">
        <v>23</v>
      </c>
      <c r="C62" s="15" t="s">
        <v>222</v>
      </c>
      <c r="D62" s="16">
        <v>46121</v>
      </c>
      <c r="E62" s="16">
        <v>46131</v>
      </c>
      <c r="F62" s="15" t="s">
        <v>27</v>
      </c>
      <c r="G62" s="15" t="s">
        <v>28</v>
      </c>
      <c r="H62" s="16">
        <v>37972</v>
      </c>
      <c r="I62" s="15" t="s">
        <v>44</v>
      </c>
      <c r="J62" s="15" t="s">
        <v>45</v>
      </c>
      <c r="K62" s="15" t="s">
        <v>122</v>
      </c>
      <c r="L62" s="15" t="s">
        <v>227</v>
      </c>
      <c r="M62" s="15">
        <v>7</v>
      </c>
      <c r="N62" s="15">
        <v>20</v>
      </c>
      <c r="O62" s="15">
        <v>15</v>
      </c>
      <c r="P62" s="15">
        <v>119</v>
      </c>
      <c r="Q62" s="15">
        <v>5</v>
      </c>
      <c r="R62" s="15" t="s">
        <v>79</v>
      </c>
      <c r="S62" s="15" t="s">
        <v>49</v>
      </c>
      <c r="T62" s="15" t="s">
        <v>50</v>
      </c>
      <c r="U62" s="18" t="s">
        <v>420</v>
      </c>
      <c r="V62" s="15" t="s">
        <v>38</v>
      </c>
      <c r="W62" s="15">
        <f t="shared" ca="1" si="0"/>
        <v>22</v>
      </c>
      <c r="X62" s="15">
        <f t="shared" si="1"/>
        <v>10</v>
      </c>
      <c r="Y62" s="15" t="str" cm="1">
        <f t="array" ref="Y62">_xlfn.IFS(ISERROR(X62), "Pending", X62&lt;=5, "On Time", X62&gt;5, "Delayed")</f>
        <v>Delayed</v>
      </c>
    </row>
    <row r="63" spans="1:25" x14ac:dyDescent="0.3">
      <c r="A63" s="19" t="s">
        <v>421</v>
      </c>
      <c r="B63" s="19" t="s">
        <v>100</v>
      </c>
      <c r="C63" s="19" t="s">
        <v>222</v>
      </c>
      <c r="D63" s="20">
        <v>45885</v>
      </c>
      <c r="E63" s="20">
        <v>45894</v>
      </c>
      <c r="F63" s="19" t="s">
        <v>103</v>
      </c>
      <c r="G63" s="19" t="s">
        <v>28</v>
      </c>
      <c r="H63" s="20">
        <v>30806</v>
      </c>
      <c r="I63" s="19" t="s">
        <v>114</v>
      </c>
      <c r="J63" s="19" t="s">
        <v>106</v>
      </c>
      <c r="K63" s="19" t="s">
        <v>122</v>
      </c>
      <c r="L63" s="19" t="s">
        <v>227</v>
      </c>
      <c r="M63" s="19">
        <v>16</v>
      </c>
      <c r="N63" s="19">
        <v>20</v>
      </c>
      <c r="O63" s="19">
        <v>0</v>
      </c>
      <c r="P63" s="19">
        <v>320</v>
      </c>
      <c r="Q63" s="19">
        <v>5</v>
      </c>
      <c r="R63" s="19" t="s">
        <v>48</v>
      </c>
      <c r="S63" s="19" t="s">
        <v>61</v>
      </c>
      <c r="T63" s="19" t="s">
        <v>144</v>
      </c>
      <c r="U63" s="21" t="s">
        <v>424</v>
      </c>
      <c r="V63" s="19" t="s">
        <v>64</v>
      </c>
      <c r="W63" s="19">
        <f t="shared" ca="1" si="0"/>
        <v>42</v>
      </c>
      <c r="X63" s="19">
        <f t="shared" si="1"/>
        <v>9</v>
      </c>
      <c r="Y63" s="19" t="str" cm="1">
        <f t="array" ref="Y63">_xlfn.IFS(ISERROR(X63), "Pending", X63&lt;=5, "On Time", X63&gt;5, "Delayed")</f>
        <v>Delayed</v>
      </c>
    </row>
    <row r="64" spans="1:25" x14ac:dyDescent="0.3">
      <c r="A64" s="15" t="s">
        <v>425</v>
      </c>
      <c r="B64" s="15" t="s">
        <v>53</v>
      </c>
      <c r="C64" s="15" t="s">
        <v>259</v>
      </c>
      <c r="D64" s="16">
        <v>46155</v>
      </c>
      <c r="E64" s="16">
        <v>46162</v>
      </c>
      <c r="F64" s="15" t="s">
        <v>163</v>
      </c>
      <c r="G64" s="15" t="s">
        <v>28</v>
      </c>
      <c r="H64" s="16">
        <v>35168</v>
      </c>
      <c r="I64" s="15" t="s">
        <v>105</v>
      </c>
      <c r="J64" s="15" t="s">
        <v>106</v>
      </c>
      <c r="K64" s="15" t="s">
        <v>122</v>
      </c>
      <c r="L64" s="15" t="s">
        <v>263</v>
      </c>
      <c r="M64" s="15">
        <v>15</v>
      </c>
      <c r="N64" s="15">
        <v>45</v>
      </c>
      <c r="O64" s="15">
        <v>0</v>
      </c>
      <c r="P64" s="15">
        <v>675</v>
      </c>
      <c r="Q64" s="15">
        <v>4</v>
      </c>
      <c r="R64" s="15" t="s">
        <v>34</v>
      </c>
      <c r="S64" s="15" t="s">
        <v>61</v>
      </c>
      <c r="T64" s="15" t="s">
        <v>62</v>
      </c>
      <c r="U64" s="18" t="s">
        <v>429</v>
      </c>
      <c r="V64" s="15" t="s">
        <v>69</v>
      </c>
      <c r="W64" s="15">
        <f t="shared" ca="1" si="0"/>
        <v>30</v>
      </c>
      <c r="X64" s="15">
        <f t="shared" si="1"/>
        <v>7</v>
      </c>
      <c r="Y64" s="15" t="str" cm="1">
        <f t="array" ref="Y64">_xlfn.IFS(ISERROR(X64), "Pending", X64&lt;=5, "On Time", X64&gt;5, "Delayed")</f>
        <v>Delayed</v>
      </c>
    </row>
    <row r="65" spans="1:25" x14ac:dyDescent="0.3">
      <c r="A65" s="19" t="s">
        <v>430</v>
      </c>
      <c r="B65" s="19" t="s">
        <v>251</v>
      </c>
      <c r="C65" s="19" t="s">
        <v>184</v>
      </c>
      <c r="D65" s="20">
        <v>45717</v>
      </c>
      <c r="E65" s="20">
        <v>45721</v>
      </c>
      <c r="F65" s="19" t="s">
        <v>254</v>
      </c>
      <c r="G65" s="19" t="s">
        <v>28</v>
      </c>
      <c r="H65" s="20">
        <v>37842</v>
      </c>
      <c r="I65" s="19" t="s">
        <v>138</v>
      </c>
      <c r="J65" s="19" t="s">
        <v>106</v>
      </c>
      <c r="K65" s="19" t="s">
        <v>46</v>
      </c>
      <c r="L65" s="19" t="s">
        <v>189</v>
      </c>
      <c r="M65" s="19">
        <v>15</v>
      </c>
      <c r="N65" s="19">
        <v>700</v>
      </c>
      <c r="O65" s="19">
        <v>10</v>
      </c>
      <c r="P65" s="19">
        <v>9450</v>
      </c>
      <c r="Q65" s="19">
        <v>3</v>
      </c>
      <c r="R65" s="19" t="s">
        <v>48</v>
      </c>
      <c r="S65" s="19" t="s">
        <v>151</v>
      </c>
      <c r="T65" s="19" t="s">
        <v>256</v>
      </c>
      <c r="U65" s="21" t="s">
        <v>433</v>
      </c>
      <c r="V65" s="19" t="s">
        <v>38</v>
      </c>
      <c r="W65" s="19">
        <f t="shared" ca="1" si="0"/>
        <v>23</v>
      </c>
      <c r="X65" s="19">
        <f t="shared" si="1"/>
        <v>4</v>
      </c>
      <c r="Y65" s="19" t="str" cm="1">
        <f t="array" ref="Y65">_xlfn.IFS(ISERROR(X65), "Pending", X65&lt;=5, "On Time", X65&gt;5, "Delayed")</f>
        <v>On Time</v>
      </c>
    </row>
    <row r="66" spans="1:25" x14ac:dyDescent="0.3">
      <c r="A66" s="15" t="s">
        <v>434</v>
      </c>
      <c r="B66" s="15" t="s">
        <v>53</v>
      </c>
      <c r="C66" s="15" t="s">
        <v>259</v>
      </c>
      <c r="D66" s="16">
        <v>45697</v>
      </c>
      <c r="E66" s="16">
        <v>45700</v>
      </c>
      <c r="F66" s="15" t="s">
        <v>163</v>
      </c>
      <c r="G66" s="15" t="s">
        <v>28</v>
      </c>
      <c r="H66" s="16">
        <v>33871</v>
      </c>
      <c r="I66" s="15" t="s">
        <v>294</v>
      </c>
      <c r="J66" s="15" t="s">
        <v>295</v>
      </c>
      <c r="K66" s="15" t="s">
        <v>122</v>
      </c>
      <c r="L66" s="15" t="s">
        <v>263</v>
      </c>
      <c r="M66" s="15">
        <v>3</v>
      </c>
      <c r="N66" s="15">
        <v>45</v>
      </c>
      <c r="O66" s="15">
        <v>15</v>
      </c>
      <c r="P66" s="15">
        <v>114.75</v>
      </c>
      <c r="Q66" s="15">
        <v>2</v>
      </c>
      <c r="R66" s="15" t="s">
        <v>88</v>
      </c>
      <c r="S66" s="15" t="s">
        <v>115</v>
      </c>
      <c r="T66" s="15" t="s">
        <v>62</v>
      </c>
      <c r="U66" s="18" t="s">
        <v>438</v>
      </c>
      <c r="V66" s="15" t="s">
        <v>64</v>
      </c>
      <c r="W66" s="15">
        <f t="shared" ca="1" si="0"/>
        <v>33</v>
      </c>
      <c r="X66" s="15">
        <f t="shared" si="1"/>
        <v>3</v>
      </c>
      <c r="Y66" s="15" t="str" cm="1">
        <f t="array" ref="Y66">_xlfn.IFS(ISERROR(X66), "Pending", X66&lt;=5, "On Time", X66&gt;5, "Delayed")</f>
        <v>On Time</v>
      </c>
    </row>
    <row r="67" spans="1:25" x14ac:dyDescent="0.3">
      <c r="A67" s="19" t="s">
        <v>439</v>
      </c>
      <c r="B67" s="19" t="s">
        <v>100</v>
      </c>
      <c r="C67" s="19" t="s">
        <v>24</v>
      </c>
      <c r="D67" s="20">
        <v>46031</v>
      </c>
      <c r="E67" s="20">
        <v>46032</v>
      </c>
      <c r="F67" s="19" t="s">
        <v>103</v>
      </c>
      <c r="G67" s="19" t="s">
        <v>28</v>
      </c>
      <c r="H67" s="20">
        <v>31674</v>
      </c>
      <c r="I67" s="19" t="s">
        <v>294</v>
      </c>
      <c r="J67" s="19" t="s">
        <v>295</v>
      </c>
      <c r="K67" s="19" t="s">
        <v>32</v>
      </c>
      <c r="L67" s="19" t="s">
        <v>33</v>
      </c>
      <c r="M67" s="19">
        <v>7</v>
      </c>
      <c r="N67" s="19">
        <v>2200</v>
      </c>
      <c r="O67" s="19">
        <v>15</v>
      </c>
      <c r="P67" s="19">
        <v>13090</v>
      </c>
      <c r="Q67" s="19">
        <v>5</v>
      </c>
      <c r="R67" s="19" t="s">
        <v>88</v>
      </c>
      <c r="S67" s="19" t="s">
        <v>115</v>
      </c>
      <c r="T67" s="19" t="s">
        <v>144</v>
      </c>
      <c r="U67" s="21" t="s">
        <v>443</v>
      </c>
      <c r="V67" s="19" t="s">
        <v>38</v>
      </c>
      <c r="W67" s="19">
        <f t="shared" ref="W67:W130" ca="1" si="2">DATEDIF(H67,TODAY(),"Y")</f>
        <v>39</v>
      </c>
      <c r="X67" s="19">
        <f t="shared" ref="X67:X130" si="3">DATEDIF(D67,E67,"D")</f>
        <v>1</v>
      </c>
      <c r="Y67" s="19" t="str" cm="1">
        <f t="array" ref="Y67">_xlfn.IFS(ISERROR(X67), "Pending", X67&lt;=5, "On Time", X67&gt;5, "Delayed")</f>
        <v>On Time</v>
      </c>
    </row>
    <row r="68" spans="1:25" x14ac:dyDescent="0.3">
      <c r="A68" s="15" t="s">
        <v>444</v>
      </c>
      <c r="B68" s="15" t="s">
        <v>23</v>
      </c>
      <c r="C68" s="15" t="s">
        <v>259</v>
      </c>
      <c r="D68" s="16">
        <v>45901</v>
      </c>
      <c r="E68" s="16">
        <v>45905</v>
      </c>
      <c r="F68" s="15" t="s">
        <v>27</v>
      </c>
      <c r="G68" s="15" t="s">
        <v>28</v>
      </c>
      <c r="H68" s="16">
        <v>31195</v>
      </c>
      <c r="I68" s="15" t="s">
        <v>44</v>
      </c>
      <c r="J68" s="15" t="s">
        <v>45</v>
      </c>
      <c r="K68" s="15" t="s">
        <v>122</v>
      </c>
      <c r="L68" s="15" t="s">
        <v>263</v>
      </c>
      <c r="M68" s="15">
        <v>19</v>
      </c>
      <c r="N68" s="15">
        <v>45</v>
      </c>
      <c r="O68" s="15">
        <v>10</v>
      </c>
      <c r="P68" s="15">
        <v>769.5</v>
      </c>
      <c r="Q68" s="15">
        <v>5</v>
      </c>
      <c r="R68" s="15" t="s">
        <v>79</v>
      </c>
      <c r="S68" s="15" t="s">
        <v>115</v>
      </c>
      <c r="T68" s="15" t="s">
        <v>50</v>
      </c>
      <c r="U68" s="18" t="s">
        <v>448</v>
      </c>
      <c r="V68" s="15" t="s">
        <v>69</v>
      </c>
      <c r="W68" s="15">
        <f t="shared" ca="1" si="2"/>
        <v>41</v>
      </c>
      <c r="X68" s="15">
        <f t="shared" si="3"/>
        <v>4</v>
      </c>
      <c r="Y68" s="15" t="str" cm="1">
        <f t="array" ref="Y68">_xlfn.IFS(ISERROR(X68), "Pending", X68&lt;=5, "On Time", X68&gt;5, "Delayed")</f>
        <v>On Time</v>
      </c>
    </row>
    <row r="69" spans="1:25" x14ac:dyDescent="0.3">
      <c r="A69" s="19" t="s">
        <v>449</v>
      </c>
      <c r="B69" s="19" t="s">
        <v>251</v>
      </c>
      <c r="C69" s="19" t="s">
        <v>92</v>
      </c>
      <c r="D69" s="20">
        <v>46062</v>
      </c>
      <c r="E69" s="20">
        <v>46067</v>
      </c>
      <c r="F69" s="19" t="s">
        <v>254</v>
      </c>
      <c r="G69" s="19" t="s">
        <v>28</v>
      </c>
      <c r="H69" s="20">
        <v>29094</v>
      </c>
      <c r="I69" s="19" t="s">
        <v>30</v>
      </c>
      <c r="J69" s="19" t="s">
        <v>31</v>
      </c>
      <c r="K69" s="19" t="s">
        <v>32</v>
      </c>
      <c r="L69" s="19" t="s">
        <v>97</v>
      </c>
      <c r="M69" s="19">
        <v>7</v>
      </c>
      <c r="N69" s="19">
        <v>3500</v>
      </c>
      <c r="O69" s="19">
        <v>15</v>
      </c>
      <c r="P69" s="19">
        <v>20825</v>
      </c>
      <c r="Q69" s="19">
        <v>1</v>
      </c>
      <c r="R69" s="19" t="s">
        <v>34</v>
      </c>
      <c r="S69" s="19" t="s">
        <v>151</v>
      </c>
      <c r="T69" s="19" t="s">
        <v>256</v>
      </c>
      <c r="U69" s="21" t="s">
        <v>452</v>
      </c>
      <c r="V69" s="19" t="s">
        <v>64</v>
      </c>
      <c r="W69" s="19">
        <f t="shared" ca="1" si="2"/>
        <v>47</v>
      </c>
      <c r="X69" s="19">
        <f t="shared" si="3"/>
        <v>5</v>
      </c>
      <c r="Y69" s="19" t="str" cm="1">
        <f t="array" ref="Y69">_xlfn.IFS(ISERROR(X69), "Pending", X69&lt;=5, "On Time", X69&gt;5, "Delayed")</f>
        <v>On Time</v>
      </c>
    </row>
    <row r="70" spans="1:25" x14ac:dyDescent="0.3">
      <c r="A70" s="15" t="s">
        <v>453</v>
      </c>
      <c r="B70" s="15" t="s">
        <v>53</v>
      </c>
      <c r="C70" s="15" t="s">
        <v>169</v>
      </c>
      <c r="D70" s="16">
        <v>46005</v>
      </c>
      <c r="E70" s="16">
        <v>46010</v>
      </c>
      <c r="F70" s="15" t="s">
        <v>163</v>
      </c>
      <c r="G70" s="15" t="s">
        <v>28</v>
      </c>
      <c r="H70" s="16">
        <v>28116</v>
      </c>
      <c r="I70" s="15" t="s">
        <v>212</v>
      </c>
      <c r="J70" s="15" t="s">
        <v>45</v>
      </c>
      <c r="K70" s="15" t="s">
        <v>32</v>
      </c>
      <c r="L70" s="15" t="s">
        <v>174</v>
      </c>
      <c r="M70" s="15">
        <v>7</v>
      </c>
      <c r="N70" s="15">
        <v>8500</v>
      </c>
      <c r="O70" s="15">
        <v>20</v>
      </c>
      <c r="P70" s="15">
        <v>47600</v>
      </c>
      <c r="Q70" s="15">
        <v>4</v>
      </c>
      <c r="R70" s="15" t="s">
        <v>48</v>
      </c>
      <c r="S70" s="15" t="s">
        <v>115</v>
      </c>
      <c r="T70" s="15" t="s">
        <v>62</v>
      </c>
      <c r="U70" s="18" t="s">
        <v>457</v>
      </c>
      <c r="V70" s="15" t="s">
        <v>38</v>
      </c>
      <c r="W70" s="15">
        <f t="shared" ca="1" si="2"/>
        <v>49</v>
      </c>
      <c r="X70" s="15">
        <f t="shared" si="3"/>
        <v>5</v>
      </c>
      <c r="Y70" s="15" t="str" cm="1">
        <f t="array" ref="Y70">_xlfn.IFS(ISERROR(X70), "Pending", X70&lt;=5, "On Time", X70&gt;5, "Delayed")</f>
        <v>On Time</v>
      </c>
    </row>
    <row r="71" spans="1:25" x14ac:dyDescent="0.3">
      <c r="A71" s="19" t="s">
        <v>458</v>
      </c>
      <c r="B71" s="19" t="s">
        <v>23</v>
      </c>
      <c r="C71" s="19" t="s">
        <v>54</v>
      </c>
      <c r="D71" s="20">
        <v>45754</v>
      </c>
      <c r="E71" s="20">
        <v>45757</v>
      </c>
      <c r="F71" s="19" t="s">
        <v>27</v>
      </c>
      <c r="G71" s="19" t="s">
        <v>28</v>
      </c>
      <c r="H71" s="20">
        <v>36648</v>
      </c>
      <c r="I71" s="19" t="s">
        <v>59</v>
      </c>
      <c r="J71" s="19" t="s">
        <v>31</v>
      </c>
      <c r="K71" s="19" t="s">
        <v>46</v>
      </c>
      <c r="L71" s="19" t="s">
        <v>60</v>
      </c>
      <c r="M71" s="19">
        <v>16</v>
      </c>
      <c r="N71" s="19">
        <v>55000</v>
      </c>
      <c r="O71" s="19">
        <v>10</v>
      </c>
      <c r="P71" s="19">
        <v>792000</v>
      </c>
      <c r="Q71" s="19">
        <v>1</v>
      </c>
      <c r="R71" s="19" t="s">
        <v>79</v>
      </c>
      <c r="S71" s="19" t="s">
        <v>61</v>
      </c>
      <c r="T71" s="19" t="s">
        <v>50</v>
      </c>
      <c r="U71" s="21" t="s">
        <v>461</v>
      </c>
      <c r="V71" s="19" t="s">
        <v>38</v>
      </c>
      <c r="W71" s="19">
        <f t="shared" ca="1" si="2"/>
        <v>26</v>
      </c>
      <c r="X71" s="19">
        <f t="shared" si="3"/>
        <v>3</v>
      </c>
      <c r="Y71" s="19" t="str" cm="1">
        <f t="array" ref="Y71">_xlfn.IFS(ISERROR(X71), "Pending", X71&lt;=5, "On Time", X71&gt;5, "Delayed")</f>
        <v>On Time</v>
      </c>
    </row>
    <row r="72" spans="1:25" x14ac:dyDescent="0.3">
      <c r="A72" s="15" t="s">
        <v>462</v>
      </c>
      <c r="B72" s="15" t="s">
        <v>168</v>
      </c>
      <c r="C72" s="15" t="s">
        <v>40</v>
      </c>
      <c r="D72" s="16">
        <v>46015</v>
      </c>
      <c r="E72" s="16">
        <v>46025</v>
      </c>
      <c r="F72" s="15" t="s">
        <v>361</v>
      </c>
      <c r="G72" s="15" t="s">
        <v>28</v>
      </c>
      <c r="H72" s="16">
        <v>31832</v>
      </c>
      <c r="I72" s="15" t="s">
        <v>105</v>
      </c>
      <c r="J72" s="15" t="s">
        <v>106</v>
      </c>
      <c r="K72" s="15" t="s">
        <v>46</v>
      </c>
      <c r="L72" s="15" t="s">
        <v>47</v>
      </c>
      <c r="M72" s="15">
        <v>2</v>
      </c>
      <c r="N72" s="15">
        <v>12000</v>
      </c>
      <c r="O72" s="15">
        <v>20</v>
      </c>
      <c r="P72" s="15">
        <v>19200</v>
      </c>
      <c r="Q72" s="15">
        <v>1</v>
      </c>
      <c r="R72" s="15" t="s">
        <v>34</v>
      </c>
      <c r="S72" s="15" t="s">
        <v>151</v>
      </c>
      <c r="T72" s="17" t="s">
        <v>466</v>
      </c>
      <c r="U72" s="18" t="s">
        <v>467</v>
      </c>
      <c r="V72" s="15" t="s">
        <v>64</v>
      </c>
      <c r="W72" s="15">
        <f t="shared" ca="1" si="2"/>
        <v>39</v>
      </c>
      <c r="X72" s="15">
        <f t="shared" si="3"/>
        <v>10</v>
      </c>
      <c r="Y72" s="15" t="str" cm="1">
        <f t="array" ref="Y72">_xlfn.IFS(ISERROR(X72), "Pending", X72&lt;=5, "On Time", X72&gt;5, "Delayed")</f>
        <v>Delayed</v>
      </c>
    </row>
    <row r="73" spans="1:25" x14ac:dyDescent="0.3">
      <c r="A73" s="19" t="s">
        <v>468</v>
      </c>
      <c r="B73" s="19" t="s">
        <v>127</v>
      </c>
      <c r="C73" s="19" t="s">
        <v>259</v>
      </c>
      <c r="D73" s="20">
        <v>45899</v>
      </c>
      <c r="E73" s="20">
        <v>45905</v>
      </c>
      <c r="F73" s="19" t="s">
        <v>200</v>
      </c>
      <c r="G73" s="19" t="s">
        <v>76</v>
      </c>
      <c r="H73" s="20">
        <v>30887</v>
      </c>
      <c r="I73" s="19" t="s">
        <v>59</v>
      </c>
      <c r="J73" s="19" t="s">
        <v>31</v>
      </c>
      <c r="K73" s="19" t="s">
        <v>122</v>
      </c>
      <c r="L73" s="19" t="s">
        <v>263</v>
      </c>
      <c r="M73" s="19">
        <v>4</v>
      </c>
      <c r="N73" s="19">
        <v>45</v>
      </c>
      <c r="O73" s="19">
        <v>5</v>
      </c>
      <c r="P73" s="19">
        <v>171</v>
      </c>
      <c r="Q73" s="19">
        <v>1</v>
      </c>
      <c r="R73" s="19" t="s">
        <v>79</v>
      </c>
      <c r="S73" s="19" t="s">
        <v>49</v>
      </c>
      <c r="T73" s="19" t="s">
        <v>132</v>
      </c>
      <c r="U73" s="21" t="s">
        <v>471</v>
      </c>
      <c r="V73" s="19" t="s">
        <v>64</v>
      </c>
      <c r="W73" s="19">
        <f t="shared" ca="1" si="2"/>
        <v>42</v>
      </c>
      <c r="X73" s="19">
        <f t="shared" si="3"/>
        <v>6</v>
      </c>
      <c r="Y73" s="19" t="str" cm="1">
        <f t="array" ref="Y73">_xlfn.IFS(ISERROR(X73), "Pending", X73&lt;=5, "On Time", X73&gt;5, "Delayed")</f>
        <v>Delayed</v>
      </c>
    </row>
    <row r="74" spans="1:25" x14ac:dyDescent="0.3">
      <c r="A74" s="15" t="s">
        <v>472</v>
      </c>
      <c r="B74" s="15" t="s">
        <v>23</v>
      </c>
      <c r="C74" s="15" t="s">
        <v>72</v>
      </c>
      <c r="D74" s="16">
        <v>46004</v>
      </c>
      <c r="E74" s="16">
        <v>46014</v>
      </c>
      <c r="F74" s="15" t="s">
        <v>27</v>
      </c>
      <c r="G74" s="15" t="s">
        <v>28</v>
      </c>
      <c r="H74" s="16">
        <v>29851</v>
      </c>
      <c r="I74" s="15" t="s">
        <v>212</v>
      </c>
      <c r="J74" s="15" t="s">
        <v>45</v>
      </c>
      <c r="K74" s="15" t="s">
        <v>46</v>
      </c>
      <c r="L74" s="15" t="s">
        <v>78</v>
      </c>
      <c r="M74" s="15">
        <v>1</v>
      </c>
      <c r="N74" s="15">
        <v>1200</v>
      </c>
      <c r="O74" s="15">
        <v>5</v>
      </c>
      <c r="P74" s="15">
        <v>1140</v>
      </c>
      <c r="Q74" s="15">
        <v>3</v>
      </c>
      <c r="R74" s="15" t="s">
        <v>88</v>
      </c>
      <c r="S74" s="15" t="s">
        <v>61</v>
      </c>
      <c r="T74" s="15" t="s">
        <v>50</v>
      </c>
      <c r="U74" s="18" t="s">
        <v>476</v>
      </c>
      <c r="V74" s="15" t="s">
        <v>69</v>
      </c>
      <c r="W74" s="15">
        <f t="shared" ca="1" si="2"/>
        <v>44</v>
      </c>
      <c r="X74" s="15">
        <f t="shared" si="3"/>
        <v>10</v>
      </c>
      <c r="Y74" s="15" t="str" cm="1">
        <f t="array" ref="Y74">_xlfn.IFS(ISERROR(X74), "Pending", X74&lt;=5, "On Time", X74&gt;5, "Delayed")</f>
        <v>Delayed</v>
      </c>
    </row>
    <row r="75" spans="1:25" x14ac:dyDescent="0.3">
      <c r="A75" s="19" t="s">
        <v>477</v>
      </c>
      <c r="B75" s="19" t="s">
        <v>53</v>
      </c>
      <c r="C75" s="19" t="s">
        <v>24</v>
      </c>
      <c r="D75" s="20">
        <v>46057</v>
      </c>
      <c r="E75" s="20">
        <v>46069</v>
      </c>
      <c r="F75" s="19" t="s">
        <v>163</v>
      </c>
      <c r="G75" s="19" t="s">
        <v>28</v>
      </c>
      <c r="H75" s="20">
        <v>29392</v>
      </c>
      <c r="I75" s="19"/>
      <c r="J75" s="19" t="s">
        <v>31</v>
      </c>
      <c r="K75" s="19" t="s">
        <v>32</v>
      </c>
      <c r="L75" s="19" t="s">
        <v>33</v>
      </c>
      <c r="M75" s="19">
        <v>1</v>
      </c>
      <c r="N75" s="19">
        <v>2200</v>
      </c>
      <c r="O75" s="19">
        <v>15</v>
      </c>
      <c r="P75" s="19">
        <v>1870</v>
      </c>
      <c r="Q75" s="19">
        <v>4</v>
      </c>
      <c r="R75" s="19" t="s">
        <v>79</v>
      </c>
      <c r="S75" s="19" t="s">
        <v>61</v>
      </c>
      <c r="T75" s="19" t="s">
        <v>62</v>
      </c>
      <c r="U75" s="21" t="s">
        <v>481</v>
      </c>
      <c r="V75" s="19" t="s">
        <v>38</v>
      </c>
      <c r="W75" s="19">
        <f t="shared" ca="1" si="2"/>
        <v>46</v>
      </c>
      <c r="X75" s="19">
        <f t="shared" si="3"/>
        <v>12</v>
      </c>
      <c r="Y75" s="19" t="str" cm="1">
        <f t="array" ref="Y75">_xlfn.IFS(ISERROR(X75), "Pending", X75&lt;=5, "On Time", X75&gt;5, "Delayed")</f>
        <v>Delayed</v>
      </c>
    </row>
    <row r="76" spans="1:25" x14ac:dyDescent="0.3">
      <c r="A76" s="15" t="s">
        <v>482</v>
      </c>
      <c r="B76" s="15" t="s">
        <v>127</v>
      </c>
      <c r="C76" s="15" t="s">
        <v>72</v>
      </c>
      <c r="D76" s="16">
        <v>46048</v>
      </c>
      <c r="E76" s="16">
        <v>46050</v>
      </c>
      <c r="F76" s="15" t="s">
        <v>200</v>
      </c>
      <c r="G76" s="15" t="s">
        <v>76</v>
      </c>
      <c r="H76" s="16">
        <v>29993</v>
      </c>
      <c r="I76" s="15" t="s">
        <v>114</v>
      </c>
      <c r="J76" s="15" t="s">
        <v>106</v>
      </c>
      <c r="K76" s="15" t="s">
        <v>46</v>
      </c>
      <c r="L76" s="15" t="s">
        <v>78</v>
      </c>
      <c r="M76" s="15">
        <v>3</v>
      </c>
      <c r="N76" s="15">
        <v>1200</v>
      </c>
      <c r="O76" s="15">
        <v>10</v>
      </c>
      <c r="P76" s="15">
        <v>3240</v>
      </c>
      <c r="Q76" s="15">
        <v>5</v>
      </c>
      <c r="R76" s="15" t="s">
        <v>34</v>
      </c>
      <c r="S76" s="15" t="s">
        <v>49</v>
      </c>
      <c r="T76" s="15" t="s">
        <v>132</v>
      </c>
      <c r="U76" s="18" t="s">
        <v>486</v>
      </c>
      <c r="V76" s="15" t="s">
        <v>38</v>
      </c>
      <c r="W76" s="15">
        <f t="shared" ca="1" si="2"/>
        <v>44</v>
      </c>
      <c r="X76" s="15">
        <f t="shared" si="3"/>
        <v>2</v>
      </c>
      <c r="Y76" s="15" t="str" cm="1">
        <f t="array" ref="Y76">_xlfn.IFS(ISERROR(X76), "Pending", X76&lt;=5, "On Time", X76&gt;5, "Delayed")</f>
        <v>On Time</v>
      </c>
    </row>
    <row r="77" spans="1:25" x14ac:dyDescent="0.3">
      <c r="A77" s="19" t="s">
        <v>487</v>
      </c>
      <c r="B77" s="19" t="s">
        <v>23</v>
      </c>
      <c r="C77" s="19" t="s">
        <v>92</v>
      </c>
      <c r="D77" s="20">
        <v>45835</v>
      </c>
      <c r="E77" s="20">
        <v>45845</v>
      </c>
      <c r="F77" s="19" t="s">
        <v>27</v>
      </c>
      <c r="G77" s="19" t="s">
        <v>28</v>
      </c>
      <c r="H77" s="20">
        <v>29495</v>
      </c>
      <c r="I77" s="19" t="s">
        <v>59</v>
      </c>
      <c r="J77" s="19" t="s">
        <v>31</v>
      </c>
      <c r="K77" s="19" t="s">
        <v>32</v>
      </c>
      <c r="L77" s="19" t="s">
        <v>97</v>
      </c>
      <c r="M77" s="19">
        <v>10</v>
      </c>
      <c r="N77" s="19">
        <v>3500</v>
      </c>
      <c r="O77" s="19">
        <v>20</v>
      </c>
      <c r="P77" s="19">
        <v>28000</v>
      </c>
      <c r="Q77" s="19">
        <v>5</v>
      </c>
      <c r="R77" s="19" t="s">
        <v>79</v>
      </c>
      <c r="S77" s="19" t="s">
        <v>35</v>
      </c>
      <c r="T77" s="19" t="s">
        <v>50</v>
      </c>
      <c r="U77" s="21" t="s">
        <v>491</v>
      </c>
      <c r="V77" s="19" t="s">
        <v>38</v>
      </c>
      <c r="W77" s="19">
        <f t="shared" ca="1" si="2"/>
        <v>45</v>
      </c>
      <c r="X77" s="19">
        <f t="shared" si="3"/>
        <v>10</v>
      </c>
      <c r="Y77" s="19" t="str" cm="1">
        <f t="array" ref="Y77">_xlfn.IFS(ISERROR(X77), "Pending", X77&lt;=5, "On Time", X77&gt;5, "Delayed")</f>
        <v>Delayed</v>
      </c>
    </row>
    <row r="78" spans="1:25" x14ac:dyDescent="0.3">
      <c r="A78" s="15" t="s">
        <v>492</v>
      </c>
      <c r="B78" s="15" t="s">
        <v>83</v>
      </c>
      <c r="C78" s="15" t="s">
        <v>184</v>
      </c>
      <c r="D78" s="16">
        <v>46098</v>
      </c>
      <c r="E78" s="16">
        <v>46100</v>
      </c>
      <c r="F78" s="15" t="s">
        <v>180</v>
      </c>
      <c r="G78" s="15" t="s">
        <v>76</v>
      </c>
      <c r="H78" s="16">
        <v>29703</v>
      </c>
      <c r="I78" s="15" t="s">
        <v>44</v>
      </c>
      <c r="J78" s="15" t="s">
        <v>45</v>
      </c>
      <c r="K78" s="15" t="s">
        <v>46</v>
      </c>
      <c r="L78" s="15" t="s">
        <v>189</v>
      </c>
      <c r="M78" s="15">
        <v>18</v>
      </c>
      <c r="N78" s="15">
        <v>700</v>
      </c>
      <c r="O78" s="15">
        <v>5</v>
      </c>
      <c r="P78" s="15">
        <v>11970</v>
      </c>
      <c r="Q78" s="15">
        <v>3</v>
      </c>
      <c r="R78" s="15" t="s">
        <v>79</v>
      </c>
      <c r="S78" s="15" t="s">
        <v>115</v>
      </c>
      <c r="T78" s="15" t="s">
        <v>89</v>
      </c>
      <c r="U78" s="18" t="s">
        <v>495</v>
      </c>
      <c r="V78" s="15" t="s">
        <v>69</v>
      </c>
      <c r="W78" s="15">
        <f t="shared" ca="1" si="2"/>
        <v>45</v>
      </c>
      <c r="X78" s="15">
        <f t="shared" si="3"/>
        <v>2</v>
      </c>
      <c r="Y78" s="15" t="str" cm="1">
        <f t="array" ref="Y78">_xlfn.IFS(ISERROR(X78), "Pending", X78&lt;=5, "On Time", X78&gt;5, "Delayed")</f>
        <v>On Time</v>
      </c>
    </row>
    <row r="79" spans="1:25" x14ac:dyDescent="0.3">
      <c r="A79" s="19" t="s">
        <v>496</v>
      </c>
      <c r="B79" s="19" t="s">
        <v>221</v>
      </c>
      <c r="C79" s="19" t="s">
        <v>184</v>
      </c>
      <c r="D79" s="20">
        <v>45817</v>
      </c>
      <c r="E79" s="20">
        <v>45826</v>
      </c>
      <c r="F79" s="19" t="s">
        <v>225</v>
      </c>
      <c r="G79" s="19" t="s">
        <v>76</v>
      </c>
      <c r="H79" s="20">
        <v>31384</v>
      </c>
      <c r="I79" s="19" t="s">
        <v>59</v>
      </c>
      <c r="J79" s="19" t="s">
        <v>31</v>
      </c>
      <c r="K79" s="19" t="s">
        <v>46</v>
      </c>
      <c r="L79" s="19" t="s">
        <v>189</v>
      </c>
      <c r="M79" s="19">
        <v>12</v>
      </c>
      <c r="N79" s="19">
        <v>700</v>
      </c>
      <c r="O79" s="19">
        <v>15</v>
      </c>
      <c r="P79" s="19">
        <v>7140</v>
      </c>
      <c r="Q79" s="19">
        <v>2</v>
      </c>
      <c r="R79" s="19" t="s">
        <v>88</v>
      </c>
      <c r="S79" s="19" t="s">
        <v>49</v>
      </c>
      <c r="T79" s="19" t="s">
        <v>228</v>
      </c>
      <c r="U79" s="21" t="s">
        <v>500</v>
      </c>
      <c r="V79" s="19" t="s">
        <v>38</v>
      </c>
      <c r="W79" s="19">
        <f t="shared" ca="1" si="2"/>
        <v>40</v>
      </c>
      <c r="X79" s="19">
        <f t="shared" si="3"/>
        <v>9</v>
      </c>
      <c r="Y79" s="19" t="str" cm="1">
        <f t="array" ref="Y79">_xlfn.IFS(ISERROR(X79), "Pending", X79&lt;=5, "On Time", X79&gt;5, "Delayed")</f>
        <v>Delayed</v>
      </c>
    </row>
    <row r="80" spans="1:25" x14ac:dyDescent="0.3">
      <c r="A80" s="15" t="s">
        <v>501</v>
      </c>
      <c r="B80" s="15" t="s">
        <v>71</v>
      </c>
      <c r="C80" s="15" t="s">
        <v>72</v>
      </c>
      <c r="D80" s="16">
        <v>45976</v>
      </c>
      <c r="E80" s="16">
        <v>45977</v>
      </c>
      <c r="F80" s="15" t="s">
        <v>217</v>
      </c>
      <c r="G80" s="15" t="s">
        <v>76</v>
      </c>
      <c r="H80" s="16">
        <v>36234</v>
      </c>
      <c r="I80" s="15" t="s">
        <v>105</v>
      </c>
      <c r="J80" s="15" t="s">
        <v>106</v>
      </c>
      <c r="K80" s="15" t="s">
        <v>46</v>
      </c>
      <c r="L80" s="15" t="s">
        <v>78</v>
      </c>
      <c r="M80" s="15">
        <v>8</v>
      </c>
      <c r="N80" s="15">
        <v>1200</v>
      </c>
      <c r="O80" s="15">
        <v>0</v>
      </c>
      <c r="P80" s="15">
        <v>9600</v>
      </c>
      <c r="Q80" s="15">
        <v>4</v>
      </c>
      <c r="R80" s="15" t="s">
        <v>79</v>
      </c>
      <c r="S80" s="15" t="s">
        <v>49</v>
      </c>
      <c r="T80" s="15" t="s">
        <v>80</v>
      </c>
      <c r="U80" s="18" t="s">
        <v>505</v>
      </c>
      <c r="V80" s="15" t="s">
        <v>64</v>
      </c>
      <c r="W80" s="15">
        <f t="shared" ca="1" si="2"/>
        <v>27</v>
      </c>
      <c r="X80" s="15">
        <f t="shared" si="3"/>
        <v>1</v>
      </c>
      <c r="Y80" s="15" t="str" cm="1">
        <f t="array" ref="Y80">_xlfn.IFS(ISERROR(X80), "Pending", X80&lt;=5, "On Time", X80&gt;5, "Delayed")</f>
        <v>On Time</v>
      </c>
    </row>
    <row r="81" spans="1:25" x14ac:dyDescent="0.3">
      <c r="A81" s="19" t="s">
        <v>506</v>
      </c>
      <c r="B81" s="19" t="s">
        <v>127</v>
      </c>
      <c r="C81" s="19" t="s">
        <v>118</v>
      </c>
      <c r="D81" s="20">
        <v>45967</v>
      </c>
      <c r="E81" s="20">
        <v>45971</v>
      </c>
      <c r="F81" s="19" t="s">
        <v>200</v>
      </c>
      <c r="G81" s="19" t="s">
        <v>76</v>
      </c>
      <c r="H81" s="20">
        <v>30504</v>
      </c>
      <c r="I81" s="19" t="s">
        <v>114</v>
      </c>
      <c r="J81" s="19" t="s">
        <v>106</v>
      </c>
      <c r="K81" s="19" t="s">
        <v>122</v>
      </c>
      <c r="L81" s="19" t="s">
        <v>123</v>
      </c>
      <c r="M81" s="19">
        <v>2</v>
      </c>
      <c r="N81" s="19">
        <v>60</v>
      </c>
      <c r="O81" s="19">
        <v>0</v>
      </c>
      <c r="P81" s="19">
        <v>120</v>
      </c>
      <c r="Q81" s="19">
        <v>2</v>
      </c>
      <c r="R81" s="19" t="s">
        <v>88</v>
      </c>
      <c r="S81" s="19" t="s">
        <v>49</v>
      </c>
      <c r="T81" s="19" t="s">
        <v>132</v>
      </c>
      <c r="U81" s="21" t="s">
        <v>510</v>
      </c>
      <c r="V81" s="19" t="s">
        <v>38</v>
      </c>
      <c r="W81" s="19">
        <f t="shared" ca="1" si="2"/>
        <v>43</v>
      </c>
      <c r="X81" s="19">
        <f t="shared" si="3"/>
        <v>4</v>
      </c>
      <c r="Y81" s="19" t="str" cm="1">
        <f t="array" ref="Y81">_xlfn.IFS(ISERROR(X81), "Pending", X81&lt;=5, "On Time", X81&gt;5, "Delayed")</f>
        <v>On Time</v>
      </c>
    </row>
    <row r="82" spans="1:25" x14ac:dyDescent="0.3">
      <c r="A82" s="15" t="s">
        <v>511</v>
      </c>
      <c r="B82" s="15" t="s">
        <v>327</v>
      </c>
      <c r="C82" s="15" t="s">
        <v>259</v>
      </c>
      <c r="D82" s="16">
        <v>45658</v>
      </c>
      <c r="E82" s="16">
        <v>45664</v>
      </c>
      <c r="F82" s="15" t="s">
        <v>394</v>
      </c>
      <c r="G82" s="15" t="s">
        <v>76</v>
      </c>
      <c r="H82" s="16">
        <v>32662</v>
      </c>
      <c r="I82" s="15" t="s">
        <v>114</v>
      </c>
      <c r="J82" s="15" t="s">
        <v>106</v>
      </c>
      <c r="K82" s="15" t="s">
        <v>122</v>
      </c>
      <c r="L82" s="15" t="s">
        <v>263</v>
      </c>
      <c r="M82" s="15">
        <v>10</v>
      </c>
      <c r="N82" s="15">
        <v>45</v>
      </c>
      <c r="O82" s="15">
        <v>15</v>
      </c>
      <c r="P82" s="15">
        <v>382.5</v>
      </c>
      <c r="Q82" s="15">
        <v>3</v>
      </c>
      <c r="R82" s="15" t="s">
        <v>48</v>
      </c>
      <c r="S82" s="15" t="s">
        <v>35</v>
      </c>
      <c r="T82" s="15" t="s">
        <v>332</v>
      </c>
      <c r="U82" s="18" t="s">
        <v>515</v>
      </c>
      <c r="V82" s="15" t="s">
        <v>69</v>
      </c>
      <c r="W82" s="15">
        <f t="shared" ca="1" si="2"/>
        <v>37</v>
      </c>
      <c r="X82" s="15">
        <f t="shared" si="3"/>
        <v>6</v>
      </c>
      <c r="Y82" s="15" t="str" cm="1">
        <f t="array" ref="Y82">_xlfn.IFS(ISERROR(X82), "Pending", X82&lt;=5, "On Time", X82&gt;5, "Delayed")</f>
        <v>Delayed</v>
      </c>
    </row>
    <row r="83" spans="1:25" x14ac:dyDescent="0.3">
      <c r="A83" s="19" t="s">
        <v>516</v>
      </c>
      <c r="B83" s="19" t="s">
        <v>221</v>
      </c>
      <c r="C83" s="19" t="s">
        <v>92</v>
      </c>
      <c r="D83" s="20">
        <v>46137</v>
      </c>
      <c r="E83" s="20">
        <v>46145</v>
      </c>
      <c r="F83" s="19" t="s">
        <v>225</v>
      </c>
      <c r="G83" s="19" t="s">
        <v>76</v>
      </c>
      <c r="H83" s="20">
        <v>30122</v>
      </c>
      <c r="I83" s="19" t="s">
        <v>294</v>
      </c>
      <c r="J83" s="19" t="s">
        <v>295</v>
      </c>
      <c r="K83" s="19" t="s">
        <v>32</v>
      </c>
      <c r="L83" s="19" t="s">
        <v>97</v>
      </c>
      <c r="M83" s="19">
        <v>12</v>
      </c>
      <c r="N83" s="19">
        <v>3500</v>
      </c>
      <c r="O83" s="19">
        <v>5</v>
      </c>
      <c r="P83" s="19">
        <v>39900</v>
      </c>
      <c r="Q83" s="19">
        <v>3</v>
      </c>
      <c r="R83" s="19" t="s">
        <v>48</v>
      </c>
      <c r="S83" s="19" t="s">
        <v>61</v>
      </c>
      <c r="T83" s="19" t="s">
        <v>228</v>
      </c>
      <c r="U83" s="21" t="s">
        <v>520</v>
      </c>
      <c r="V83" s="19" t="s">
        <v>64</v>
      </c>
      <c r="W83" s="19">
        <f t="shared" ca="1" si="2"/>
        <v>44</v>
      </c>
      <c r="X83" s="19">
        <f t="shared" si="3"/>
        <v>8</v>
      </c>
      <c r="Y83" s="19" t="str" cm="1">
        <f t="array" ref="Y83">_xlfn.IFS(ISERROR(X83), "Pending", X83&lt;=5, "On Time", X83&gt;5, "Delayed")</f>
        <v>Delayed</v>
      </c>
    </row>
    <row r="84" spans="1:25" x14ac:dyDescent="0.3">
      <c r="A84" s="15" t="s">
        <v>521</v>
      </c>
      <c r="B84" s="15" t="s">
        <v>127</v>
      </c>
      <c r="C84" s="15" t="s">
        <v>118</v>
      </c>
      <c r="D84" s="16">
        <v>45919</v>
      </c>
      <c r="E84" s="16">
        <v>45927</v>
      </c>
      <c r="F84" s="15" t="s">
        <v>200</v>
      </c>
      <c r="G84" s="15" t="s">
        <v>76</v>
      </c>
      <c r="H84" s="16">
        <v>37065</v>
      </c>
      <c r="I84" s="15" t="s">
        <v>105</v>
      </c>
      <c r="J84" s="15" t="s">
        <v>106</v>
      </c>
      <c r="K84" s="15" t="s">
        <v>122</v>
      </c>
      <c r="L84" s="15" t="s">
        <v>123</v>
      </c>
      <c r="M84" s="15">
        <v>2</v>
      </c>
      <c r="N84" s="15">
        <v>60</v>
      </c>
      <c r="O84" s="15">
        <v>15</v>
      </c>
      <c r="P84" s="15">
        <v>102</v>
      </c>
      <c r="Q84" s="15">
        <v>1</v>
      </c>
      <c r="R84" s="15" t="s">
        <v>88</v>
      </c>
      <c r="S84" s="15" t="s">
        <v>115</v>
      </c>
      <c r="T84" s="15" t="s">
        <v>132</v>
      </c>
      <c r="U84" s="18" t="s">
        <v>523</v>
      </c>
      <c r="V84" s="15" t="s">
        <v>38</v>
      </c>
      <c r="W84" s="15">
        <f t="shared" ca="1" si="2"/>
        <v>25</v>
      </c>
      <c r="X84" s="15">
        <f t="shared" si="3"/>
        <v>8</v>
      </c>
      <c r="Y84" s="15" t="str" cm="1">
        <f t="array" ref="Y84">_xlfn.IFS(ISERROR(X84), "Pending", X84&lt;=5, "On Time", X84&gt;5, "Delayed")</f>
        <v>Delayed</v>
      </c>
    </row>
    <row r="85" spans="1:25" x14ac:dyDescent="0.3">
      <c r="A85" s="19" t="s">
        <v>524</v>
      </c>
      <c r="B85" s="19" t="s">
        <v>127</v>
      </c>
      <c r="C85" s="19" t="s">
        <v>72</v>
      </c>
      <c r="D85" s="20">
        <v>45734</v>
      </c>
      <c r="E85" s="20">
        <v>45737</v>
      </c>
      <c r="F85" s="19" t="s">
        <v>200</v>
      </c>
      <c r="G85" s="19" t="s">
        <v>76</v>
      </c>
      <c r="H85" s="20">
        <v>30516</v>
      </c>
      <c r="I85" s="19" t="s">
        <v>30</v>
      </c>
      <c r="J85" s="19" t="s">
        <v>31</v>
      </c>
      <c r="K85" s="19" t="s">
        <v>46</v>
      </c>
      <c r="L85" s="19" t="s">
        <v>78</v>
      </c>
      <c r="M85" s="19">
        <v>18</v>
      </c>
      <c r="N85" s="19">
        <v>1200</v>
      </c>
      <c r="O85" s="19">
        <v>15</v>
      </c>
      <c r="P85" s="19">
        <v>18360</v>
      </c>
      <c r="Q85" s="19">
        <v>3</v>
      </c>
      <c r="R85" s="19" t="s">
        <v>79</v>
      </c>
      <c r="S85" s="19" t="s">
        <v>115</v>
      </c>
      <c r="T85" s="19" t="s">
        <v>132</v>
      </c>
      <c r="U85" s="21" t="s">
        <v>528</v>
      </c>
      <c r="V85" s="19" t="s">
        <v>64</v>
      </c>
      <c r="W85" s="19">
        <f t="shared" ca="1" si="2"/>
        <v>43</v>
      </c>
      <c r="X85" s="19">
        <f t="shared" si="3"/>
        <v>3</v>
      </c>
      <c r="Y85" s="19" t="str" cm="1">
        <f t="array" ref="Y85">_xlfn.IFS(ISERROR(X85), "Pending", X85&lt;=5, "On Time", X85&gt;5, "Delayed")</f>
        <v>On Time</v>
      </c>
    </row>
    <row r="86" spans="1:25" x14ac:dyDescent="0.3">
      <c r="A86" s="15" t="s">
        <v>529</v>
      </c>
      <c r="B86" s="15" t="s">
        <v>23</v>
      </c>
      <c r="C86" s="15" t="s">
        <v>40</v>
      </c>
      <c r="D86" s="16">
        <v>45960</v>
      </c>
      <c r="E86" s="16">
        <v>45961</v>
      </c>
      <c r="F86" s="15" t="s">
        <v>27</v>
      </c>
      <c r="G86" s="15" t="s">
        <v>28</v>
      </c>
      <c r="H86" s="16">
        <v>34052</v>
      </c>
      <c r="I86" s="15" t="s">
        <v>105</v>
      </c>
      <c r="J86" s="15" t="s">
        <v>106</v>
      </c>
      <c r="K86" s="15" t="s">
        <v>46</v>
      </c>
      <c r="L86" s="15" t="s">
        <v>47</v>
      </c>
      <c r="M86" s="15">
        <v>18</v>
      </c>
      <c r="N86" s="15">
        <v>12000</v>
      </c>
      <c r="O86" s="15">
        <v>15</v>
      </c>
      <c r="P86" s="15">
        <v>183600</v>
      </c>
      <c r="Q86" s="15">
        <v>2</v>
      </c>
      <c r="R86" s="15" t="s">
        <v>34</v>
      </c>
      <c r="S86" s="15" t="s">
        <v>49</v>
      </c>
      <c r="T86" s="15" t="s">
        <v>50</v>
      </c>
      <c r="U86" s="18" t="s">
        <v>533</v>
      </c>
      <c r="V86" s="15" t="s">
        <v>38</v>
      </c>
      <c r="W86" s="15">
        <f t="shared" ca="1" si="2"/>
        <v>33</v>
      </c>
      <c r="X86" s="15">
        <f t="shared" si="3"/>
        <v>1</v>
      </c>
      <c r="Y86" s="15" t="str" cm="1">
        <f t="array" ref="Y86">_xlfn.IFS(ISERROR(X86), "Pending", X86&lt;=5, "On Time", X86&gt;5, "Delayed")</f>
        <v>On Time</v>
      </c>
    </row>
    <row r="87" spans="1:25" x14ac:dyDescent="0.3">
      <c r="A87" s="19" t="s">
        <v>534</v>
      </c>
      <c r="B87" s="19" t="s">
        <v>83</v>
      </c>
      <c r="C87" s="19" t="s">
        <v>222</v>
      </c>
      <c r="D87" s="20">
        <v>45961</v>
      </c>
      <c r="E87" s="20">
        <v>45972</v>
      </c>
      <c r="F87" s="19" t="s">
        <v>180</v>
      </c>
      <c r="G87" s="19" t="s">
        <v>76</v>
      </c>
      <c r="H87" s="20">
        <v>34977</v>
      </c>
      <c r="I87" s="19" t="s">
        <v>138</v>
      </c>
      <c r="J87" s="19" t="s">
        <v>106</v>
      </c>
      <c r="K87" s="19" t="s">
        <v>122</v>
      </c>
      <c r="L87" s="19" t="s">
        <v>227</v>
      </c>
      <c r="M87" s="19">
        <v>7</v>
      </c>
      <c r="N87" s="19">
        <v>20</v>
      </c>
      <c r="O87" s="19">
        <v>0</v>
      </c>
      <c r="P87" s="19">
        <v>140</v>
      </c>
      <c r="Q87" s="19">
        <v>2</v>
      </c>
      <c r="R87" s="19" t="s">
        <v>79</v>
      </c>
      <c r="S87" s="19" t="s">
        <v>35</v>
      </c>
      <c r="T87" s="19" t="s">
        <v>89</v>
      </c>
      <c r="U87" s="21" t="s">
        <v>537</v>
      </c>
      <c r="V87" s="19" t="s">
        <v>69</v>
      </c>
      <c r="W87" s="19">
        <f t="shared" ca="1" si="2"/>
        <v>30</v>
      </c>
      <c r="X87" s="19">
        <f t="shared" si="3"/>
        <v>11</v>
      </c>
      <c r="Y87" s="19" t="str" cm="1">
        <f t="array" ref="Y87">_xlfn.IFS(ISERROR(X87), "Pending", X87&lt;=5, "On Time", X87&gt;5, "Delayed")</f>
        <v>Delayed</v>
      </c>
    </row>
    <row r="88" spans="1:25" x14ac:dyDescent="0.3">
      <c r="A88" s="15" t="s">
        <v>538</v>
      </c>
      <c r="B88" s="15" t="s">
        <v>251</v>
      </c>
      <c r="C88" s="15" t="s">
        <v>92</v>
      </c>
      <c r="D88" s="16">
        <v>45757</v>
      </c>
      <c r="E88" s="16">
        <v>45765</v>
      </c>
      <c r="F88" s="15" t="s">
        <v>254</v>
      </c>
      <c r="G88" s="15" t="s">
        <v>28</v>
      </c>
      <c r="H88" s="16">
        <v>36937</v>
      </c>
      <c r="I88" s="15" t="s">
        <v>114</v>
      </c>
      <c r="J88" s="15" t="s">
        <v>106</v>
      </c>
      <c r="K88" s="15" t="s">
        <v>32</v>
      </c>
      <c r="L88" s="15" t="s">
        <v>97</v>
      </c>
      <c r="M88" s="15">
        <v>20</v>
      </c>
      <c r="N88" s="15">
        <v>3500</v>
      </c>
      <c r="O88" s="15">
        <v>20</v>
      </c>
      <c r="P88" s="15">
        <v>56000</v>
      </c>
      <c r="Q88" s="15">
        <v>4</v>
      </c>
      <c r="R88" s="15" t="s">
        <v>79</v>
      </c>
      <c r="S88" s="15" t="s">
        <v>115</v>
      </c>
      <c r="T88" s="15" t="s">
        <v>256</v>
      </c>
      <c r="U88" s="18" t="s">
        <v>541</v>
      </c>
      <c r="V88" s="15" t="s">
        <v>64</v>
      </c>
      <c r="W88" s="15">
        <f t="shared" ca="1" si="2"/>
        <v>25</v>
      </c>
      <c r="X88" s="15">
        <f t="shared" si="3"/>
        <v>8</v>
      </c>
      <c r="Y88" s="15" t="str" cm="1">
        <f t="array" ref="Y88">_xlfn.IFS(ISERROR(X88), "Pending", X88&lt;=5, "On Time", X88&gt;5, "Delayed")</f>
        <v>Delayed</v>
      </c>
    </row>
    <row r="89" spans="1:25" x14ac:dyDescent="0.3">
      <c r="A89" s="19" t="s">
        <v>542</v>
      </c>
      <c r="B89" s="19" t="s">
        <v>100</v>
      </c>
      <c r="C89" s="19" t="s">
        <v>169</v>
      </c>
      <c r="D89" s="20">
        <v>46097</v>
      </c>
      <c r="E89" s="20">
        <v>46107</v>
      </c>
      <c r="F89" s="19" t="s">
        <v>103</v>
      </c>
      <c r="G89" s="19" t="s">
        <v>28</v>
      </c>
      <c r="H89" s="20">
        <v>36386</v>
      </c>
      <c r="I89" s="19" t="s">
        <v>138</v>
      </c>
      <c r="J89" s="19" t="s">
        <v>106</v>
      </c>
      <c r="K89" s="19" t="s">
        <v>32</v>
      </c>
      <c r="L89" s="19" t="s">
        <v>174</v>
      </c>
      <c r="M89" s="19">
        <v>8</v>
      </c>
      <c r="N89" s="19">
        <v>8500</v>
      </c>
      <c r="O89" s="19">
        <v>20</v>
      </c>
      <c r="P89" s="19">
        <v>54400</v>
      </c>
      <c r="Q89" s="19">
        <v>3</v>
      </c>
      <c r="R89" s="19" t="s">
        <v>79</v>
      </c>
      <c r="S89" s="19" t="s">
        <v>115</v>
      </c>
      <c r="T89" s="19" t="s">
        <v>144</v>
      </c>
      <c r="U89" s="21" t="s">
        <v>546</v>
      </c>
      <c r="V89" s="19" t="s">
        <v>64</v>
      </c>
      <c r="W89" s="19">
        <f t="shared" ca="1" si="2"/>
        <v>27</v>
      </c>
      <c r="X89" s="19">
        <f t="shared" si="3"/>
        <v>10</v>
      </c>
      <c r="Y89" s="19" t="str" cm="1">
        <f t="array" ref="Y89">_xlfn.IFS(ISERROR(X89), "Pending", X89&lt;=5, "On Time", X89&gt;5, "Delayed")</f>
        <v>Delayed</v>
      </c>
    </row>
    <row r="90" spans="1:25" x14ac:dyDescent="0.3">
      <c r="A90" s="15" t="s">
        <v>547</v>
      </c>
      <c r="B90" s="15" t="s">
        <v>327</v>
      </c>
      <c r="C90" s="15" t="s">
        <v>40</v>
      </c>
      <c r="D90" s="16">
        <v>45915</v>
      </c>
      <c r="E90" s="16">
        <v>45924</v>
      </c>
      <c r="F90" s="15" t="s">
        <v>394</v>
      </c>
      <c r="G90" s="15" t="s">
        <v>76</v>
      </c>
      <c r="H90" s="16">
        <v>37335</v>
      </c>
      <c r="I90" s="15" t="s">
        <v>138</v>
      </c>
      <c r="J90" s="15" t="s">
        <v>551</v>
      </c>
      <c r="K90" s="15" t="s">
        <v>46</v>
      </c>
      <c r="L90" s="15" t="s">
        <v>47</v>
      </c>
      <c r="M90" s="15">
        <v>6</v>
      </c>
      <c r="N90" s="15">
        <v>12000</v>
      </c>
      <c r="O90" s="15">
        <v>5</v>
      </c>
      <c r="P90" s="15">
        <v>68400</v>
      </c>
      <c r="Q90" s="15">
        <v>4</v>
      </c>
      <c r="R90" s="15" t="s">
        <v>48</v>
      </c>
      <c r="S90" s="15" t="s">
        <v>35</v>
      </c>
      <c r="T90" s="15" t="s">
        <v>332</v>
      </c>
      <c r="U90" s="18" t="s">
        <v>552</v>
      </c>
      <c r="V90" s="15" t="s">
        <v>38</v>
      </c>
      <c r="W90" s="15">
        <f t="shared" ca="1" si="2"/>
        <v>24</v>
      </c>
      <c r="X90" s="15">
        <f t="shared" si="3"/>
        <v>9</v>
      </c>
      <c r="Y90" s="15" t="str" cm="1">
        <f t="array" ref="Y90">_xlfn.IFS(ISERROR(X90), "Pending", X90&lt;=5, "On Time", X90&gt;5, "Delayed")</f>
        <v>Delayed</v>
      </c>
    </row>
    <row r="91" spans="1:25" x14ac:dyDescent="0.3">
      <c r="A91" s="19" t="s">
        <v>553</v>
      </c>
      <c r="B91" s="19" t="s">
        <v>23</v>
      </c>
      <c r="C91" s="19" t="s">
        <v>169</v>
      </c>
      <c r="D91" s="20">
        <v>46092</v>
      </c>
      <c r="E91" s="20">
        <v>46100</v>
      </c>
      <c r="F91" s="19" t="s">
        <v>27</v>
      </c>
      <c r="G91" s="19" t="s">
        <v>28</v>
      </c>
      <c r="H91" s="20">
        <v>33768</v>
      </c>
      <c r="I91" s="19" t="s">
        <v>114</v>
      </c>
      <c r="J91" s="19" t="s">
        <v>106</v>
      </c>
      <c r="K91" s="19" t="s">
        <v>32</v>
      </c>
      <c r="L91" s="19" t="s">
        <v>174</v>
      </c>
      <c r="M91" s="19">
        <v>15</v>
      </c>
      <c r="N91" s="19">
        <v>8500</v>
      </c>
      <c r="O91" s="19">
        <v>0</v>
      </c>
      <c r="P91" s="19">
        <v>127500</v>
      </c>
      <c r="Q91" s="19">
        <v>4</v>
      </c>
      <c r="R91" s="19" t="s">
        <v>48</v>
      </c>
      <c r="S91" s="19" t="s">
        <v>35</v>
      </c>
      <c r="T91" s="19" t="s">
        <v>50</v>
      </c>
      <c r="U91" s="21" t="s">
        <v>556</v>
      </c>
      <c r="V91" s="19" t="s">
        <v>69</v>
      </c>
      <c r="W91" s="19">
        <f t="shared" ca="1" si="2"/>
        <v>34</v>
      </c>
      <c r="X91" s="19">
        <f t="shared" si="3"/>
        <v>8</v>
      </c>
      <c r="Y91" s="19" t="str" cm="1">
        <f t="array" ref="Y91">_xlfn.IFS(ISERROR(X91), "Pending", X91&lt;=5, "On Time", X91&gt;5, "Delayed")</f>
        <v>Delayed</v>
      </c>
    </row>
    <row r="92" spans="1:25" x14ac:dyDescent="0.3">
      <c r="A92" s="15" t="s">
        <v>557</v>
      </c>
      <c r="B92" s="15" t="s">
        <v>53</v>
      </c>
      <c r="C92" s="15" t="s">
        <v>72</v>
      </c>
      <c r="D92" s="16">
        <v>45889</v>
      </c>
      <c r="E92" s="16">
        <v>45892</v>
      </c>
      <c r="F92" s="15" t="s">
        <v>163</v>
      </c>
      <c r="G92" s="15" t="s">
        <v>28</v>
      </c>
      <c r="H92" s="16">
        <v>35234</v>
      </c>
      <c r="I92" s="15" t="s">
        <v>212</v>
      </c>
      <c r="J92" s="15" t="s">
        <v>45</v>
      </c>
      <c r="K92" s="15" t="s">
        <v>46</v>
      </c>
      <c r="L92" s="15" t="s">
        <v>78</v>
      </c>
      <c r="M92" s="15">
        <v>5</v>
      </c>
      <c r="N92" s="15">
        <v>1200</v>
      </c>
      <c r="O92" s="15">
        <v>15</v>
      </c>
      <c r="P92" s="15">
        <v>5100</v>
      </c>
      <c r="Q92" s="15">
        <v>1</v>
      </c>
      <c r="R92" s="15" t="s">
        <v>48</v>
      </c>
      <c r="S92" s="15" t="s">
        <v>35</v>
      </c>
      <c r="T92" s="15" t="s">
        <v>62</v>
      </c>
      <c r="U92" s="18" t="s">
        <v>560</v>
      </c>
      <c r="V92" s="15" t="s">
        <v>69</v>
      </c>
      <c r="W92" s="15">
        <f t="shared" ca="1" si="2"/>
        <v>30</v>
      </c>
      <c r="X92" s="15">
        <f t="shared" si="3"/>
        <v>3</v>
      </c>
      <c r="Y92" s="15" t="str" cm="1">
        <f t="array" ref="Y92">_xlfn.IFS(ISERROR(X92), "Pending", X92&lt;=5, "On Time", X92&gt;5, "Delayed")</f>
        <v>On Time</v>
      </c>
    </row>
    <row r="93" spans="1:25" x14ac:dyDescent="0.3">
      <c r="A93" s="19" t="s">
        <v>561</v>
      </c>
      <c r="B93" s="19" t="s">
        <v>53</v>
      </c>
      <c r="C93" s="19" t="s">
        <v>222</v>
      </c>
      <c r="D93" s="20">
        <v>45882</v>
      </c>
      <c r="E93" s="20">
        <v>45883</v>
      </c>
      <c r="F93" s="19" t="s">
        <v>163</v>
      </c>
      <c r="G93" s="19" t="s">
        <v>28</v>
      </c>
      <c r="H93" s="20">
        <v>30174</v>
      </c>
      <c r="I93" s="19" t="s">
        <v>30</v>
      </c>
      <c r="J93" s="19" t="s">
        <v>31</v>
      </c>
      <c r="K93" s="19" t="s">
        <v>122</v>
      </c>
      <c r="L93" s="19" t="s">
        <v>227</v>
      </c>
      <c r="M93" s="19">
        <v>4</v>
      </c>
      <c r="N93" s="19">
        <v>20</v>
      </c>
      <c r="O93" s="19">
        <v>0</v>
      </c>
      <c r="P93" s="19">
        <v>80</v>
      </c>
      <c r="Q93" s="19">
        <v>4</v>
      </c>
      <c r="R93" s="19" t="s">
        <v>48</v>
      </c>
      <c r="S93" s="19" t="s">
        <v>49</v>
      </c>
      <c r="T93" s="19" t="s">
        <v>62</v>
      </c>
      <c r="U93" s="21" t="s">
        <v>565</v>
      </c>
      <c r="V93" s="19" t="s">
        <v>38</v>
      </c>
      <c r="W93" s="19">
        <f t="shared" ca="1" si="2"/>
        <v>44</v>
      </c>
      <c r="X93" s="19">
        <f t="shared" si="3"/>
        <v>1</v>
      </c>
      <c r="Y93" s="19" t="str" cm="1">
        <f t="array" ref="Y93">_xlfn.IFS(ISERROR(X93), "Pending", X93&lt;=5, "On Time", X93&gt;5, "Delayed")</f>
        <v>On Time</v>
      </c>
    </row>
    <row r="94" spans="1:25" x14ac:dyDescent="0.3">
      <c r="A94" s="15" t="s">
        <v>566</v>
      </c>
      <c r="B94" s="15" t="s">
        <v>23</v>
      </c>
      <c r="C94" s="15" t="s">
        <v>222</v>
      </c>
      <c r="D94" s="16">
        <v>45732</v>
      </c>
      <c r="E94" s="16">
        <v>45736</v>
      </c>
      <c r="F94" s="15" t="s">
        <v>27</v>
      </c>
      <c r="G94" s="15" t="s">
        <v>28</v>
      </c>
      <c r="H94" s="16">
        <v>30858</v>
      </c>
      <c r="I94" s="15" t="s">
        <v>59</v>
      </c>
      <c r="J94" s="15" t="s">
        <v>31</v>
      </c>
      <c r="K94" s="15" t="s">
        <v>122</v>
      </c>
      <c r="L94" s="15" t="s">
        <v>227</v>
      </c>
      <c r="M94" s="15">
        <v>10</v>
      </c>
      <c r="N94" s="15">
        <v>20</v>
      </c>
      <c r="O94" s="15">
        <v>0</v>
      </c>
      <c r="P94" s="15">
        <v>200</v>
      </c>
      <c r="Q94" s="15">
        <v>3</v>
      </c>
      <c r="R94" s="15" t="s">
        <v>34</v>
      </c>
      <c r="S94" s="15" t="s">
        <v>151</v>
      </c>
      <c r="T94" s="15" t="s">
        <v>50</v>
      </c>
      <c r="U94" s="18" t="s">
        <v>570</v>
      </c>
      <c r="V94" s="15" t="s">
        <v>64</v>
      </c>
      <c r="W94" s="15">
        <f t="shared" ca="1" si="2"/>
        <v>42</v>
      </c>
      <c r="X94" s="15">
        <f t="shared" si="3"/>
        <v>4</v>
      </c>
      <c r="Y94" s="15" t="str" cm="1">
        <f t="array" ref="Y94">_xlfn.IFS(ISERROR(X94), "Pending", X94&lt;=5, "On Time", X94&gt;5, "Delayed")</f>
        <v>On Time</v>
      </c>
    </row>
    <row r="95" spans="1:25" x14ac:dyDescent="0.3">
      <c r="A95" s="19" t="s">
        <v>571</v>
      </c>
      <c r="B95" s="19" t="s">
        <v>168</v>
      </c>
      <c r="C95" s="19" t="s">
        <v>24</v>
      </c>
      <c r="D95" s="20">
        <v>45904</v>
      </c>
      <c r="E95" s="20">
        <v>45910</v>
      </c>
      <c r="F95" s="19" t="s">
        <v>361</v>
      </c>
      <c r="G95" s="19" t="s">
        <v>28</v>
      </c>
      <c r="H95" s="20">
        <v>34506</v>
      </c>
      <c r="I95" s="19" t="s">
        <v>44</v>
      </c>
      <c r="J95" s="19" t="s">
        <v>45</v>
      </c>
      <c r="K95" s="19" t="s">
        <v>32</v>
      </c>
      <c r="L95" s="19" t="s">
        <v>33</v>
      </c>
      <c r="M95" s="19">
        <v>18</v>
      </c>
      <c r="N95" s="19">
        <v>2200</v>
      </c>
      <c r="O95" s="19">
        <v>10</v>
      </c>
      <c r="P95" s="19">
        <v>35640</v>
      </c>
      <c r="Q95" s="19">
        <v>3</v>
      </c>
      <c r="R95" s="19" t="s">
        <v>34</v>
      </c>
      <c r="S95" s="19" t="s">
        <v>35</v>
      </c>
      <c r="T95" s="19" t="s">
        <v>175</v>
      </c>
      <c r="U95" s="21" t="s">
        <v>575</v>
      </c>
      <c r="V95" s="19" t="s">
        <v>69</v>
      </c>
      <c r="W95" s="19">
        <f t="shared" ca="1" si="2"/>
        <v>32</v>
      </c>
      <c r="X95" s="19">
        <f t="shared" si="3"/>
        <v>6</v>
      </c>
      <c r="Y95" s="19" t="str" cm="1">
        <f t="array" ref="Y95">_xlfn.IFS(ISERROR(X95), "Pending", X95&lt;=5, "On Time", X95&gt;5, "Delayed")</f>
        <v>Delayed</v>
      </c>
    </row>
    <row r="96" spans="1:25" x14ac:dyDescent="0.3">
      <c r="A96" s="15" t="s">
        <v>576</v>
      </c>
      <c r="B96" s="15" t="s">
        <v>327</v>
      </c>
      <c r="C96" s="15" t="s">
        <v>92</v>
      </c>
      <c r="D96" s="16">
        <v>45759</v>
      </c>
      <c r="E96" s="16">
        <v>45762</v>
      </c>
      <c r="F96" s="15" t="s">
        <v>394</v>
      </c>
      <c r="G96" s="15" t="s">
        <v>76</v>
      </c>
      <c r="H96" s="16">
        <v>33163</v>
      </c>
      <c r="I96" s="15" t="s">
        <v>44</v>
      </c>
      <c r="J96" s="15" t="s">
        <v>45</v>
      </c>
      <c r="K96" s="15" t="s">
        <v>32</v>
      </c>
      <c r="L96" s="15" t="s">
        <v>97</v>
      </c>
      <c r="M96" s="15">
        <v>7</v>
      </c>
      <c r="N96" s="15">
        <v>3500</v>
      </c>
      <c r="O96" s="15">
        <v>15</v>
      </c>
      <c r="P96" s="15">
        <v>20825</v>
      </c>
      <c r="Q96" s="15">
        <v>3</v>
      </c>
      <c r="R96" s="15" t="s">
        <v>48</v>
      </c>
      <c r="S96" s="15" t="s">
        <v>49</v>
      </c>
      <c r="T96" s="15" t="s">
        <v>332</v>
      </c>
      <c r="U96" s="18" t="s">
        <v>580</v>
      </c>
      <c r="V96" s="15" t="s">
        <v>38</v>
      </c>
      <c r="W96" s="15">
        <f t="shared" ca="1" si="2"/>
        <v>35</v>
      </c>
      <c r="X96" s="15">
        <f t="shared" si="3"/>
        <v>3</v>
      </c>
      <c r="Y96" s="15" t="str" cm="1">
        <f t="array" ref="Y96">_xlfn.IFS(ISERROR(X96), "Pending", X96&lt;=5, "On Time", X96&gt;5, "Delayed")</f>
        <v>On Time</v>
      </c>
    </row>
    <row r="97" spans="1:25" x14ac:dyDescent="0.3">
      <c r="A97" s="19" t="s">
        <v>581</v>
      </c>
      <c r="B97" s="19" t="s">
        <v>100</v>
      </c>
      <c r="C97" s="19" t="s">
        <v>169</v>
      </c>
      <c r="D97" s="20">
        <v>46146</v>
      </c>
      <c r="E97" s="20">
        <v>46149</v>
      </c>
      <c r="F97" s="19" t="s">
        <v>103</v>
      </c>
      <c r="G97" s="19" t="s">
        <v>28</v>
      </c>
      <c r="H97" s="20">
        <v>31805</v>
      </c>
      <c r="I97" s="19" t="s">
        <v>294</v>
      </c>
      <c r="J97" s="19" t="s">
        <v>295</v>
      </c>
      <c r="K97" s="19" t="s">
        <v>32</v>
      </c>
      <c r="L97" s="19" t="s">
        <v>174</v>
      </c>
      <c r="M97" s="19">
        <v>19</v>
      </c>
      <c r="N97" s="19">
        <v>8500</v>
      </c>
      <c r="O97" s="19">
        <v>15</v>
      </c>
      <c r="P97" s="19">
        <v>137275</v>
      </c>
      <c r="Q97" s="19">
        <v>4</v>
      </c>
      <c r="R97" s="19" t="s">
        <v>79</v>
      </c>
      <c r="S97" s="19" t="s">
        <v>151</v>
      </c>
      <c r="T97" s="19" t="s">
        <v>144</v>
      </c>
      <c r="U97" s="21" t="s">
        <v>585</v>
      </c>
      <c r="V97" s="19" t="s">
        <v>64</v>
      </c>
      <c r="W97" s="19">
        <f t="shared" ca="1" si="2"/>
        <v>39</v>
      </c>
      <c r="X97" s="19">
        <f t="shared" si="3"/>
        <v>3</v>
      </c>
      <c r="Y97" s="19" t="str" cm="1">
        <f t="array" ref="Y97">_xlfn.IFS(ISERROR(X97), "Pending", X97&lt;=5, "On Time", X97&gt;5, "Delayed")</f>
        <v>On Time</v>
      </c>
    </row>
    <row r="98" spans="1:25" x14ac:dyDescent="0.3">
      <c r="A98" s="15" t="s">
        <v>586</v>
      </c>
      <c r="B98" s="15" t="s">
        <v>251</v>
      </c>
      <c r="C98" s="15" t="s">
        <v>40</v>
      </c>
      <c r="D98" s="16">
        <v>46040</v>
      </c>
      <c r="E98" s="16">
        <v>46049</v>
      </c>
      <c r="F98" s="15" t="s">
        <v>254</v>
      </c>
      <c r="G98" s="15" t="s">
        <v>28</v>
      </c>
      <c r="H98" s="16">
        <v>30580</v>
      </c>
      <c r="I98" s="15" t="s">
        <v>138</v>
      </c>
      <c r="J98" s="15" t="s">
        <v>106</v>
      </c>
      <c r="K98" s="15" t="s">
        <v>46</v>
      </c>
      <c r="L98" s="15" t="s">
        <v>47</v>
      </c>
      <c r="M98" s="15">
        <v>13</v>
      </c>
      <c r="N98" s="15">
        <v>12000</v>
      </c>
      <c r="O98" s="15">
        <v>15</v>
      </c>
      <c r="P98" s="15">
        <v>132600</v>
      </c>
      <c r="Q98" s="15">
        <v>4</v>
      </c>
      <c r="R98" s="15" t="s">
        <v>34</v>
      </c>
      <c r="S98" s="15" t="s">
        <v>49</v>
      </c>
      <c r="T98" s="15" t="s">
        <v>256</v>
      </c>
      <c r="U98" s="18" t="s">
        <v>590</v>
      </c>
      <c r="V98" s="15" t="s">
        <v>38</v>
      </c>
      <c r="W98" s="15">
        <f t="shared" ca="1" si="2"/>
        <v>42</v>
      </c>
      <c r="X98" s="15">
        <f t="shared" si="3"/>
        <v>9</v>
      </c>
      <c r="Y98" s="15" t="str" cm="1">
        <f t="array" ref="Y98">_xlfn.IFS(ISERROR(X98), "Pending", X98&lt;=5, "On Time", X98&gt;5, "Delayed")</f>
        <v>Delayed</v>
      </c>
    </row>
    <row r="99" spans="1:25" x14ac:dyDescent="0.3">
      <c r="A99" s="19" t="s">
        <v>591</v>
      </c>
      <c r="B99" s="19" t="s">
        <v>327</v>
      </c>
      <c r="C99" s="19" t="s">
        <v>222</v>
      </c>
      <c r="D99" s="20">
        <v>46095</v>
      </c>
      <c r="E99" s="20">
        <v>46105</v>
      </c>
      <c r="F99" s="19" t="s">
        <v>394</v>
      </c>
      <c r="G99" s="19" t="s">
        <v>76</v>
      </c>
      <c r="H99" s="20">
        <v>32602</v>
      </c>
      <c r="I99" s="19" t="s">
        <v>114</v>
      </c>
      <c r="J99" s="19" t="s">
        <v>106</v>
      </c>
      <c r="K99" s="19" t="s">
        <v>122</v>
      </c>
      <c r="L99" s="19" t="s">
        <v>227</v>
      </c>
      <c r="M99" s="19">
        <v>7</v>
      </c>
      <c r="N99" s="19">
        <v>20</v>
      </c>
      <c r="O99" s="19">
        <v>0</v>
      </c>
      <c r="P99" s="19">
        <v>140</v>
      </c>
      <c r="Q99" s="19">
        <v>1</v>
      </c>
      <c r="R99" s="19" t="s">
        <v>79</v>
      </c>
      <c r="S99" s="19" t="s">
        <v>151</v>
      </c>
      <c r="T99" s="19" t="s">
        <v>332</v>
      </c>
      <c r="U99" s="21" t="s">
        <v>594</v>
      </c>
      <c r="V99" s="19" t="s">
        <v>69</v>
      </c>
      <c r="W99" s="19">
        <f t="shared" ca="1" si="2"/>
        <v>37</v>
      </c>
      <c r="X99" s="19">
        <f t="shared" si="3"/>
        <v>10</v>
      </c>
      <c r="Y99" s="19" t="str" cm="1">
        <f t="array" ref="Y99">_xlfn.IFS(ISERROR(X99), "Pending", X99&lt;=5, "On Time", X99&gt;5, "Delayed")</f>
        <v>Delayed</v>
      </c>
    </row>
    <row r="100" spans="1:25" x14ac:dyDescent="0.3">
      <c r="A100" s="15" t="s">
        <v>595</v>
      </c>
      <c r="B100" s="15" t="s">
        <v>168</v>
      </c>
      <c r="C100" s="15" t="s">
        <v>184</v>
      </c>
      <c r="D100" s="16">
        <v>45786</v>
      </c>
      <c r="E100" s="16">
        <v>45788</v>
      </c>
      <c r="F100" s="15" t="s">
        <v>361</v>
      </c>
      <c r="G100" s="15" t="s">
        <v>28</v>
      </c>
      <c r="H100" s="16">
        <v>32045</v>
      </c>
      <c r="I100" s="15" t="s">
        <v>44</v>
      </c>
      <c r="J100" s="15" t="s">
        <v>45</v>
      </c>
      <c r="K100" s="15" t="s">
        <v>46</v>
      </c>
      <c r="L100" s="15" t="s">
        <v>189</v>
      </c>
      <c r="M100" s="15">
        <v>5</v>
      </c>
      <c r="N100" s="15">
        <v>700</v>
      </c>
      <c r="O100" s="15">
        <v>15</v>
      </c>
      <c r="P100" s="15">
        <v>999999</v>
      </c>
      <c r="Q100" s="15">
        <v>4</v>
      </c>
      <c r="R100" s="15" t="s">
        <v>79</v>
      </c>
      <c r="S100" s="15" t="s">
        <v>35</v>
      </c>
      <c r="T100" s="15" t="s">
        <v>175</v>
      </c>
      <c r="U100" s="18" t="s">
        <v>599</v>
      </c>
      <c r="V100" s="15" t="s">
        <v>64</v>
      </c>
      <c r="W100" s="15">
        <f t="shared" ca="1" si="2"/>
        <v>38</v>
      </c>
      <c r="X100" s="15">
        <f t="shared" si="3"/>
        <v>2</v>
      </c>
      <c r="Y100" s="15" t="str" cm="1">
        <f t="array" ref="Y100">_xlfn.IFS(ISERROR(X100), "Pending", X100&lt;=5, "On Time", X100&gt;5, "Delayed")</f>
        <v>On Time</v>
      </c>
    </row>
    <row r="101" spans="1:25" x14ac:dyDescent="0.3">
      <c r="A101" s="19" t="s">
        <v>600</v>
      </c>
      <c r="B101" s="19" t="s">
        <v>83</v>
      </c>
      <c r="C101" s="19" t="s">
        <v>259</v>
      </c>
      <c r="D101" s="20">
        <v>46149</v>
      </c>
      <c r="E101" s="20">
        <v>46152</v>
      </c>
      <c r="F101" s="19" t="s">
        <v>180</v>
      </c>
      <c r="G101" s="19" t="s">
        <v>76</v>
      </c>
      <c r="H101" s="20">
        <v>30140</v>
      </c>
      <c r="I101" s="19" t="s">
        <v>59</v>
      </c>
      <c r="J101" s="19" t="s">
        <v>31</v>
      </c>
      <c r="K101" s="19" t="s">
        <v>122</v>
      </c>
      <c r="L101" s="19" t="s">
        <v>263</v>
      </c>
      <c r="M101" s="19">
        <v>9</v>
      </c>
      <c r="N101" s="19">
        <v>45</v>
      </c>
      <c r="O101" s="19">
        <v>5</v>
      </c>
      <c r="P101" s="19">
        <v>384.75</v>
      </c>
      <c r="Q101" s="19">
        <v>3</v>
      </c>
      <c r="R101" s="19" t="s">
        <v>34</v>
      </c>
      <c r="S101" s="19" t="s">
        <v>35</v>
      </c>
      <c r="T101" s="19" t="s">
        <v>89</v>
      </c>
      <c r="U101" s="21" t="s">
        <v>603</v>
      </c>
      <c r="V101" s="19" t="s">
        <v>38</v>
      </c>
      <c r="W101" s="19">
        <f t="shared" ca="1" si="2"/>
        <v>44</v>
      </c>
      <c r="X101" s="19">
        <f t="shared" si="3"/>
        <v>3</v>
      </c>
      <c r="Y101" s="19" t="str" cm="1">
        <f t="array" ref="Y101">_xlfn.IFS(ISERROR(X101), "Pending", X101&lt;=5, "On Time", X101&gt;5, "Delayed")</f>
        <v>On Time</v>
      </c>
    </row>
    <row r="102" spans="1:25" x14ac:dyDescent="0.3">
      <c r="A102" s="15" t="s">
        <v>604</v>
      </c>
      <c r="B102" s="15" t="s">
        <v>127</v>
      </c>
      <c r="C102" s="15" t="s">
        <v>118</v>
      </c>
      <c r="D102" s="16">
        <v>45768</v>
      </c>
      <c r="E102" s="16">
        <v>45776</v>
      </c>
      <c r="F102" s="15" t="s">
        <v>200</v>
      </c>
      <c r="G102" s="15" t="s">
        <v>76</v>
      </c>
      <c r="H102" s="16">
        <v>31610</v>
      </c>
      <c r="I102" s="15" t="s">
        <v>294</v>
      </c>
      <c r="J102" s="15" t="s">
        <v>295</v>
      </c>
      <c r="K102" s="15" t="s">
        <v>122</v>
      </c>
      <c r="L102" s="15" t="s">
        <v>123</v>
      </c>
      <c r="M102" s="15">
        <v>19</v>
      </c>
      <c r="N102" s="15">
        <v>60</v>
      </c>
      <c r="O102" s="15">
        <v>10</v>
      </c>
      <c r="P102" s="15">
        <v>1026</v>
      </c>
      <c r="Q102" s="15">
        <v>5</v>
      </c>
      <c r="R102" s="15" t="s">
        <v>48</v>
      </c>
      <c r="S102" s="15" t="s">
        <v>115</v>
      </c>
      <c r="T102" s="15" t="s">
        <v>132</v>
      </c>
      <c r="U102" s="18" t="s">
        <v>608</v>
      </c>
      <c r="V102" s="15" t="s">
        <v>38</v>
      </c>
      <c r="W102" s="15">
        <f t="shared" ca="1" si="2"/>
        <v>40</v>
      </c>
      <c r="X102" s="15">
        <f t="shared" si="3"/>
        <v>8</v>
      </c>
      <c r="Y102" s="15" t="str" cm="1">
        <f t="array" ref="Y102">_xlfn.IFS(ISERROR(X102), "Pending", X102&lt;=5, "On Time", X102&gt;5, "Delayed")</f>
        <v>Delayed</v>
      </c>
    </row>
    <row r="103" spans="1:25" x14ac:dyDescent="0.3">
      <c r="A103" s="19" t="s">
        <v>609</v>
      </c>
      <c r="B103" s="19" t="s">
        <v>327</v>
      </c>
      <c r="C103" s="19" t="s">
        <v>184</v>
      </c>
      <c r="D103" s="20">
        <v>46002</v>
      </c>
      <c r="E103" s="20">
        <v>46011</v>
      </c>
      <c r="F103" s="19" t="s">
        <v>394</v>
      </c>
      <c r="G103" s="19" t="s">
        <v>76</v>
      </c>
      <c r="H103" s="20">
        <v>31932</v>
      </c>
      <c r="I103" s="19" t="s">
        <v>138</v>
      </c>
      <c r="J103" s="19" t="s">
        <v>106</v>
      </c>
      <c r="K103" s="19" t="s">
        <v>46</v>
      </c>
      <c r="L103" s="19" t="s">
        <v>189</v>
      </c>
      <c r="M103" s="19">
        <v>4</v>
      </c>
      <c r="N103" s="19">
        <v>700</v>
      </c>
      <c r="O103" s="19">
        <v>5</v>
      </c>
      <c r="P103" s="19">
        <v>2660</v>
      </c>
      <c r="Q103" s="19">
        <v>3</v>
      </c>
      <c r="R103" s="19" t="s">
        <v>48</v>
      </c>
      <c r="S103" s="19" t="s">
        <v>61</v>
      </c>
      <c r="T103" s="19" t="s">
        <v>332</v>
      </c>
      <c r="U103" s="21" t="s">
        <v>613</v>
      </c>
      <c r="V103" s="19" t="s">
        <v>38</v>
      </c>
      <c r="W103" s="19">
        <f t="shared" ca="1" si="2"/>
        <v>39</v>
      </c>
      <c r="X103" s="19">
        <f t="shared" si="3"/>
        <v>9</v>
      </c>
      <c r="Y103" s="19" t="str" cm="1">
        <f t="array" ref="Y103">_xlfn.IFS(ISERROR(X103), "Pending", X103&lt;=5, "On Time", X103&gt;5, "Delayed")</f>
        <v>Delayed</v>
      </c>
    </row>
    <row r="104" spans="1:25" x14ac:dyDescent="0.3">
      <c r="A104" s="15" t="s">
        <v>614</v>
      </c>
      <c r="B104" s="15" t="s">
        <v>327</v>
      </c>
      <c r="C104" s="15" t="s">
        <v>92</v>
      </c>
      <c r="D104" s="16">
        <v>46149</v>
      </c>
      <c r="E104" s="16">
        <v>46157</v>
      </c>
      <c r="F104" s="15" t="s">
        <v>394</v>
      </c>
      <c r="G104" s="15" t="s">
        <v>76</v>
      </c>
      <c r="H104" s="16">
        <v>38042</v>
      </c>
      <c r="I104" s="15" t="s">
        <v>114</v>
      </c>
      <c r="J104" s="15" t="s">
        <v>106</v>
      </c>
      <c r="K104" s="15" t="s">
        <v>32</v>
      </c>
      <c r="L104" s="15" t="s">
        <v>97</v>
      </c>
      <c r="M104" s="15">
        <v>16</v>
      </c>
      <c r="N104" s="15">
        <v>3500</v>
      </c>
      <c r="O104" s="15">
        <v>0</v>
      </c>
      <c r="P104" s="15">
        <v>56000</v>
      </c>
      <c r="Q104" s="15">
        <v>2</v>
      </c>
      <c r="R104" s="15" t="s">
        <v>79</v>
      </c>
      <c r="S104" s="15" t="s">
        <v>49</v>
      </c>
      <c r="T104" s="15" t="s">
        <v>332</v>
      </c>
      <c r="U104" s="18" t="s">
        <v>617</v>
      </c>
      <c r="V104" s="15" t="s">
        <v>38</v>
      </c>
      <c r="W104" s="15">
        <f t="shared" ca="1" si="2"/>
        <v>22</v>
      </c>
      <c r="X104" s="15">
        <f t="shared" si="3"/>
        <v>8</v>
      </c>
      <c r="Y104" s="15" t="str" cm="1">
        <f t="array" ref="Y104">_xlfn.IFS(ISERROR(X104), "Pending", X104&lt;=5, "On Time", X104&gt;5, "Delayed")</f>
        <v>Delayed</v>
      </c>
    </row>
    <row r="105" spans="1:25" x14ac:dyDescent="0.3">
      <c r="A105" s="19" t="s">
        <v>618</v>
      </c>
      <c r="B105" s="19" t="s">
        <v>251</v>
      </c>
      <c r="C105" s="19" t="s">
        <v>259</v>
      </c>
      <c r="D105" s="20">
        <v>45670</v>
      </c>
      <c r="E105" s="20">
        <v>45677</v>
      </c>
      <c r="F105" s="19" t="s">
        <v>254</v>
      </c>
      <c r="G105" s="19" t="s">
        <v>28</v>
      </c>
      <c r="H105" s="20">
        <v>37005</v>
      </c>
      <c r="I105" s="19" t="s">
        <v>59</v>
      </c>
      <c r="J105" s="19" t="s">
        <v>31</v>
      </c>
      <c r="K105" s="19" t="s">
        <v>122</v>
      </c>
      <c r="L105" s="19" t="s">
        <v>263</v>
      </c>
      <c r="M105" s="19">
        <v>5</v>
      </c>
      <c r="N105" s="19">
        <v>45</v>
      </c>
      <c r="O105" s="19">
        <v>20</v>
      </c>
      <c r="P105" s="19">
        <v>180</v>
      </c>
      <c r="Q105" s="19">
        <v>3</v>
      </c>
      <c r="R105" s="19" t="s">
        <v>79</v>
      </c>
      <c r="S105" s="19" t="s">
        <v>35</v>
      </c>
      <c r="T105" s="19" t="s">
        <v>256</v>
      </c>
      <c r="U105" s="21" t="s">
        <v>622</v>
      </c>
      <c r="V105" s="19" t="s">
        <v>38</v>
      </c>
      <c r="W105" s="19">
        <f t="shared" ca="1" si="2"/>
        <v>25</v>
      </c>
      <c r="X105" s="19">
        <f t="shared" si="3"/>
        <v>7</v>
      </c>
      <c r="Y105" s="19" t="str" cm="1">
        <f t="array" ref="Y105">_xlfn.IFS(ISERROR(X105), "Pending", X105&lt;=5, "On Time", X105&gt;5, "Delayed")</f>
        <v>Delayed</v>
      </c>
    </row>
    <row r="106" spans="1:25" x14ac:dyDescent="0.3">
      <c r="A106" s="15" t="s">
        <v>623</v>
      </c>
      <c r="B106" s="15" t="s">
        <v>83</v>
      </c>
      <c r="C106" s="15" t="s">
        <v>222</v>
      </c>
      <c r="D106" s="16">
        <v>45733</v>
      </c>
      <c r="E106" s="16">
        <v>45734</v>
      </c>
      <c r="F106" s="15" t="s">
        <v>180</v>
      </c>
      <c r="G106" s="15" t="s">
        <v>76</v>
      </c>
      <c r="H106" s="16">
        <v>35071</v>
      </c>
      <c r="I106" s="15" t="s">
        <v>105</v>
      </c>
      <c r="J106" s="15" t="s">
        <v>106</v>
      </c>
      <c r="K106" s="15" t="s">
        <v>122</v>
      </c>
      <c r="L106" s="15" t="s">
        <v>227</v>
      </c>
      <c r="M106" s="15">
        <v>9</v>
      </c>
      <c r="N106" s="15">
        <v>20</v>
      </c>
      <c r="O106" s="15">
        <v>10</v>
      </c>
      <c r="P106" s="15">
        <v>162</v>
      </c>
      <c r="Q106" s="15">
        <v>4</v>
      </c>
      <c r="R106" s="15" t="s">
        <v>79</v>
      </c>
      <c r="S106" s="15" t="s">
        <v>35</v>
      </c>
      <c r="T106" s="15" t="s">
        <v>89</v>
      </c>
      <c r="U106" s="18" t="s">
        <v>626</v>
      </c>
      <c r="V106" s="15" t="s">
        <v>64</v>
      </c>
      <c r="W106" s="15">
        <f t="shared" ca="1" si="2"/>
        <v>30</v>
      </c>
      <c r="X106" s="15">
        <f t="shared" si="3"/>
        <v>1</v>
      </c>
      <c r="Y106" s="15" t="str" cm="1">
        <f t="array" ref="Y106">_xlfn.IFS(ISERROR(X106), "Pending", X106&lt;=5, "On Time", X106&gt;5, "Delayed")</f>
        <v>On Time</v>
      </c>
    </row>
    <row r="107" spans="1:25" x14ac:dyDescent="0.3">
      <c r="A107" s="19" t="s">
        <v>627</v>
      </c>
      <c r="B107" s="19" t="s">
        <v>53</v>
      </c>
      <c r="C107" s="19" t="s">
        <v>72</v>
      </c>
      <c r="D107" s="20">
        <v>45713</v>
      </c>
      <c r="E107" s="20">
        <v>45717</v>
      </c>
      <c r="F107" s="19" t="s">
        <v>163</v>
      </c>
      <c r="G107" s="19" t="s">
        <v>28</v>
      </c>
      <c r="H107" s="20">
        <v>29008</v>
      </c>
      <c r="I107" s="19" t="s">
        <v>44</v>
      </c>
      <c r="J107" s="19" t="s">
        <v>45</v>
      </c>
      <c r="K107" s="19" t="s">
        <v>46</v>
      </c>
      <c r="L107" s="19" t="s">
        <v>78</v>
      </c>
      <c r="M107" s="19">
        <v>9</v>
      </c>
      <c r="N107" s="19">
        <v>1200</v>
      </c>
      <c r="O107" s="19">
        <v>5</v>
      </c>
      <c r="P107" s="19">
        <v>10260</v>
      </c>
      <c r="Q107" s="19">
        <v>3</v>
      </c>
      <c r="R107" s="19" t="s">
        <v>88</v>
      </c>
      <c r="S107" s="19" t="s">
        <v>35</v>
      </c>
      <c r="T107" s="19" t="s">
        <v>62</v>
      </c>
      <c r="U107" s="21" t="s">
        <v>630</v>
      </c>
      <c r="V107" s="19" t="s">
        <v>64</v>
      </c>
      <c r="W107" s="19">
        <f t="shared" ca="1" si="2"/>
        <v>47</v>
      </c>
      <c r="X107" s="19">
        <f t="shared" si="3"/>
        <v>4</v>
      </c>
      <c r="Y107" s="19" t="str" cm="1">
        <f t="array" ref="Y107">_xlfn.IFS(ISERROR(X107), "Pending", X107&lt;=5, "On Time", X107&gt;5, "Delayed")</f>
        <v>On Time</v>
      </c>
    </row>
    <row r="108" spans="1:25" x14ac:dyDescent="0.3">
      <c r="A108" s="15" t="s">
        <v>631</v>
      </c>
      <c r="B108" s="15" t="s">
        <v>100</v>
      </c>
      <c r="C108" s="15" t="s">
        <v>92</v>
      </c>
      <c r="D108" s="16">
        <v>45714</v>
      </c>
      <c r="E108" s="16">
        <v>45715</v>
      </c>
      <c r="F108" s="15" t="s">
        <v>103</v>
      </c>
      <c r="G108" s="15" t="s">
        <v>28</v>
      </c>
      <c r="H108" s="16">
        <v>31393</v>
      </c>
      <c r="I108" s="15" t="s">
        <v>44</v>
      </c>
      <c r="J108" s="15" t="s">
        <v>45</v>
      </c>
      <c r="K108" s="15" t="s">
        <v>32</v>
      </c>
      <c r="L108" s="15" t="s">
        <v>97</v>
      </c>
      <c r="M108" s="15">
        <v>3</v>
      </c>
      <c r="N108" s="15">
        <v>3500</v>
      </c>
      <c r="O108" s="15">
        <v>10</v>
      </c>
      <c r="P108" s="15">
        <v>9450</v>
      </c>
      <c r="Q108" s="15">
        <v>2</v>
      </c>
      <c r="R108" s="15" t="s">
        <v>79</v>
      </c>
      <c r="S108" s="15" t="s">
        <v>151</v>
      </c>
      <c r="T108" s="15" t="s">
        <v>144</v>
      </c>
      <c r="U108" s="18" t="s">
        <v>634</v>
      </c>
      <c r="V108" s="15" t="s">
        <v>69</v>
      </c>
      <c r="W108" s="15">
        <f t="shared" ca="1" si="2"/>
        <v>40</v>
      </c>
      <c r="X108" s="15">
        <f t="shared" si="3"/>
        <v>1</v>
      </c>
      <c r="Y108" s="15" t="str" cm="1">
        <f t="array" ref="Y108">_xlfn.IFS(ISERROR(X108), "Pending", X108&lt;=5, "On Time", X108&gt;5, "Delayed")</f>
        <v>On Time</v>
      </c>
    </row>
    <row r="109" spans="1:25" x14ac:dyDescent="0.3">
      <c r="A109" s="19" t="s">
        <v>635</v>
      </c>
      <c r="B109" s="19" t="s">
        <v>221</v>
      </c>
      <c r="C109" s="19" t="s">
        <v>72</v>
      </c>
      <c r="D109" s="20">
        <v>46094</v>
      </c>
      <c r="E109" s="20">
        <v>46099</v>
      </c>
      <c r="F109" s="19" t="s">
        <v>225</v>
      </c>
      <c r="G109" s="19" t="s">
        <v>76</v>
      </c>
      <c r="H109" s="20">
        <v>33631</v>
      </c>
      <c r="I109" s="19" t="s">
        <v>105</v>
      </c>
      <c r="J109" s="19" t="s">
        <v>106</v>
      </c>
      <c r="K109" s="19" t="s">
        <v>46</v>
      </c>
      <c r="L109" s="19" t="s">
        <v>78</v>
      </c>
      <c r="M109" s="19">
        <v>6</v>
      </c>
      <c r="N109" s="19">
        <v>1200</v>
      </c>
      <c r="O109" s="19">
        <v>15</v>
      </c>
      <c r="P109" s="19">
        <v>6120</v>
      </c>
      <c r="Q109" s="19">
        <v>4</v>
      </c>
      <c r="R109" s="19" t="s">
        <v>88</v>
      </c>
      <c r="S109" s="19" t="s">
        <v>35</v>
      </c>
      <c r="T109" s="19" t="s">
        <v>228</v>
      </c>
      <c r="U109" s="21" t="s">
        <v>638</v>
      </c>
      <c r="V109" s="19" t="s">
        <v>69</v>
      </c>
      <c r="W109" s="19">
        <f t="shared" ca="1" si="2"/>
        <v>34</v>
      </c>
      <c r="X109" s="19">
        <f t="shared" si="3"/>
        <v>5</v>
      </c>
      <c r="Y109" s="19" t="str" cm="1">
        <f t="array" ref="Y109">_xlfn.IFS(ISERROR(X109), "Pending", X109&lt;=5, "On Time", X109&gt;5, "Delayed")</f>
        <v>On Time</v>
      </c>
    </row>
    <row r="110" spans="1:25" x14ac:dyDescent="0.3">
      <c r="A110" s="15" t="s">
        <v>639</v>
      </c>
      <c r="B110" s="15" t="s">
        <v>83</v>
      </c>
      <c r="C110" s="15" t="s">
        <v>72</v>
      </c>
      <c r="D110" s="16">
        <v>45848</v>
      </c>
      <c r="E110" s="16">
        <v>45850</v>
      </c>
      <c r="F110" s="15" t="s">
        <v>180</v>
      </c>
      <c r="G110" s="15" t="s">
        <v>76</v>
      </c>
      <c r="H110" s="16">
        <v>34096</v>
      </c>
      <c r="I110" s="15" t="s">
        <v>212</v>
      </c>
      <c r="J110" s="15" t="s">
        <v>45</v>
      </c>
      <c r="K110" s="15" t="s">
        <v>46</v>
      </c>
      <c r="L110" s="15" t="s">
        <v>78</v>
      </c>
      <c r="M110" s="15">
        <v>17</v>
      </c>
      <c r="N110" s="15">
        <v>1200</v>
      </c>
      <c r="O110" s="15">
        <v>15</v>
      </c>
      <c r="P110" s="15">
        <v>17340</v>
      </c>
      <c r="Q110" s="15">
        <v>1</v>
      </c>
      <c r="R110" s="15" t="s">
        <v>34</v>
      </c>
      <c r="S110" s="15" t="s">
        <v>61</v>
      </c>
      <c r="T110" s="15" t="s">
        <v>89</v>
      </c>
      <c r="U110" s="18" t="s">
        <v>643</v>
      </c>
      <c r="V110" s="15" t="s">
        <v>38</v>
      </c>
      <c r="W110" s="15">
        <f t="shared" ca="1" si="2"/>
        <v>33</v>
      </c>
      <c r="X110" s="15">
        <f t="shared" si="3"/>
        <v>2</v>
      </c>
      <c r="Y110" s="15" t="str" cm="1">
        <f t="array" ref="Y110">_xlfn.IFS(ISERROR(X110), "Pending", X110&lt;=5, "On Time", X110&gt;5, "Delayed")</f>
        <v>On Time</v>
      </c>
    </row>
    <row r="111" spans="1:25" x14ac:dyDescent="0.3">
      <c r="A111" s="19" t="s">
        <v>644</v>
      </c>
      <c r="B111" s="19" t="s">
        <v>221</v>
      </c>
      <c r="C111" s="19" t="s">
        <v>169</v>
      </c>
      <c r="D111" s="20">
        <v>45979</v>
      </c>
      <c r="E111" s="20">
        <v>45987</v>
      </c>
      <c r="F111" s="19" t="s">
        <v>225</v>
      </c>
      <c r="G111" s="19" t="s">
        <v>76</v>
      </c>
      <c r="H111" s="20">
        <v>28381</v>
      </c>
      <c r="I111" s="19" t="s">
        <v>59</v>
      </c>
      <c r="J111" s="19" t="s">
        <v>31</v>
      </c>
      <c r="K111" s="19" t="s">
        <v>32</v>
      </c>
      <c r="L111" s="19" t="s">
        <v>174</v>
      </c>
      <c r="M111" s="19">
        <v>15</v>
      </c>
      <c r="N111" s="19">
        <v>8500</v>
      </c>
      <c r="O111" s="19">
        <v>0</v>
      </c>
      <c r="P111" s="19">
        <v>127500</v>
      </c>
      <c r="Q111" s="19">
        <v>3</v>
      </c>
      <c r="R111" s="19" t="s">
        <v>34</v>
      </c>
      <c r="S111" s="19" t="s">
        <v>115</v>
      </c>
      <c r="T111" s="19" t="s">
        <v>228</v>
      </c>
      <c r="U111" s="21" t="s">
        <v>647</v>
      </c>
      <c r="V111" s="19" t="s">
        <v>64</v>
      </c>
      <c r="W111" s="19">
        <f t="shared" ca="1" si="2"/>
        <v>48</v>
      </c>
      <c r="X111" s="19">
        <f t="shared" si="3"/>
        <v>8</v>
      </c>
      <c r="Y111" s="19" t="str" cm="1">
        <f t="array" ref="Y111">_xlfn.IFS(ISERROR(X111), "Pending", X111&lt;=5, "On Time", X111&gt;5, "Delayed")</f>
        <v>Delayed</v>
      </c>
    </row>
    <row r="112" spans="1:25" x14ac:dyDescent="0.3">
      <c r="A112" s="15" t="s">
        <v>648</v>
      </c>
      <c r="B112" s="15" t="s">
        <v>127</v>
      </c>
      <c r="C112" s="15" t="s">
        <v>72</v>
      </c>
      <c r="D112" s="16">
        <v>45760</v>
      </c>
      <c r="E112" s="16">
        <v>45766</v>
      </c>
      <c r="F112" s="15" t="s">
        <v>200</v>
      </c>
      <c r="G112" s="15" t="s">
        <v>76</v>
      </c>
      <c r="H112" s="16">
        <v>31361</v>
      </c>
      <c r="I112" s="15" t="s">
        <v>30</v>
      </c>
      <c r="J112" s="15" t="s">
        <v>31</v>
      </c>
      <c r="K112" s="15" t="s">
        <v>46</v>
      </c>
      <c r="L112" s="15" t="s">
        <v>78</v>
      </c>
      <c r="M112" s="15">
        <v>1</v>
      </c>
      <c r="N112" s="15">
        <v>1200</v>
      </c>
      <c r="O112" s="15">
        <v>20</v>
      </c>
      <c r="P112" s="15">
        <v>960</v>
      </c>
      <c r="Q112" s="15">
        <v>1</v>
      </c>
      <c r="R112" s="15" t="s">
        <v>88</v>
      </c>
      <c r="S112" s="15" t="s">
        <v>115</v>
      </c>
      <c r="T112" s="15" t="s">
        <v>132</v>
      </c>
      <c r="U112" s="18" t="s">
        <v>650</v>
      </c>
      <c r="V112" s="15" t="s">
        <v>64</v>
      </c>
      <c r="W112" s="15">
        <f t="shared" ca="1" si="2"/>
        <v>40</v>
      </c>
      <c r="X112" s="15">
        <f t="shared" si="3"/>
        <v>6</v>
      </c>
      <c r="Y112" s="15" t="str" cm="1">
        <f t="array" ref="Y112">_xlfn.IFS(ISERROR(X112), "Pending", X112&lt;=5, "On Time", X112&gt;5, "Delayed")</f>
        <v>Delayed</v>
      </c>
    </row>
    <row r="113" spans="1:25" x14ac:dyDescent="0.3">
      <c r="A113" s="19" t="s">
        <v>651</v>
      </c>
      <c r="B113" s="19" t="s">
        <v>127</v>
      </c>
      <c r="C113" s="19" t="s">
        <v>169</v>
      </c>
      <c r="D113" s="20">
        <v>45756</v>
      </c>
      <c r="E113" s="20">
        <v>45765</v>
      </c>
      <c r="F113" s="19" t="s">
        <v>200</v>
      </c>
      <c r="G113" s="19" t="s">
        <v>76</v>
      </c>
      <c r="H113" s="20">
        <v>36932</v>
      </c>
      <c r="I113" s="19" t="s">
        <v>294</v>
      </c>
      <c r="J113" s="19" t="s">
        <v>295</v>
      </c>
      <c r="K113" s="19" t="s">
        <v>32</v>
      </c>
      <c r="L113" s="19" t="s">
        <v>174</v>
      </c>
      <c r="M113" s="19">
        <v>5</v>
      </c>
      <c r="N113" s="19">
        <v>8500</v>
      </c>
      <c r="O113" s="19">
        <v>10</v>
      </c>
      <c r="P113" s="19">
        <v>38250</v>
      </c>
      <c r="Q113" s="19">
        <v>1</v>
      </c>
      <c r="R113" s="19" t="s">
        <v>79</v>
      </c>
      <c r="S113" s="19" t="s">
        <v>61</v>
      </c>
      <c r="T113" s="19" t="s">
        <v>132</v>
      </c>
      <c r="U113" s="21" t="s">
        <v>654</v>
      </c>
      <c r="V113" s="19" t="s">
        <v>38</v>
      </c>
      <c r="W113" s="19">
        <f t="shared" ca="1" si="2"/>
        <v>25</v>
      </c>
      <c r="X113" s="19">
        <f t="shared" si="3"/>
        <v>9</v>
      </c>
      <c r="Y113" s="19" t="str" cm="1">
        <f t="array" ref="Y113">_xlfn.IFS(ISERROR(X113), "Pending", X113&lt;=5, "On Time", X113&gt;5, "Delayed")</f>
        <v>Delayed</v>
      </c>
    </row>
    <row r="114" spans="1:25" x14ac:dyDescent="0.3">
      <c r="A114" s="15" t="s">
        <v>655</v>
      </c>
      <c r="B114" s="15" t="s">
        <v>53</v>
      </c>
      <c r="C114" s="15" t="s">
        <v>259</v>
      </c>
      <c r="D114" s="16">
        <v>46115</v>
      </c>
      <c r="E114" s="16">
        <v>46122</v>
      </c>
      <c r="F114" s="15" t="s">
        <v>163</v>
      </c>
      <c r="G114" s="15" t="s">
        <v>28</v>
      </c>
      <c r="H114" s="16">
        <v>31628</v>
      </c>
      <c r="I114" s="15" t="s">
        <v>30</v>
      </c>
      <c r="J114" s="15" t="s">
        <v>31</v>
      </c>
      <c r="K114" s="15" t="s">
        <v>122</v>
      </c>
      <c r="L114" s="15" t="s">
        <v>263</v>
      </c>
      <c r="M114" s="15">
        <v>12</v>
      </c>
      <c r="N114" s="15">
        <v>45</v>
      </c>
      <c r="O114" s="15">
        <v>5</v>
      </c>
      <c r="P114" s="15">
        <v>513</v>
      </c>
      <c r="Q114" s="15">
        <v>2</v>
      </c>
      <c r="R114" s="15" t="s">
        <v>48</v>
      </c>
      <c r="S114" s="15" t="s">
        <v>35</v>
      </c>
      <c r="T114" s="15" t="s">
        <v>62</v>
      </c>
      <c r="U114" s="18" t="s">
        <v>659</v>
      </c>
      <c r="V114" s="15" t="s">
        <v>69</v>
      </c>
      <c r="W114" s="15">
        <f t="shared" ca="1" si="2"/>
        <v>40</v>
      </c>
      <c r="X114" s="15">
        <f t="shared" si="3"/>
        <v>7</v>
      </c>
      <c r="Y114" s="15" t="str" cm="1">
        <f t="array" ref="Y114">_xlfn.IFS(ISERROR(X114), "Pending", X114&lt;=5, "On Time", X114&gt;5, "Delayed")</f>
        <v>Delayed</v>
      </c>
    </row>
    <row r="115" spans="1:25" x14ac:dyDescent="0.3">
      <c r="A115" s="19" t="s">
        <v>660</v>
      </c>
      <c r="B115" s="19" t="s">
        <v>221</v>
      </c>
      <c r="C115" s="19" t="s">
        <v>118</v>
      </c>
      <c r="D115" s="20">
        <v>45953</v>
      </c>
      <c r="E115" s="20">
        <v>45958</v>
      </c>
      <c r="F115" s="19" t="s">
        <v>225</v>
      </c>
      <c r="G115" s="19" t="s">
        <v>76</v>
      </c>
      <c r="H115" s="20">
        <v>33075</v>
      </c>
      <c r="I115" s="19" t="s">
        <v>114</v>
      </c>
      <c r="J115" s="19" t="s">
        <v>106</v>
      </c>
      <c r="K115" s="19" t="s">
        <v>122</v>
      </c>
      <c r="L115" s="19" t="s">
        <v>123</v>
      </c>
      <c r="M115" s="19">
        <v>5</v>
      </c>
      <c r="N115" s="19">
        <v>60</v>
      </c>
      <c r="O115" s="19">
        <v>5</v>
      </c>
      <c r="P115" s="19">
        <v>285</v>
      </c>
      <c r="Q115" s="19">
        <v>2</v>
      </c>
      <c r="R115" s="19" t="s">
        <v>34</v>
      </c>
      <c r="S115" s="19" t="s">
        <v>61</v>
      </c>
      <c r="T115" s="19" t="s">
        <v>228</v>
      </c>
      <c r="U115" s="21" t="s">
        <v>663</v>
      </c>
      <c r="V115" s="19" t="s">
        <v>38</v>
      </c>
      <c r="W115" s="19">
        <f t="shared" ca="1" si="2"/>
        <v>36</v>
      </c>
      <c r="X115" s="19">
        <f t="shared" si="3"/>
        <v>5</v>
      </c>
      <c r="Y115" s="19" t="str" cm="1">
        <f t="array" ref="Y115">_xlfn.IFS(ISERROR(X115), "Pending", X115&lt;=5, "On Time", X115&gt;5, "Delayed")</f>
        <v>On Time</v>
      </c>
    </row>
    <row r="116" spans="1:25" x14ac:dyDescent="0.3">
      <c r="A116" s="15" t="s">
        <v>664</v>
      </c>
      <c r="B116" s="15" t="s">
        <v>53</v>
      </c>
      <c r="C116" s="15" t="s">
        <v>184</v>
      </c>
      <c r="D116" s="16">
        <v>45750</v>
      </c>
      <c r="E116" s="16">
        <v>45761</v>
      </c>
      <c r="F116" s="15" t="s">
        <v>163</v>
      </c>
      <c r="G116" s="15" t="s">
        <v>28</v>
      </c>
      <c r="H116" s="16">
        <v>34642</v>
      </c>
      <c r="I116" s="15" t="s">
        <v>294</v>
      </c>
      <c r="J116" s="15" t="s">
        <v>295</v>
      </c>
      <c r="K116" s="15" t="s">
        <v>46</v>
      </c>
      <c r="L116" s="15" t="s">
        <v>189</v>
      </c>
      <c r="M116" s="15">
        <v>3</v>
      </c>
      <c r="N116" s="15">
        <v>700</v>
      </c>
      <c r="O116" s="15">
        <v>0</v>
      </c>
      <c r="P116" s="15">
        <v>2100</v>
      </c>
      <c r="Q116" s="15">
        <v>4</v>
      </c>
      <c r="R116" s="15" t="s">
        <v>79</v>
      </c>
      <c r="S116" s="15" t="s">
        <v>61</v>
      </c>
      <c r="T116" s="15" t="s">
        <v>62</v>
      </c>
      <c r="U116" s="18" t="s">
        <v>668</v>
      </c>
      <c r="V116" s="15" t="s">
        <v>38</v>
      </c>
      <c r="W116" s="15">
        <f t="shared" ca="1" si="2"/>
        <v>31</v>
      </c>
      <c r="X116" s="15">
        <f t="shared" si="3"/>
        <v>11</v>
      </c>
      <c r="Y116" s="15" t="str" cm="1">
        <f t="array" ref="Y116">_xlfn.IFS(ISERROR(X116), "Pending", X116&lt;=5, "On Time", X116&gt;5, "Delayed")</f>
        <v>Delayed</v>
      </c>
    </row>
    <row r="117" spans="1:25" x14ac:dyDescent="0.3">
      <c r="A117" s="19" t="s">
        <v>669</v>
      </c>
      <c r="B117" s="19" t="s">
        <v>168</v>
      </c>
      <c r="C117" s="19" t="s">
        <v>222</v>
      </c>
      <c r="D117" s="20">
        <v>45772</v>
      </c>
      <c r="E117" s="20">
        <v>45776</v>
      </c>
      <c r="F117" s="19" t="s">
        <v>361</v>
      </c>
      <c r="G117" s="19" t="s">
        <v>28</v>
      </c>
      <c r="H117" s="20">
        <v>33699</v>
      </c>
      <c r="I117" s="19" t="s">
        <v>44</v>
      </c>
      <c r="J117" s="19" t="s">
        <v>45</v>
      </c>
      <c r="K117" s="19" t="s">
        <v>122</v>
      </c>
      <c r="L117" s="19" t="s">
        <v>227</v>
      </c>
      <c r="M117" s="19">
        <v>6</v>
      </c>
      <c r="N117" s="19">
        <v>20</v>
      </c>
      <c r="O117" s="19">
        <v>15</v>
      </c>
      <c r="P117" s="19">
        <v>102</v>
      </c>
      <c r="Q117" s="19">
        <v>5</v>
      </c>
      <c r="R117" s="19" t="s">
        <v>79</v>
      </c>
      <c r="S117" s="19" t="s">
        <v>151</v>
      </c>
      <c r="T117" s="19" t="s">
        <v>175</v>
      </c>
      <c r="U117" s="21" t="s">
        <v>671</v>
      </c>
      <c r="V117" s="19" t="s">
        <v>38</v>
      </c>
      <c r="W117" s="19">
        <f t="shared" ca="1" si="2"/>
        <v>34</v>
      </c>
      <c r="X117" s="19">
        <f t="shared" si="3"/>
        <v>4</v>
      </c>
      <c r="Y117" s="19" t="str" cm="1">
        <f t="array" ref="Y117">_xlfn.IFS(ISERROR(X117), "Pending", X117&lt;=5, "On Time", X117&gt;5, "Delayed")</f>
        <v>On Time</v>
      </c>
    </row>
    <row r="118" spans="1:25" x14ac:dyDescent="0.3">
      <c r="A118" s="15" t="s">
        <v>672</v>
      </c>
      <c r="B118" s="15" t="s">
        <v>100</v>
      </c>
      <c r="C118" s="15" t="s">
        <v>184</v>
      </c>
      <c r="D118" s="16">
        <v>45893</v>
      </c>
      <c r="E118" s="16">
        <v>45900</v>
      </c>
      <c r="F118" s="15" t="s">
        <v>103</v>
      </c>
      <c r="G118" s="15" t="s">
        <v>28</v>
      </c>
      <c r="H118" s="16">
        <v>29354</v>
      </c>
      <c r="I118" s="15" t="s">
        <v>59</v>
      </c>
      <c r="J118" s="15" t="s">
        <v>31</v>
      </c>
      <c r="K118" s="15" t="s">
        <v>46</v>
      </c>
      <c r="L118" s="15" t="s">
        <v>189</v>
      </c>
      <c r="M118" s="15">
        <v>2</v>
      </c>
      <c r="N118" s="15">
        <v>700</v>
      </c>
      <c r="O118" s="15">
        <v>15</v>
      </c>
      <c r="P118" s="15">
        <v>1190</v>
      </c>
      <c r="Q118" s="15">
        <v>4</v>
      </c>
      <c r="R118" s="15" t="s">
        <v>34</v>
      </c>
      <c r="S118" s="15" t="s">
        <v>151</v>
      </c>
      <c r="T118" s="15" t="s">
        <v>144</v>
      </c>
      <c r="U118" s="18" t="s">
        <v>676</v>
      </c>
      <c r="V118" s="15" t="s">
        <v>64</v>
      </c>
      <c r="W118" s="15">
        <f t="shared" ca="1" si="2"/>
        <v>46</v>
      </c>
      <c r="X118" s="15">
        <f t="shared" si="3"/>
        <v>7</v>
      </c>
      <c r="Y118" s="15" t="str" cm="1">
        <f t="array" ref="Y118">_xlfn.IFS(ISERROR(X118), "Pending", X118&lt;=5, "On Time", X118&gt;5, "Delayed")</f>
        <v>Delayed</v>
      </c>
    </row>
    <row r="119" spans="1:25" x14ac:dyDescent="0.3">
      <c r="A119" s="19" t="s">
        <v>677</v>
      </c>
      <c r="B119" s="19" t="s">
        <v>327</v>
      </c>
      <c r="C119" s="19" t="s">
        <v>259</v>
      </c>
      <c r="D119" s="20">
        <v>45808</v>
      </c>
      <c r="E119" s="20">
        <v>45819</v>
      </c>
      <c r="F119" s="19" t="s">
        <v>394</v>
      </c>
      <c r="G119" s="19" t="s">
        <v>76</v>
      </c>
      <c r="H119" s="20">
        <v>34889</v>
      </c>
      <c r="I119" s="19" t="s">
        <v>114</v>
      </c>
      <c r="J119" s="19" t="s">
        <v>106</v>
      </c>
      <c r="K119" s="19" t="s">
        <v>122</v>
      </c>
      <c r="L119" s="19" t="s">
        <v>263</v>
      </c>
      <c r="M119" s="19">
        <v>16</v>
      </c>
      <c r="N119" s="19">
        <v>45</v>
      </c>
      <c r="O119" s="19">
        <v>0</v>
      </c>
      <c r="P119" s="19">
        <v>720</v>
      </c>
      <c r="Q119" s="19">
        <v>1</v>
      </c>
      <c r="R119" s="19" t="s">
        <v>48</v>
      </c>
      <c r="S119" s="19" t="s">
        <v>61</v>
      </c>
      <c r="T119" s="19" t="s">
        <v>332</v>
      </c>
      <c r="U119" s="21" t="s">
        <v>681</v>
      </c>
      <c r="V119" s="19" t="s">
        <v>38</v>
      </c>
      <c r="W119" s="19">
        <f t="shared" ca="1" si="2"/>
        <v>31</v>
      </c>
      <c r="X119" s="19">
        <f t="shared" si="3"/>
        <v>11</v>
      </c>
      <c r="Y119" s="19" t="str" cm="1">
        <f t="array" ref="Y119">_xlfn.IFS(ISERROR(X119), "Pending", X119&lt;=5, "On Time", X119&gt;5, "Delayed")</f>
        <v>Delayed</v>
      </c>
    </row>
    <row r="120" spans="1:25" x14ac:dyDescent="0.3">
      <c r="A120" s="15" t="s">
        <v>682</v>
      </c>
      <c r="B120" s="15" t="s">
        <v>71</v>
      </c>
      <c r="C120" s="15" t="s">
        <v>72</v>
      </c>
      <c r="D120" s="16">
        <v>45807</v>
      </c>
      <c r="E120" s="16">
        <v>45810</v>
      </c>
      <c r="F120" s="15" t="s">
        <v>217</v>
      </c>
      <c r="G120" s="15" t="s">
        <v>76</v>
      </c>
      <c r="H120" s="16">
        <v>32358</v>
      </c>
      <c r="I120" s="15" t="s">
        <v>138</v>
      </c>
      <c r="J120" s="15" t="s">
        <v>106</v>
      </c>
      <c r="K120" s="15" t="s">
        <v>46</v>
      </c>
      <c r="L120" s="15" t="s">
        <v>78</v>
      </c>
      <c r="M120" s="15" t="s">
        <v>686</v>
      </c>
      <c r="N120" s="15">
        <v>1200</v>
      </c>
      <c r="O120" s="15">
        <v>15</v>
      </c>
      <c r="P120" s="15">
        <v>7140</v>
      </c>
      <c r="Q120" s="15">
        <v>4</v>
      </c>
      <c r="R120" s="15" t="s">
        <v>88</v>
      </c>
      <c r="S120" s="15" t="s">
        <v>151</v>
      </c>
      <c r="T120" s="15" t="s">
        <v>80</v>
      </c>
      <c r="U120" s="18" t="s">
        <v>687</v>
      </c>
      <c r="V120" s="15" t="s">
        <v>64</v>
      </c>
      <c r="W120" s="15">
        <f t="shared" ca="1" si="2"/>
        <v>38</v>
      </c>
      <c r="X120" s="15">
        <f t="shared" si="3"/>
        <v>3</v>
      </c>
      <c r="Y120" s="15" t="str" cm="1">
        <f t="array" ref="Y120">_xlfn.IFS(ISERROR(X120), "Pending", X120&lt;=5, "On Time", X120&gt;5, "Delayed")</f>
        <v>On Time</v>
      </c>
    </row>
    <row r="121" spans="1:25" x14ac:dyDescent="0.3">
      <c r="A121" s="19" t="s">
        <v>688</v>
      </c>
      <c r="B121" s="19" t="s">
        <v>100</v>
      </c>
      <c r="C121" s="19" t="s">
        <v>40</v>
      </c>
      <c r="D121" s="20">
        <v>45888</v>
      </c>
      <c r="E121" s="20">
        <v>45899</v>
      </c>
      <c r="F121" s="19" t="s">
        <v>103</v>
      </c>
      <c r="G121" s="19" t="s">
        <v>28</v>
      </c>
      <c r="H121" s="20">
        <v>32696</v>
      </c>
      <c r="I121" s="19" t="s">
        <v>212</v>
      </c>
      <c r="J121" s="19" t="s">
        <v>45</v>
      </c>
      <c r="K121" s="19" t="s">
        <v>46</v>
      </c>
      <c r="L121" s="19" t="s">
        <v>47</v>
      </c>
      <c r="M121" s="19">
        <v>14</v>
      </c>
      <c r="N121" s="19">
        <v>12000</v>
      </c>
      <c r="O121" s="19">
        <v>15</v>
      </c>
      <c r="P121" s="19">
        <v>142800</v>
      </c>
      <c r="Q121" s="19">
        <v>2</v>
      </c>
      <c r="R121" s="19" t="s">
        <v>48</v>
      </c>
      <c r="S121" s="19" t="s">
        <v>61</v>
      </c>
      <c r="T121" s="19" t="s">
        <v>144</v>
      </c>
      <c r="U121" s="21" t="s">
        <v>690</v>
      </c>
      <c r="V121" s="19" t="s">
        <v>64</v>
      </c>
      <c r="W121" s="19">
        <f t="shared" ca="1" si="2"/>
        <v>37</v>
      </c>
      <c r="X121" s="19">
        <f t="shared" si="3"/>
        <v>11</v>
      </c>
      <c r="Y121" s="19" t="str" cm="1">
        <f t="array" ref="Y121">_xlfn.IFS(ISERROR(X121), "Pending", X121&lt;=5, "On Time", X121&gt;5, "Delayed")</f>
        <v>Delayed</v>
      </c>
    </row>
    <row r="122" spans="1:25" x14ac:dyDescent="0.3">
      <c r="A122" s="15" t="s">
        <v>691</v>
      </c>
      <c r="B122" s="15" t="s">
        <v>127</v>
      </c>
      <c r="C122" s="15" t="s">
        <v>169</v>
      </c>
      <c r="D122" s="16">
        <v>46005</v>
      </c>
      <c r="E122" s="16">
        <v>46007</v>
      </c>
      <c r="F122" s="15" t="s">
        <v>200</v>
      </c>
      <c r="G122" s="15" t="s">
        <v>76</v>
      </c>
      <c r="H122" s="16">
        <v>34284</v>
      </c>
      <c r="I122" s="15" t="s">
        <v>114</v>
      </c>
      <c r="J122" s="15" t="s">
        <v>106</v>
      </c>
      <c r="K122" s="15" t="s">
        <v>32</v>
      </c>
      <c r="L122" s="15" t="s">
        <v>174</v>
      </c>
      <c r="M122" s="15">
        <v>8</v>
      </c>
      <c r="N122" s="15">
        <v>8500</v>
      </c>
      <c r="O122" s="15">
        <v>20</v>
      </c>
      <c r="P122" s="15">
        <v>54400</v>
      </c>
      <c r="Q122" s="15">
        <v>3</v>
      </c>
      <c r="R122" s="15" t="s">
        <v>79</v>
      </c>
      <c r="S122" s="15" t="s">
        <v>49</v>
      </c>
      <c r="T122" s="15" t="s">
        <v>132</v>
      </c>
      <c r="U122" s="18" t="s">
        <v>694</v>
      </c>
      <c r="V122" s="15" t="s">
        <v>38</v>
      </c>
      <c r="W122" s="15">
        <f t="shared" ca="1" si="2"/>
        <v>32</v>
      </c>
      <c r="X122" s="15">
        <f t="shared" si="3"/>
        <v>2</v>
      </c>
      <c r="Y122" s="15" t="str" cm="1">
        <f t="array" ref="Y122">_xlfn.IFS(ISERROR(X122), "Pending", X122&lt;=5, "On Time", X122&gt;5, "Delayed")</f>
        <v>On Time</v>
      </c>
    </row>
    <row r="123" spans="1:25" x14ac:dyDescent="0.3">
      <c r="A123" s="19" t="s">
        <v>695</v>
      </c>
      <c r="B123" s="19" t="s">
        <v>83</v>
      </c>
      <c r="C123" s="19" t="s">
        <v>259</v>
      </c>
      <c r="D123" s="20">
        <v>46053</v>
      </c>
      <c r="E123" s="20">
        <v>46063</v>
      </c>
      <c r="F123" s="19" t="s">
        <v>180</v>
      </c>
      <c r="G123" s="19" t="s">
        <v>76</v>
      </c>
      <c r="H123" s="20">
        <v>36527</v>
      </c>
      <c r="I123" s="19" t="s">
        <v>59</v>
      </c>
      <c r="J123" s="19" t="s">
        <v>31</v>
      </c>
      <c r="K123" s="19" t="s">
        <v>122</v>
      </c>
      <c r="L123" s="19" t="s">
        <v>263</v>
      </c>
      <c r="M123" s="19">
        <v>3</v>
      </c>
      <c r="N123" s="19">
        <v>45</v>
      </c>
      <c r="O123" s="19">
        <v>0</v>
      </c>
      <c r="P123" s="19">
        <v>135</v>
      </c>
      <c r="Q123" s="19">
        <v>4</v>
      </c>
      <c r="R123" s="19" t="s">
        <v>88</v>
      </c>
      <c r="S123" s="19" t="s">
        <v>61</v>
      </c>
      <c r="T123" s="19" t="s">
        <v>89</v>
      </c>
      <c r="U123" s="21" t="s">
        <v>697</v>
      </c>
      <c r="V123" s="19" t="s">
        <v>69</v>
      </c>
      <c r="W123" s="19">
        <f t="shared" ca="1" si="2"/>
        <v>26</v>
      </c>
      <c r="X123" s="19">
        <f t="shared" si="3"/>
        <v>10</v>
      </c>
      <c r="Y123" s="19" t="str" cm="1">
        <f t="array" ref="Y123">_xlfn.IFS(ISERROR(X123), "Pending", X123&lt;=5, "On Time", X123&gt;5, "Delayed")</f>
        <v>Delayed</v>
      </c>
    </row>
    <row r="124" spans="1:25" x14ac:dyDescent="0.3">
      <c r="A124" s="15" t="s">
        <v>698</v>
      </c>
      <c r="B124" s="15" t="s">
        <v>327</v>
      </c>
      <c r="C124" s="15" t="s">
        <v>184</v>
      </c>
      <c r="D124" s="16">
        <v>46025</v>
      </c>
      <c r="E124" s="16">
        <v>46026</v>
      </c>
      <c r="F124" s="15" t="s">
        <v>394</v>
      </c>
      <c r="G124" s="15" t="s">
        <v>76</v>
      </c>
      <c r="H124" s="16">
        <v>31585</v>
      </c>
      <c r="I124" s="15" t="s">
        <v>212</v>
      </c>
      <c r="J124" s="15" t="s">
        <v>45</v>
      </c>
      <c r="K124" s="15" t="s">
        <v>46</v>
      </c>
      <c r="L124" s="15" t="s">
        <v>189</v>
      </c>
      <c r="M124" s="15">
        <v>13</v>
      </c>
      <c r="N124" s="15">
        <v>700</v>
      </c>
      <c r="O124" s="15">
        <v>5</v>
      </c>
      <c r="P124" s="15">
        <v>8645</v>
      </c>
      <c r="Q124" s="15">
        <v>3</v>
      </c>
      <c r="R124" s="15" t="s">
        <v>79</v>
      </c>
      <c r="S124" s="15" t="s">
        <v>115</v>
      </c>
      <c r="T124" s="15" t="s">
        <v>332</v>
      </c>
      <c r="U124" s="18" t="s">
        <v>700</v>
      </c>
      <c r="V124" s="15" t="s">
        <v>64</v>
      </c>
      <c r="W124" s="15">
        <f t="shared" ca="1" si="2"/>
        <v>40</v>
      </c>
      <c r="X124" s="15">
        <f t="shared" si="3"/>
        <v>1</v>
      </c>
      <c r="Y124" s="15" t="str" cm="1">
        <f t="array" ref="Y124">_xlfn.IFS(ISERROR(X124), "Pending", X124&lt;=5, "On Time", X124&gt;5, "Delayed")</f>
        <v>On Time</v>
      </c>
    </row>
    <row r="125" spans="1:25" x14ac:dyDescent="0.3">
      <c r="A125" s="19" t="s">
        <v>701</v>
      </c>
      <c r="B125" s="19" t="s">
        <v>168</v>
      </c>
      <c r="C125" s="19" t="s">
        <v>72</v>
      </c>
      <c r="D125" s="20">
        <v>45950</v>
      </c>
      <c r="E125" s="20">
        <v>45956</v>
      </c>
      <c r="F125" s="19" t="s">
        <v>361</v>
      </c>
      <c r="G125" s="19" t="s">
        <v>28</v>
      </c>
      <c r="H125" s="20">
        <v>31459</v>
      </c>
      <c r="I125" s="19" t="s">
        <v>105</v>
      </c>
      <c r="J125" s="19" t="s">
        <v>106</v>
      </c>
      <c r="K125" s="19" t="s">
        <v>46</v>
      </c>
      <c r="L125" s="19" t="s">
        <v>78</v>
      </c>
      <c r="M125" s="19">
        <v>14</v>
      </c>
      <c r="N125" s="19">
        <v>1200</v>
      </c>
      <c r="O125" s="19">
        <v>20</v>
      </c>
      <c r="P125" s="19">
        <v>13440</v>
      </c>
      <c r="Q125" s="19">
        <v>5</v>
      </c>
      <c r="R125" s="19" t="s">
        <v>48</v>
      </c>
      <c r="S125" s="19" t="s">
        <v>61</v>
      </c>
      <c r="T125" s="19" t="s">
        <v>175</v>
      </c>
      <c r="U125" s="21" t="s">
        <v>705</v>
      </c>
      <c r="V125" s="19" t="s">
        <v>38</v>
      </c>
      <c r="W125" s="19">
        <f t="shared" ca="1" si="2"/>
        <v>40</v>
      </c>
      <c r="X125" s="19">
        <f t="shared" si="3"/>
        <v>6</v>
      </c>
      <c r="Y125" s="19" t="str" cm="1">
        <f t="array" ref="Y125">_xlfn.IFS(ISERROR(X125), "Pending", X125&lt;=5, "On Time", X125&gt;5, "Delayed")</f>
        <v>Delayed</v>
      </c>
    </row>
    <row r="126" spans="1:25" x14ac:dyDescent="0.3">
      <c r="A126" s="15" t="s">
        <v>706</v>
      </c>
      <c r="B126" s="15" t="s">
        <v>100</v>
      </c>
      <c r="C126" s="15" t="s">
        <v>259</v>
      </c>
      <c r="D126" s="16">
        <v>45788</v>
      </c>
      <c r="E126" s="16">
        <v>45798</v>
      </c>
      <c r="F126" s="15" t="s">
        <v>103</v>
      </c>
      <c r="G126" s="15" t="s">
        <v>28</v>
      </c>
      <c r="H126" s="16">
        <v>33499</v>
      </c>
      <c r="I126" s="15" t="s">
        <v>44</v>
      </c>
      <c r="J126" s="15" t="s">
        <v>45</v>
      </c>
      <c r="K126" s="15" t="s">
        <v>122</v>
      </c>
      <c r="L126" s="15" t="s">
        <v>263</v>
      </c>
      <c r="M126" s="15">
        <v>2</v>
      </c>
      <c r="N126" s="15">
        <v>45</v>
      </c>
      <c r="O126" s="15">
        <v>5</v>
      </c>
      <c r="P126" s="15">
        <v>85.5</v>
      </c>
      <c r="Q126" s="15">
        <v>3</v>
      </c>
      <c r="R126" s="15" t="s">
        <v>88</v>
      </c>
      <c r="S126" s="15" t="s">
        <v>35</v>
      </c>
      <c r="T126" s="15" t="s">
        <v>144</v>
      </c>
      <c r="U126" s="18" t="s">
        <v>709</v>
      </c>
      <c r="V126" s="15" t="s">
        <v>69</v>
      </c>
      <c r="W126" s="15">
        <f t="shared" ca="1" si="2"/>
        <v>34</v>
      </c>
      <c r="X126" s="15">
        <f t="shared" si="3"/>
        <v>10</v>
      </c>
      <c r="Y126" s="15" t="str" cm="1">
        <f t="array" ref="Y126">_xlfn.IFS(ISERROR(X126), "Pending", X126&lt;=5, "On Time", X126&gt;5, "Delayed")</f>
        <v>Delayed</v>
      </c>
    </row>
    <row r="127" spans="1:25" x14ac:dyDescent="0.3">
      <c r="A127" s="19" t="s">
        <v>710</v>
      </c>
      <c r="B127" s="19" t="s">
        <v>168</v>
      </c>
      <c r="C127" s="19" t="s">
        <v>72</v>
      </c>
      <c r="D127" s="20">
        <v>46024</v>
      </c>
      <c r="E127" s="20">
        <v>46028</v>
      </c>
      <c r="F127" s="19" t="s">
        <v>361</v>
      </c>
      <c r="G127" s="19" t="s">
        <v>28</v>
      </c>
      <c r="H127" s="20">
        <v>29677</v>
      </c>
      <c r="I127" s="19" t="s">
        <v>59</v>
      </c>
      <c r="J127" s="19" t="s">
        <v>31</v>
      </c>
      <c r="K127" s="19" t="s">
        <v>46</v>
      </c>
      <c r="L127" s="19" t="s">
        <v>78</v>
      </c>
      <c r="M127" s="19">
        <v>2</v>
      </c>
      <c r="N127" s="19">
        <v>1200</v>
      </c>
      <c r="O127" s="19">
        <v>20</v>
      </c>
      <c r="P127" s="19">
        <v>1920</v>
      </c>
      <c r="Q127" s="19">
        <v>3</v>
      </c>
      <c r="R127" s="19" t="s">
        <v>79</v>
      </c>
      <c r="S127" s="19" t="s">
        <v>115</v>
      </c>
      <c r="T127" s="19" t="s">
        <v>175</v>
      </c>
      <c r="U127" s="21" t="s">
        <v>714</v>
      </c>
      <c r="V127" s="19" t="s">
        <v>38</v>
      </c>
      <c r="W127" s="19">
        <f t="shared" ca="1" si="2"/>
        <v>45</v>
      </c>
      <c r="X127" s="19">
        <f t="shared" si="3"/>
        <v>4</v>
      </c>
      <c r="Y127" s="19" t="str" cm="1">
        <f t="array" ref="Y127">_xlfn.IFS(ISERROR(X127), "Pending", X127&lt;=5, "On Time", X127&gt;5, "Delayed")</f>
        <v>On Time</v>
      </c>
    </row>
    <row r="128" spans="1:25" x14ac:dyDescent="0.3">
      <c r="A128" s="15" t="s">
        <v>715</v>
      </c>
      <c r="B128" s="15" t="s">
        <v>127</v>
      </c>
      <c r="C128" s="15" t="s">
        <v>54</v>
      </c>
      <c r="D128" s="16">
        <v>46132</v>
      </c>
      <c r="E128" s="16">
        <v>46138</v>
      </c>
      <c r="F128" s="15" t="s">
        <v>200</v>
      </c>
      <c r="G128" s="15" t="s">
        <v>76</v>
      </c>
      <c r="H128" s="16">
        <v>38331</v>
      </c>
      <c r="I128" s="15" t="s">
        <v>59</v>
      </c>
      <c r="J128" s="15" t="s">
        <v>31</v>
      </c>
      <c r="K128" s="15" t="s">
        <v>46</v>
      </c>
      <c r="L128" s="15" t="s">
        <v>60</v>
      </c>
      <c r="M128" s="15">
        <v>10</v>
      </c>
      <c r="N128" s="15">
        <v>55000</v>
      </c>
      <c r="O128" s="15">
        <v>5</v>
      </c>
      <c r="P128" s="15">
        <v>522500</v>
      </c>
      <c r="Q128" s="15">
        <v>5</v>
      </c>
      <c r="R128" s="15" t="s">
        <v>88</v>
      </c>
      <c r="S128" s="15" t="s">
        <v>61</v>
      </c>
      <c r="T128" s="15" t="s">
        <v>132</v>
      </c>
      <c r="U128" s="18" t="s">
        <v>718</v>
      </c>
      <c r="V128" s="15" t="s">
        <v>64</v>
      </c>
      <c r="W128" s="15">
        <f t="shared" ca="1" si="2"/>
        <v>21</v>
      </c>
      <c r="X128" s="15">
        <f t="shared" si="3"/>
        <v>6</v>
      </c>
      <c r="Y128" s="15" t="str" cm="1">
        <f t="array" ref="Y128">_xlfn.IFS(ISERROR(X128), "Pending", X128&lt;=5, "On Time", X128&gt;5, "Delayed")</f>
        <v>Delayed</v>
      </c>
    </row>
    <row r="129" spans="1:25" x14ac:dyDescent="0.3">
      <c r="A129" s="19" t="s">
        <v>719</v>
      </c>
      <c r="B129" s="19" t="s">
        <v>251</v>
      </c>
      <c r="C129" s="19" t="s">
        <v>92</v>
      </c>
      <c r="D129" s="20">
        <v>45873</v>
      </c>
      <c r="E129" s="20">
        <v>45874</v>
      </c>
      <c r="F129" s="19" t="s">
        <v>254</v>
      </c>
      <c r="G129" s="19" t="s">
        <v>28</v>
      </c>
      <c r="H129" s="20">
        <v>30766</v>
      </c>
      <c r="I129" s="19" t="s">
        <v>212</v>
      </c>
      <c r="J129" s="19" t="s">
        <v>45</v>
      </c>
      <c r="K129" s="19" t="s">
        <v>32</v>
      </c>
      <c r="L129" s="19" t="s">
        <v>97</v>
      </c>
      <c r="M129" s="19">
        <v>15</v>
      </c>
      <c r="N129" s="19">
        <v>3500</v>
      </c>
      <c r="O129" s="19">
        <v>10</v>
      </c>
      <c r="P129" s="19">
        <v>47250</v>
      </c>
      <c r="Q129" s="19">
        <v>3</v>
      </c>
      <c r="R129" s="19" t="s">
        <v>48</v>
      </c>
      <c r="S129" s="19" t="s">
        <v>115</v>
      </c>
      <c r="T129" s="19" t="s">
        <v>256</v>
      </c>
      <c r="U129" s="21" t="s">
        <v>722</v>
      </c>
      <c r="V129" s="19" t="s">
        <v>38</v>
      </c>
      <c r="W129" s="19">
        <f t="shared" ca="1" si="2"/>
        <v>42</v>
      </c>
      <c r="X129" s="19">
        <f t="shared" si="3"/>
        <v>1</v>
      </c>
      <c r="Y129" s="19" t="str" cm="1">
        <f t="array" ref="Y129">_xlfn.IFS(ISERROR(X129), "Pending", X129&lt;=5, "On Time", X129&gt;5, "Delayed")</f>
        <v>On Time</v>
      </c>
    </row>
    <row r="130" spans="1:25" x14ac:dyDescent="0.3">
      <c r="A130" s="15" t="s">
        <v>723</v>
      </c>
      <c r="B130" s="15" t="s">
        <v>100</v>
      </c>
      <c r="C130" s="15" t="s">
        <v>24</v>
      </c>
      <c r="D130" s="16">
        <v>45882</v>
      </c>
      <c r="E130" s="16">
        <v>45887</v>
      </c>
      <c r="F130" s="15" t="s">
        <v>103</v>
      </c>
      <c r="G130" s="15" t="s">
        <v>28</v>
      </c>
      <c r="H130" s="16">
        <v>30203</v>
      </c>
      <c r="I130" s="15" t="s">
        <v>59</v>
      </c>
      <c r="J130" s="15" t="s">
        <v>31</v>
      </c>
      <c r="K130" s="15" t="s">
        <v>32</v>
      </c>
      <c r="L130" s="15" t="s">
        <v>33</v>
      </c>
      <c r="M130" s="15">
        <v>10</v>
      </c>
      <c r="N130" s="15">
        <v>2200</v>
      </c>
      <c r="O130" s="15">
        <v>15</v>
      </c>
      <c r="P130" s="15">
        <v>18700</v>
      </c>
      <c r="Q130" s="15">
        <v>4</v>
      </c>
      <c r="R130" s="15" t="s">
        <v>79</v>
      </c>
      <c r="S130" s="15" t="s">
        <v>49</v>
      </c>
      <c r="T130" s="15" t="s">
        <v>144</v>
      </c>
      <c r="U130" s="18" t="s">
        <v>726</v>
      </c>
      <c r="V130" s="15" t="s">
        <v>64</v>
      </c>
      <c r="W130" s="15">
        <f t="shared" ca="1" si="2"/>
        <v>43</v>
      </c>
      <c r="X130" s="15">
        <f t="shared" si="3"/>
        <v>5</v>
      </c>
      <c r="Y130" s="15" t="str" cm="1">
        <f t="array" ref="Y130">_xlfn.IFS(ISERROR(X130), "Pending", X130&lt;=5, "On Time", X130&gt;5, "Delayed")</f>
        <v>On Time</v>
      </c>
    </row>
    <row r="131" spans="1:25" x14ac:dyDescent="0.3">
      <c r="A131" s="19" t="s">
        <v>727</v>
      </c>
      <c r="B131" s="19" t="s">
        <v>251</v>
      </c>
      <c r="C131" s="19" t="s">
        <v>92</v>
      </c>
      <c r="D131" s="20">
        <v>45824</v>
      </c>
      <c r="E131" s="20">
        <v>45832</v>
      </c>
      <c r="F131" s="19" t="s">
        <v>254</v>
      </c>
      <c r="G131" s="19" t="s">
        <v>28</v>
      </c>
      <c r="H131" s="20">
        <v>34015</v>
      </c>
      <c r="I131" s="19" t="s">
        <v>114</v>
      </c>
      <c r="J131" s="19" t="s">
        <v>106</v>
      </c>
      <c r="K131" s="19" t="s">
        <v>32</v>
      </c>
      <c r="L131" s="19" t="s">
        <v>97</v>
      </c>
      <c r="M131" s="19">
        <v>11</v>
      </c>
      <c r="N131" s="19">
        <v>3500</v>
      </c>
      <c r="O131" s="19">
        <v>5</v>
      </c>
      <c r="P131" s="19">
        <v>36575</v>
      </c>
      <c r="Q131" s="19">
        <v>5</v>
      </c>
      <c r="R131" s="19" t="s">
        <v>34</v>
      </c>
      <c r="S131" s="19" t="s">
        <v>35</v>
      </c>
      <c r="T131" s="19" t="s">
        <v>256</v>
      </c>
      <c r="U131" s="21" t="s">
        <v>729</v>
      </c>
      <c r="V131" s="19" t="s">
        <v>69</v>
      </c>
      <c r="W131" s="19">
        <f t="shared" ref="W131:W194" ca="1" si="4">DATEDIF(H131,TODAY(),"Y")</f>
        <v>33</v>
      </c>
      <c r="X131" s="19">
        <f t="shared" ref="X131:X194" si="5">DATEDIF(D131,E131,"D")</f>
        <v>8</v>
      </c>
      <c r="Y131" s="19" t="str" cm="1">
        <f t="array" ref="Y131">_xlfn.IFS(ISERROR(X131), "Pending", X131&lt;=5, "On Time", X131&gt;5, "Delayed")</f>
        <v>Delayed</v>
      </c>
    </row>
    <row r="132" spans="1:25" x14ac:dyDescent="0.3">
      <c r="A132" s="15" t="s">
        <v>730</v>
      </c>
      <c r="B132" s="15" t="s">
        <v>168</v>
      </c>
      <c r="C132" s="15" t="s">
        <v>72</v>
      </c>
      <c r="D132" s="16">
        <v>46139</v>
      </c>
      <c r="E132" s="16">
        <v>46142</v>
      </c>
      <c r="F132" s="15" t="s">
        <v>361</v>
      </c>
      <c r="G132" s="15" t="s">
        <v>28</v>
      </c>
      <c r="H132" s="16">
        <v>37837</v>
      </c>
      <c r="I132" s="15" t="s">
        <v>59</v>
      </c>
      <c r="J132" s="15" t="s">
        <v>31</v>
      </c>
      <c r="K132" s="15" t="s">
        <v>46</v>
      </c>
      <c r="L132" s="15" t="s">
        <v>78</v>
      </c>
      <c r="M132" s="15">
        <v>14</v>
      </c>
      <c r="N132" s="15">
        <v>1200</v>
      </c>
      <c r="O132" s="15">
        <v>0</v>
      </c>
      <c r="P132" s="15">
        <v>16800</v>
      </c>
      <c r="Q132" s="15">
        <v>5</v>
      </c>
      <c r="R132" s="15" t="s">
        <v>34</v>
      </c>
      <c r="S132" s="15" t="s">
        <v>49</v>
      </c>
      <c r="T132" s="15" t="s">
        <v>175</v>
      </c>
      <c r="U132" s="18" t="s">
        <v>734</v>
      </c>
      <c r="V132" s="15" t="s">
        <v>69</v>
      </c>
      <c r="W132" s="15">
        <f t="shared" ca="1" si="4"/>
        <v>23</v>
      </c>
      <c r="X132" s="15">
        <f t="shared" si="5"/>
        <v>3</v>
      </c>
      <c r="Y132" s="15" t="str" cm="1">
        <f t="array" ref="Y132">_xlfn.IFS(ISERROR(X132), "Pending", X132&lt;=5, "On Time", X132&gt;5, "Delayed")</f>
        <v>On Time</v>
      </c>
    </row>
    <row r="133" spans="1:25" x14ac:dyDescent="0.3">
      <c r="A133" s="19" t="s">
        <v>735</v>
      </c>
      <c r="B133" s="19" t="s">
        <v>100</v>
      </c>
      <c r="C133" s="19" t="s">
        <v>222</v>
      </c>
      <c r="D133" s="20">
        <v>46070</v>
      </c>
      <c r="E133" s="20">
        <v>46075</v>
      </c>
      <c r="F133" s="19" t="s">
        <v>103</v>
      </c>
      <c r="G133" s="19" t="s">
        <v>28</v>
      </c>
      <c r="H133" s="20">
        <v>32801</v>
      </c>
      <c r="I133" s="19" t="s">
        <v>44</v>
      </c>
      <c r="J133" s="19" t="s">
        <v>45</v>
      </c>
      <c r="K133" s="19" t="s">
        <v>122</v>
      </c>
      <c r="L133" s="19" t="s">
        <v>227</v>
      </c>
      <c r="M133" s="19">
        <v>11</v>
      </c>
      <c r="N133" s="19">
        <v>20</v>
      </c>
      <c r="O133" s="19">
        <v>20</v>
      </c>
      <c r="P133" s="19">
        <v>176</v>
      </c>
      <c r="Q133" s="19">
        <v>4</v>
      </c>
      <c r="R133" s="19" t="s">
        <v>48</v>
      </c>
      <c r="S133" s="19" t="s">
        <v>35</v>
      </c>
      <c r="T133" s="19" t="s">
        <v>144</v>
      </c>
      <c r="U133" s="21" t="s">
        <v>738</v>
      </c>
      <c r="V133" s="19" t="s">
        <v>38</v>
      </c>
      <c r="W133" s="19">
        <f t="shared" ca="1" si="4"/>
        <v>36</v>
      </c>
      <c r="X133" s="19">
        <f t="shared" si="5"/>
        <v>5</v>
      </c>
      <c r="Y133" s="19" t="str" cm="1">
        <f t="array" ref="Y133">_xlfn.IFS(ISERROR(X133), "Pending", X133&lt;=5, "On Time", X133&gt;5, "Delayed")</f>
        <v>On Time</v>
      </c>
    </row>
    <row r="134" spans="1:25" x14ac:dyDescent="0.3">
      <c r="A134" s="15" t="s">
        <v>739</v>
      </c>
      <c r="B134" s="15" t="s">
        <v>71</v>
      </c>
      <c r="C134" s="15" t="s">
        <v>40</v>
      </c>
      <c r="D134" s="16">
        <v>46116</v>
      </c>
      <c r="E134" s="16">
        <v>46122</v>
      </c>
      <c r="F134" s="15" t="s">
        <v>217</v>
      </c>
      <c r="G134" s="15" t="s">
        <v>76</v>
      </c>
      <c r="H134" s="16">
        <v>34957</v>
      </c>
      <c r="I134" s="15" t="s">
        <v>114</v>
      </c>
      <c r="J134" s="15" t="s">
        <v>106</v>
      </c>
      <c r="K134" s="15" t="s">
        <v>46</v>
      </c>
      <c r="L134" s="15" t="s">
        <v>47</v>
      </c>
      <c r="M134" s="15">
        <v>6</v>
      </c>
      <c r="N134" s="15">
        <v>12000</v>
      </c>
      <c r="O134" s="15">
        <v>10</v>
      </c>
      <c r="P134" s="15">
        <v>64800</v>
      </c>
      <c r="Q134" s="15">
        <v>5</v>
      </c>
      <c r="R134" s="15" t="s">
        <v>88</v>
      </c>
      <c r="S134" s="15" t="s">
        <v>151</v>
      </c>
      <c r="T134" s="15" t="s">
        <v>80</v>
      </c>
      <c r="U134" s="18" t="s">
        <v>742</v>
      </c>
      <c r="V134" s="15" t="s">
        <v>38</v>
      </c>
      <c r="W134" s="15">
        <f t="shared" ca="1" si="4"/>
        <v>30</v>
      </c>
      <c r="X134" s="15">
        <f t="shared" si="5"/>
        <v>6</v>
      </c>
      <c r="Y134" s="15" t="str" cm="1">
        <f t="array" ref="Y134">_xlfn.IFS(ISERROR(X134), "Pending", X134&lt;=5, "On Time", X134&gt;5, "Delayed")</f>
        <v>Delayed</v>
      </c>
    </row>
    <row r="135" spans="1:25" x14ac:dyDescent="0.3">
      <c r="A135" s="19" t="s">
        <v>743</v>
      </c>
      <c r="B135" s="19" t="s">
        <v>71</v>
      </c>
      <c r="C135" s="19" t="s">
        <v>24</v>
      </c>
      <c r="D135" s="20">
        <v>45756</v>
      </c>
      <c r="E135" s="20">
        <v>45765</v>
      </c>
      <c r="F135" s="19" t="s">
        <v>217</v>
      </c>
      <c r="G135" s="19" t="s">
        <v>76</v>
      </c>
      <c r="H135" s="20">
        <v>34519</v>
      </c>
      <c r="I135" s="19" t="s">
        <v>30</v>
      </c>
      <c r="J135" s="19" t="s">
        <v>31</v>
      </c>
      <c r="K135" s="19" t="s">
        <v>32</v>
      </c>
      <c r="L135" s="19" t="s">
        <v>33</v>
      </c>
      <c r="M135" s="19">
        <v>6</v>
      </c>
      <c r="N135" s="19">
        <v>2200</v>
      </c>
      <c r="O135" s="19">
        <v>5</v>
      </c>
      <c r="P135" s="19">
        <v>12540</v>
      </c>
      <c r="Q135" s="19">
        <v>4</v>
      </c>
      <c r="R135" s="19" t="s">
        <v>34</v>
      </c>
      <c r="S135" s="19" t="s">
        <v>49</v>
      </c>
      <c r="T135" s="19" t="s">
        <v>80</v>
      </c>
      <c r="U135" s="21" t="s">
        <v>745</v>
      </c>
      <c r="V135" s="19" t="s">
        <v>38</v>
      </c>
      <c r="W135" s="19">
        <f t="shared" ca="1" si="4"/>
        <v>32</v>
      </c>
      <c r="X135" s="19">
        <f t="shared" si="5"/>
        <v>9</v>
      </c>
      <c r="Y135" s="19" t="str" cm="1">
        <f t="array" ref="Y135">_xlfn.IFS(ISERROR(X135), "Pending", X135&lt;=5, "On Time", X135&gt;5, "Delayed")</f>
        <v>Delayed</v>
      </c>
    </row>
    <row r="136" spans="1:25" x14ac:dyDescent="0.3">
      <c r="A136" s="15" t="s">
        <v>746</v>
      </c>
      <c r="B136" s="15" t="s">
        <v>53</v>
      </c>
      <c r="C136" s="15" t="s">
        <v>92</v>
      </c>
      <c r="D136" s="16">
        <v>45823</v>
      </c>
      <c r="E136" s="16">
        <v>45835</v>
      </c>
      <c r="F136" s="15" t="s">
        <v>163</v>
      </c>
      <c r="G136" s="15" t="s">
        <v>28</v>
      </c>
      <c r="H136" s="16">
        <v>37662</v>
      </c>
      <c r="I136" s="15" t="s">
        <v>44</v>
      </c>
      <c r="J136" s="15" t="s">
        <v>45</v>
      </c>
      <c r="K136" s="15" t="s">
        <v>32</v>
      </c>
      <c r="L136" s="15" t="s">
        <v>97</v>
      </c>
      <c r="M136" s="15">
        <v>3</v>
      </c>
      <c r="N136" s="15">
        <v>3500</v>
      </c>
      <c r="O136" s="15">
        <v>5</v>
      </c>
      <c r="P136" s="15">
        <v>9975</v>
      </c>
      <c r="Q136" s="15">
        <v>4</v>
      </c>
      <c r="R136" s="15" t="s">
        <v>48</v>
      </c>
      <c r="S136" s="15" t="s">
        <v>49</v>
      </c>
      <c r="T136" s="15" t="s">
        <v>62</v>
      </c>
      <c r="U136" s="18" t="s">
        <v>748</v>
      </c>
      <c r="V136" s="15" t="s">
        <v>64</v>
      </c>
      <c r="W136" s="15">
        <f t="shared" ca="1" si="4"/>
        <v>23</v>
      </c>
      <c r="X136" s="15">
        <f t="shared" si="5"/>
        <v>12</v>
      </c>
      <c r="Y136" s="15" t="str" cm="1">
        <f t="array" ref="Y136">_xlfn.IFS(ISERROR(X136), "Pending", X136&lt;=5, "On Time", X136&gt;5, "Delayed")</f>
        <v>Delayed</v>
      </c>
    </row>
    <row r="137" spans="1:25" x14ac:dyDescent="0.3">
      <c r="A137" s="19" t="s">
        <v>749</v>
      </c>
      <c r="B137" s="19" t="s">
        <v>71</v>
      </c>
      <c r="C137" s="19" t="s">
        <v>169</v>
      </c>
      <c r="D137" s="20">
        <v>45816</v>
      </c>
      <c r="E137" s="20">
        <v>45818</v>
      </c>
      <c r="F137" s="19" t="s">
        <v>217</v>
      </c>
      <c r="G137" s="19" t="s">
        <v>76</v>
      </c>
      <c r="H137" s="20">
        <v>35625</v>
      </c>
      <c r="I137" s="19" t="s">
        <v>30</v>
      </c>
      <c r="J137" s="19" t="s">
        <v>31</v>
      </c>
      <c r="K137" s="19" t="s">
        <v>32</v>
      </c>
      <c r="L137" s="19" t="s">
        <v>174</v>
      </c>
      <c r="M137" s="19">
        <v>5</v>
      </c>
      <c r="N137" s="19">
        <v>8500</v>
      </c>
      <c r="O137" s="19">
        <v>20</v>
      </c>
      <c r="P137" s="19">
        <v>34000</v>
      </c>
      <c r="Q137" s="19">
        <v>5</v>
      </c>
      <c r="R137" s="19" t="s">
        <v>34</v>
      </c>
      <c r="S137" s="19" t="s">
        <v>61</v>
      </c>
      <c r="T137" s="19" t="s">
        <v>80</v>
      </c>
      <c r="U137" s="21" t="s">
        <v>753</v>
      </c>
      <c r="V137" s="19" t="s">
        <v>64</v>
      </c>
      <c r="W137" s="19">
        <f t="shared" ca="1" si="4"/>
        <v>29</v>
      </c>
      <c r="X137" s="19">
        <f t="shared" si="5"/>
        <v>2</v>
      </c>
      <c r="Y137" s="19" t="str" cm="1">
        <f t="array" ref="Y137">_xlfn.IFS(ISERROR(X137), "Pending", X137&lt;=5, "On Time", X137&gt;5, "Delayed")</f>
        <v>On Time</v>
      </c>
    </row>
    <row r="138" spans="1:25" x14ac:dyDescent="0.3">
      <c r="A138" s="15" t="s">
        <v>754</v>
      </c>
      <c r="B138" s="15" t="s">
        <v>23</v>
      </c>
      <c r="C138" s="15" t="s">
        <v>92</v>
      </c>
      <c r="D138" s="16">
        <v>45863</v>
      </c>
      <c r="E138" s="16">
        <v>45870</v>
      </c>
      <c r="F138" s="15" t="s">
        <v>27</v>
      </c>
      <c r="G138" s="15" t="s">
        <v>28</v>
      </c>
      <c r="H138" s="16">
        <v>29106</v>
      </c>
      <c r="I138" s="15" t="s">
        <v>59</v>
      </c>
      <c r="J138" s="15" t="s">
        <v>31</v>
      </c>
      <c r="K138" s="15" t="s">
        <v>32</v>
      </c>
      <c r="L138" s="15" t="s">
        <v>97</v>
      </c>
      <c r="M138" s="15">
        <v>14</v>
      </c>
      <c r="N138" s="15">
        <v>3500</v>
      </c>
      <c r="O138" s="15">
        <v>10</v>
      </c>
      <c r="P138" s="15">
        <v>44100</v>
      </c>
      <c r="Q138" s="15">
        <v>4</v>
      </c>
      <c r="R138" s="15" t="s">
        <v>88</v>
      </c>
      <c r="S138" s="15" t="s">
        <v>35</v>
      </c>
      <c r="T138" s="15" t="s">
        <v>50</v>
      </c>
      <c r="U138" s="18" t="s">
        <v>758</v>
      </c>
      <c r="V138" s="15" t="s">
        <v>69</v>
      </c>
      <c r="W138" s="15">
        <f t="shared" ca="1" si="4"/>
        <v>46</v>
      </c>
      <c r="X138" s="15">
        <f t="shared" si="5"/>
        <v>7</v>
      </c>
      <c r="Y138" s="15" t="str" cm="1">
        <f t="array" ref="Y138">_xlfn.IFS(ISERROR(X138), "Pending", X138&lt;=5, "On Time", X138&gt;5, "Delayed")</f>
        <v>Delayed</v>
      </c>
    </row>
    <row r="139" spans="1:25" x14ac:dyDescent="0.3">
      <c r="A139" s="19" t="s">
        <v>759</v>
      </c>
      <c r="B139" s="19" t="s">
        <v>327</v>
      </c>
      <c r="C139" s="19" t="s">
        <v>259</v>
      </c>
      <c r="D139" s="20">
        <v>45673</v>
      </c>
      <c r="E139" s="20">
        <v>45678</v>
      </c>
      <c r="F139" s="19" t="s">
        <v>394</v>
      </c>
      <c r="G139" s="19" t="s">
        <v>76</v>
      </c>
      <c r="H139" s="20">
        <v>37549</v>
      </c>
      <c r="I139" s="19" t="s">
        <v>138</v>
      </c>
      <c r="J139" s="19" t="s">
        <v>106</v>
      </c>
      <c r="K139" s="19" t="s">
        <v>122</v>
      </c>
      <c r="L139" s="19" t="s">
        <v>263</v>
      </c>
      <c r="M139" s="19">
        <v>8</v>
      </c>
      <c r="N139" s="19">
        <v>45</v>
      </c>
      <c r="O139" s="19">
        <v>0</v>
      </c>
      <c r="P139" s="19">
        <v>360</v>
      </c>
      <c r="Q139" s="19">
        <v>1</v>
      </c>
      <c r="R139" s="19" t="s">
        <v>79</v>
      </c>
      <c r="S139" s="19" t="s">
        <v>151</v>
      </c>
      <c r="T139" s="19" t="s">
        <v>332</v>
      </c>
      <c r="U139" s="21" t="s">
        <v>763</v>
      </c>
      <c r="V139" s="19" t="s">
        <v>69</v>
      </c>
      <c r="W139" s="19">
        <f t="shared" ca="1" si="4"/>
        <v>23</v>
      </c>
      <c r="X139" s="19">
        <f t="shared" si="5"/>
        <v>5</v>
      </c>
      <c r="Y139" s="19" t="str" cm="1">
        <f t="array" ref="Y139">_xlfn.IFS(ISERROR(X139), "Pending", X139&lt;=5, "On Time", X139&gt;5, "Delayed")</f>
        <v>On Time</v>
      </c>
    </row>
    <row r="140" spans="1:25" x14ac:dyDescent="0.3">
      <c r="A140" s="15" t="s">
        <v>764</v>
      </c>
      <c r="B140" s="15" t="s">
        <v>221</v>
      </c>
      <c r="C140" s="15" t="s">
        <v>259</v>
      </c>
      <c r="D140" s="16">
        <v>45692</v>
      </c>
      <c r="E140" s="16">
        <v>45693</v>
      </c>
      <c r="F140" s="15" t="s">
        <v>225</v>
      </c>
      <c r="G140" s="15" t="s">
        <v>76</v>
      </c>
      <c r="H140" s="16">
        <v>31252</v>
      </c>
      <c r="I140" s="15" t="s">
        <v>44</v>
      </c>
      <c r="J140" s="15" t="s">
        <v>45</v>
      </c>
      <c r="K140" s="15" t="s">
        <v>122</v>
      </c>
      <c r="L140" s="15" t="s">
        <v>263</v>
      </c>
      <c r="M140" s="15">
        <v>11</v>
      </c>
      <c r="N140" s="15">
        <v>45</v>
      </c>
      <c r="O140" s="15">
        <v>5</v>
      </c>
      <c r="P140" s="15">
        <v>470.25</v>
      </c>
      <c r="Q140" s="15">
        <v>3</v>
      </c>
      <c r="R140" s="15" t="s">
        <v>79</v>
      </c>
      <c r="S140" s="15" t="s">
        <v>49</v>
      </c>
      <c r="T140" s="15" t="s">
        <v>228</v>
      </c>
      <c r="U140" s="18" t="s">
        <v>768</v>
      </c>
      <c r="V140" s="15" t="s">
        <v>38</v>
      </c>
      <c r="W140" s="15">
        <f t="shared" ca="1" si="4"/>
        <v>41</v>
      </c>
      <c r="X140" s="15">
        <f t="shared" si="5"/>
        <v>1</v>
      </c>
      <c r="Y140" s="15" t="str" cm="1">
        <f t="array" ref="Y140">_xlfn.IFS(ISERROR(X140), "Pending", X140&lt;=5, "On Time", X140&gt;5, "Delayed")</f>
        <v>On Time</v>
      </c>
    </row>
    <row r="141" spans="1:25" x14ac:dyDescent="0.3">
      <c r="A141" s="19" t="s">
        <v>769</v>
      </c>
      <c r="B141" s="19" t="s">
        <v>83</v>
      </c>
      <c r="C141" s="19" t="s">
        <v>54</v>
      </c>
      <c r="D141" s="20">
        <v>45679</v>
      </c>
      <c r="E141" s="20">
        <v>45687</v>
      </c>
      <c r="F141" s="19" t="s">
        <v>180</v>
      </c>
      <c r="G141" s="19" t="s">
        <v>76</v>
      </c>
      <c r="H141" s="20">
        <v>32378</v>
      </c>
      <c r="I141" s="19" t="s">
        <v>138</v>
      </c>
      <c r="J141" s="19" t="s">
        <v>106</v>
      </c>
      <c r="K141" s="19" t="s">
        <v>46</v>
      </c>
      <c r="L141" s="19" t="s">
        <v>60</v>
      </c>
      <c r="M141" s="19">
        <v>19</v>
      </c>
      <c r="N141" s="19">
        <v>55000</v>
      </c>
      <c r="O141" s="19">
        <v>0</v>
      </c>
      <c r="P141" s="19">
        <v>1045000</v>
      </c>
      <c r="Q141" s="19">
        <v>2</v>
      </c>
      <c r="R141" s="19" t="s">
        <v>79</v>
      </c>
      <c r="S141" s="19" t="s">
        <v>35</v>
      </c>
      <c r="T141" s="19" t="s">
        <v>89</v>
      </c>
      <c r="U141" s="21" t="s">
        <v>773</v>
      </c>
      <c r="V141" s="19" t="s">
        <v>69</v>
      </c>
      <c r="W141" s="19">
        <f t="shared" ca="1" si="4"/>
        <v>38</v>
      </c>
      <c r="X141" s="19">
        <f t="shared" si="5"/>
        <v>8</v>
      </c>
      <c r="Y141" s="19" t="str" cm="1">
        <f t="array" ref="Y141">_xlfn.IFS(ISERROR(X141), "Pending", X141&lt;=5, "On Time", X141&gt;5, "Delayed")</f>
        <v>Delayed</v>
      </c>
    </row>
    <row r="142" spans="1:25" x14ac:dyDescent="0.3">
      <c r="A142" s="15" t="s">
        <v>774</v>
      </c>
      <c r="B142" s="15" t="s">
        <v>53</v>
      </c>
      <c r="C142" s="15" t="s">
        <v>92</v>
      </c>
      <c r="D142" s="16">
        <v>45758</v>
      </c>
      <c r="E142" s="16">
        <v>45765</v>
      </c>
      <c r="F142" s="15" t="s">
        <v>163</v>
      </c>
      <c r="G142" s="15" t="s">
        <v>28</v>
      </c>
      <c r="H142" s="16">
        <v>29099</v>
      </c>
      <c r="I142" s="15" t="s">
        <v>114</v>
      </c>
      <c r="J142" s="15" t="s">
        <v>106</v>
      </c>
      <c r="K142" s="15" t="s">
        <v>32</v>
      </c>
      <c r="L142" s="15" t="s">
        <v>97</v>
      </c>
      <c r="M142" s="15">
        <v>20</v>
      </c>
      <c r="N142" s="15">
        <v>3500</v>
      </c>
      <c r="O142" s="15">
        <v>20</v>
      </c>
      <c r="P142" s="15">
        <v>56000</v>
      </c>
      <c r="Q142" s="15">
        <v>4</v>
      </c>
      <c r="R142" s="15" t="s">
        <v>48</v>
      </c>
      <c r="S142" s="15" t="s">
        <v>49</v>
      </c>
      <c r="T142" s="15" t="s">
        <v>62</v>
      </c>
      <c r="U142" s="18" t="s">
        <v>777</v>
      </c>
      <c r="V142" s="15" t="s">
        <v>38</v>
      </c>
      <c r="W142" s="15">
        <f t="shared" ca="1" si="4"/>
        <v>47</v>
      </c>
      <c r="X142" s="15">
        <f t="shared" si="5"/>
        <v>7</v>
      </c>
      <c r="Y142" s="15" t="str" cm="1">
        <f t="array" ref="Y142">_xlfn.IFS(ISERROR(X142), "Pending", X142&lt;=5, "On Time", X142&gt;5, "Delayed")</f>
        <v>Delayed</v>
      </c>
    </row>
    <row r="143" spans="1:25" x14ac:dyDescent="0.3">
      <c r="A143" s="19" t="s">
        <v>778</v>
      </c>
      <c r="B143" s="19" t="s">
        <v>83</v>
      </c>
      <c r="C143" s="19" t="s">
        <v>24</v>
      </c>
      <c r="D143" s="20">
        <v>45842</v>
      </c>
      <c r="E143" s="20">
        <v>45852</v>
      </c>
      <c r="F143" s="19" t="s">
        <v>180</v>
      </c>
      <c r="G143" s="19" t="s">
        <v>76</v>
      </c>
      <c r="H143" s="20">
        <v>31649</v>
      </c>
      <c r="I143" s="19" t="s">
        <v>114</v>
      </c>
      <c r="J143" s="19" t="s">
        <v>106</v>
      </c>
      <c r="K143" s="19" t="s">
        <v>32</v>
      </c>
      <c r="L143" s="19" t="s">
        <v>33</v>
      </c>
      <c r="M143" s="19">
        <v>17</v>
      </c>
      <c r="N143" s="19">
        <v>2200</v>
      </c>
      <c r="O143" s="19">
        <v>0</v>
      </c>
      <c r="P143" s="19">
        <v>37400</v>
      </c>
      <c r="Q143" s="19">
        <v>5</v>
      </c>
      <c r="R143" s="19" t="s">
        <v>48</v>
      </c>
      <c r="S143" s="19" t="s">
        <v>35</v>
      </c>
      <c r="T143" s="19" t="s">
        <v>89</v>
      </c>
      <c r="U143" s="21" t="s">
        <v>781</v>
      </c>
      <c r="V143" s="19" t="s">
        <v>64</v>
      </c>
      <c r="W143" s="19">
        <f t="shared" ca="1" si="4"/>
        <v>40</v>
      </c>
      <c r="X143" s="19">
        <f t="shared" si="5"/>
        <v>10</v>
      </c>
      <c r="Y143" s="19" t="str" cm="1">
        <f t="array" ref="Y143">_xlfn.IFS(ISERROR(X143), "Pending", X143&lt;=5, "On Time", X143&gt;5, "Delayed")</f>
        <v>Delayed</v>
      </c>
    </row>
    <row r="144" spans="1:25" x14ac:dyDescent="0.3">
      <c r="A144" s="15" t="s">
        <v>782</v>
      </c>
      <c r="B144" s="15" t="s">
        <v>83</v>
      </c>
      <c r="C144" s="15" t="s">
        <v>72</v>
      </c>
      <c r="D144" s="16">
        <v>45679</v>
      </c>
      <c r="E144" s="16">
        <v>45686</v>
      </c>
      <c r="F144" s="15" t="s">
        <v>180</v>
      </c>
      <c r="G144" s="15" t="s">
        <v>76</v>
      </c>
      <c r="H144" s="16">
        <v>28129</v>
      </c>
      <c r="I144" s="15" t="s">
        <v>114</v>
      </c>
      <c r="J144" s="15" t="s">
        <v>106</v>
      </c>
      <c r="K144" s="15" t="s">
        <v>46</v>
      </c>
      <c r="L144" s="15" t="s">
        <v>78</v>
      </c>
      <c r="M144" s="15">
        <v>10</v>
      </c>
      <c r="N144" s="15">
        <v>1200</v>
      </c>
      <c r="O144" s="15">
        <v>5</v>
      </c>
      <c r="P144" s="15">
        <v>11400</v>
      </c>
      <c r="Q144" s="15">
        <v>2</v>
      </c>
      <c r="R144" s="15" t="s">
        <v>34</v>
      </c>
      <c r="S144" s="15" t="s">
        <v>49</v>
      </c>
      <c r="T144" s="15" t="s">
        <v>89</v>
      </c>
      <c r="U144" s="18" t="s">
        <v>785</v>
      </c>
      <c r="V144" s="15" t="s">
        <v>69</v>
      </c>
      <c r="W144" s="15">
        <f t="shared" ca="1" si="4"/>
        <v>49</v>
      </c>
      <c r="X144" s="15">
        <f t="shared" si="5"/>
        <v>7</v>
      </c>
      <c r="Y144" s="15" t="str" cm="1">
        <f t="array" ref="Y144">_xlfn.IFS(ISERROR(X144), "Pending", X144&lt;=5, "On Time", X144&gt;5, "Delayed")</f>
        <v>Delayed</v>
      </c>
    </row>
    <row r="145" spans="1:25" x14ac:dyDescent="0.3">
      <c r="A145" s="19" t="s">
        <v>786</v>
      </c>
      <c r="B145" s="19" t="s">
        <v>221</v>
      </c>
      <c r="C145" s="19" t="s">
        <v>118</v>
      </c>
      <c r="D145" s="20">
        <v>46008</v>
      </c>
      <c r="E145" s="20">
        <v>46009</v>
      </c>
      <c r="F145" s="19" t="s">
        <v>225</v>
      </c>
      <c r="G145" s="19" t="s">
        <v>76</v>
      </c>
      <c r="H145" s="20">
        <v>30414</v>
      </c>
      <c r="I145" s="19" t="s">
        <v>30</v>
      </c>
      <c r="J145" s="19" t="s">
        <v>31</v>
      </c>
      <c r="K145" s="19" t="s">
        <v>122</v>
      </c>
      <c r="L145" s="19" t="s">
        <v>123</v>
      </c>
      <c r="M145" s="19">
        <v>3</v>
      </c>
      <c r="N145" s="19">
        <v>60</v>
      </c>
      <c r="O145" s="19">
        <v>0</v>
      </c>
      <c r="P145" s="19">
        <v>180</v>
      </c>
      <c r="Q145" s="19">
        <v>4</v>
      </c>
      <c r="R145" s="19" t="s">
        <v>48</v>
      </c>
      <c r="S145" s="19" t="s">
        <v>151</v>
      </c>
      <c r="T145" s="19" t="s">
        <v>228</v>
      </c>
      <c r="U145" s="21" t="s">
        <v>790</v>
      </c>
      <c r="V145" s="19" t="s">
        <v>38</v>
      </c>
      <c r="W145" s="19">
        <f t="shared" ca="1" si="4"/>
        <v>43</v>
      </c>
      <c r="X145" s="19">
        <f t="shared" si="5"/>
        <v>1</v>
      </c>
      <c r="Y145" s="19" t="str" cm="1">
        <f t="array" ref="Y145">_xlfn.IFS(ISERROR(X145), "Pending", X145&lt;=5, "On Time", X145&gt;5, "Delayed")</f>
        <v>On Time</v>
      </c>
    </row>
    <row r="146" spans="1:25" x14ac:dyDescent="0.3">
      <c r="A146" s="15" t="s">
        <v>791</v>
      </c>
      <c r="B146" s="15" t="s">
        <v>53</v>
      </c>
      <c r="C146" s="15" t="s">
        <v>24</v>
      </c>
      <c r="D146" s="16">
        <v>45940</v>
      </c>
      <c r="E146" s="16">
        <v>45951</v>
      </c>
      <c r="F146" s="15" t="s">
        <v>163</v>
      </c>
      <c r="G146" s="15" t="s">
        <v>28</v>
      </c>
      <c r="H146" s="16">
        <v>28675</v>
      </c>
      <c r="I146" s="15" t="s">
        <v>105</v>
      </c>
      <c r="J146" s="15" t="s">
        <v>106</v>
      </c>
      <c r="K146" s="15" t="s">
        <v>32</v>
      </c>
      <c r="L146" s="15" t="s">
        <v>33</v>
      </c>
      <c r="M146" s="15">
        <v>18</v>
      </c>
      <c r="N146" s="15">
        <v>2200</v>
      </c>
      <c r="O146" s="15">
        <v>10</v>
      </c>
      <c r="P146" s="15">
        <v>35640</v>
      </c>
      <c r="Q146" s="15">
        <v>1</v>
      </c>
      <c r="R146" s="15" t="s">
        <v>79</v>
      </c>
      <c r="S146" s="15" t="s">
        <v>151</v>
      </c>
      <c r="T146" s="15" t="s">
        <v>62</v>
      </c>
      <c r="U146" s="18" t="s">
        <v>795</v>
      </c>
      <c r="V146" s="15" t="s">
        <v>69</v>
      </c>
      <c r="W146" s="15">
        <f t="shared" ca="1" si="4"/>
        <v>48</v>
      </c>
      <c r="X146" s="15">
        <f t="shared" si="5"/>
        <v>11</v>
      </c>
      <c r="Y146" s="15" t="str" cm="1">
        <f t="array" ref="Y146">_xlfn.IFS(ISERROR(X146), "Pending", X146&lt;=5, "On Time", X146&gt;5, "Delayed")</f>
        <v>Delayed</v>
      </c>
    </row>
    <row r="147" spans="1:25" x14ac:dyDescent="0.3">
      <c r="A147" s="19" t="s">
        <v>796</v>
      </c>
      <c r="B147" s="19" t="s">
        <v>71</v>
      </c>
      <c r="C147" s="19" t="s">
        <v>118</v>
      </c>
      <c r="D147" s="20">
        <v>46088</v>
      </c>
      <c r="E147" s="20">
        <v>46091</v>
      </c>
      <c r="F147" s="19" t="s">
        <v>217</v>
      </c>
      <c r="G147" s="19" t="s">
        <v>76</v>
      </c>
      <c r="H147" s="20">
        <v>30409</v>
      </c>
      <c r="I147" s="19" t="s">
        <v>44</v>
      </c>
      <c r="J147" s="19" t="s">
        <v>45</v>
      </c>
      <c r="K147" s="19" t="s">
        <v>122</v>
      </c>
      <c r="L147" s="19" t="s">
        <v>123</v>
      </c>
      <c r="M147" s="19">
        <v>18</v>
      </c>
      <c r="N147" s="19">
        <v>60</v>
      </c>
      <c r="O147" s="19">
        <v>5</v>
      </c>
      <c r="P147" s="19">
        <v>1026</v>
      </c>
      <c r="Q147" s="19">
        <v>3</v>
      </c>
      <c r="R147" s="19" t="s">
        <v>79</v>
      </c>
      <c r="S147" s="19" t="s">
        <v>49</v>
      </c>
      <c r="T147" s="19" t="s">
        <v>80</v>
      </c>
      <c r="U147" s="21" t="s">
        <v>800</v>
      </c>
      <c r="V147" s="19" t="s">
        <v>64</v>
      </c>
      <c r="W147" s="19">
        <f t="shared" ca="1" si="4"/>
        <v>43</v>
      </c>
      <c r="X147" s="19">
        <f t="shared" si="5"/>
        <v>3</v>
      </c>
      <c r="Y147" s="19" t="str" cm="1">
        <f t="array" ref="Y147">_xlfn.IFS(ISERROR(X147), "Pending", X147&lt;=5, "On Time", X147&gt;5, "Delayed")</f>
        <v>On Time</v>
      </c>
    </row>
    <row r="148" spans="1:25" x14ac:dyDescent="0.3">
      <c r="A148" s="15" t="s">
        <v>801</v>
      </c>
      <c r="B148" s="15" t="s">
        <v>127</v>
      </c>
      <c r="C148" s="15" t="s">
        <v>54</v>
      </c>
      <c r="D148" s="16">
        <v>45885</v>
      </c>
      <c r="E148" s="16">
        <v>45892</v>
      </c>
      <c r="F148" s="15" t="s">
        <v>200</v>
      </c>
      <c r="G148" s="15" t="s">
        <v>76</v>
      </c>
      <c r="H148" s="16">
        <v>32077</v>
      </c>
      <c r="I148" s="15" t="s">
        <v>114</v>
      </c>
      <c r="J148" s="15" t="s">
        <v>106</v>
      </c>
      <c r="K148" s="15" t="s">
        <v>46</v>
      </c>
      <c r="L148" s="15" t="s">
        <v>60</v>
      </c>
      <c r="M148" s="15">
        <v>11</v>
      </c>
      <c r="N148" s="15">
        <v>55000</v>
      </c>
      <c r="O148" s="15">
        <v>15</v>
      </c>
      <c r="P148" s="15">
        <v>514250</v>
      </c>
      <c r="Q148" s="15">
        <v>4</v>
      </c>
      <c r="R148" s="15" t="s">
        <v>88</v>
      </c>
      <c r="S148" s="15" t="s">
        <v>115</v>
      </c>
      <c r="T148" s="15" t="s">
        <v>132</v>
      </c>
      <c r="U148" s="18" t="s">
        <v>803</v>
      </c>
      <c r="V148" s="15" t="s">
        <v>69</v>
      </c>
      <c r="W148" s="15">
        <f t="shared" ca="1" si="4"/>
        <v>38</v>
      </c>
      <c r="X148" s="15">
        <f t="shared" si="5"/>
        <v>7</v>
      </c>
      <c r="Y148" s="15" t="str" cm="1">
        <f t="array" ref="Y148">_xlfn.IFS(ISERROR(X148), "Pending", X148&lt;=5, "On Time", X148&gt;5, "Delayed")</f>
        <v>Delayed</v>
      </c>
    </row>
    <row r="149" spans="1:25" x14ac:dyDescent="0.3">
      <c r="A149" s="19" t="s">
        <v>804</v>
      </c>
      <c r="B149" s="19" t="s">
        <v>251</v>
      </c>
      <c r="C149" s="19" t="s">
        <v>169</v>
      </c>
      <c r="D149" s="20">
        <v>46014</v>
      </c>
      <c r="E149" s="20">
        <v>46025</v>
      </c>
      <c r="F149" s="19" t="s">
        <v>254</v>
      </c>
      <c r="G149" s="19" t="s">
        <v>28</v>
      </c>
      <c r="H149" s="20">
        <v>37730</v>
      </c>
      <c r="I149" s="19" t="s">
        <v>294</v>
      </c>
      <c r="J149" s="19" t="s">
        <v>295</v>
      </c>
      <c r="K149" s="19" t="s">
        <v>32</v>
      </c>
      <c r="L149" s="19" t="s">
        <v>174</v>
      </c>
      <c r="M149" s="19">
        <v>5</v>
      </c>
      <c r="N149" s="19">
        <v>8500</v>
      </c>
      <c r="O149" s="19">
        <v>5</v>
      </c>
      <c r="P149" s="19">
        <v>40375</v>
      </c>
      <c r="Q149" s="19">
        <v>4</v>
      </c>
      <c r="R149" s="19" t="s">
        <v>34</v>
      </c>
      <c r="S149" s="19" t="s">
        <v>151</v>
      </c>
      <c r="T149" s="19" t="s">
        <v>256</v>
      </c>
      <c r="U149" s="21" t="s">
        <v>806</v>
      </c>
      <c r="V149" s="19" t="s">
        <v>38</v>
      </c>
      <c r="W149" s="19">
        <f t="shared" ca="1" si="4"/>
        <v>23</v>
      </c>
      <c r="X149" s="19">
        <f t="shared" si="5"/>
        <v>11</v>
      </c>
      <c r="Y149" s="19" t="str" cm="1">
        <f t="array" ref="Y149">_xlfn.IFS(ISERROR(X149), "Pending", X149&lt;=5, "On Time", X149&gt;5, "Delayed")</f>
        <v>Delayed</v>
      </c>
    </row>
    <row r="150" spans="1:25" x14ac:dyDescent="0.3">
      <c r="A150" s="15" t="s">
        <v>192</v>
      </c>
      <c r="B150" s="15" t="s">
        <v>100</v>
      </c>
      <c r="C150" s="15" t="s">
        <v>184</v>
      </c>
      <c r="D150" s="16">
        <v>45908</v>
      </c>
      <c r="E150" s="16">
        <v>45919</v>
      </c>
      <c r="F150" s="15" t="s">
        <v>103</v>
      </c>
      <c r="G150" s="15" t="s">
        <v>28</v>
      </c>
      <c r="H150" s="16">
        <v>37301</v>
      </c>
      <c r="I150" s="15" t="s">
        <v>212</v>
      </c>
      <c r="J150" s="15" t="s">
        <v>45</v>
      </c>
      <c r="K150" s="15" t="s">
        <v>46</v>
      </c>
      <c r="L150" s="15" t="s">
        <v>189</v>
      </c>
      <c r="M150" s="15">
        <v>16</v>
      </c>
      <c r="N150" s="15">
        <v>700</v>
      </c>
      <c r="O150" s="15">
        <v>15</v>
      </c>
      <c r="P150" s="15">
        <v>9520</v>
      </c>
      <c r="Q150" s="15">
        <v>4</v>
      </c>
      <c r="R150" s="15" t="s">
        <v>79</v>
      </c>
      <c r="S150" s="15" t="s">
        <v>61</v>
      </c>
      <c r="T150" s="15" t="s">
        <v>144</v>
      </c>
      <c r="U150" s="18" t="s">
        <v>808</v>
      </c>
      <c r="V150" s="15" t="s">
        <v>38</v>
      </c>
      <c r="W150" s="15">
        <f t="shared" ca="1" si="4"/>
        <v>24</v>
      </c>
      <c r="X150" s="15">
        <f t="shared" si="5"/>
        <v>11</v>
      </c>
      <c r="Y150" s="15" t="str" cm="1">
        <f t="array" ref="Y150">_xlfn.IFS(ISERROR(X150), "Pending", X150&lt;=5, "On Time", X150&gt;5, "Delayed")</f>
        <v>Delayed</v>
      </c>
    </row>
    <row r="151" spans="1:25" x14ac:dyDescent="0.3">
      <c r="A151" s="19" t="s">
        <v>809</v>
      </c>
      <c r="B151" s="19" t="s">
        <v>127</v>
      </c>
      <c r="C151" s="19" t="s">
        <v>184</v>
      </c>
      <c r="D151" s="20">
        <v>45845</v>
      </c>
      <c r="E151" s="20">
        <v>45851</v>
      </c>
      <c r="F151" s="19" t="s">
        <v>200</v>
      </c>
      <c r="G151" s="19" t="s">
        <v>76</v>
      </c>
      <c r="H151" s="20">
        <v>27521</v>
      </c>
      <c r="I151" s="19" t="s">
        <v>114</v>
      </c>
      <c r="J151" s="19" t="s">
        <v>106</v>
      </c>
      <c r="K151" s="19" t="s">
        <v>46</v>
      </c>
      <c r="L151" s="19" t="s">
        <v>189</v>
      </c>
      <c r="M151" s="19">
        <v>6</v>
      </c>
      <c r="N151" s="19">
        <v>700</v>
      </c>
      <c r="O151" s="19">
        <v>10</v>
      </c>
      <c r="P151" s="19">
        <v>3780</v>
      </c>
      <c r="Q151" s="19">
        <v>4</v>
      </c>
      <c r="R151" s="19" t="s">
        <v>34</v>
      </c>
      <c r="S151" s="19" t="s">
        <v>49</v>
      </c>
      <c r="T151" s="19" t="s">
        <v>132</v>
      </c>
      <c r="U151" s="21" t="s">
        <v>811</v>
      </c>
      <c r="V151" s="19" t="s">
        <v>69</v>
      </c>
      <c r="W151" s="19">
        <f t="shared" ca="1" si="4"/>
        <v>51</v>
      </c>
      <c r="X151" s="19">
        <f t="shared" si="5"/>
        <v>6</v>
      </c>
      <c r="Y151" s="19" t="str" cm="1">
        <f t="array" ref="Y151">_xlfn.IFS(ISERROR(X151), "Pending", X151&lt;=5, "On Time", X151&gt;5, "Delayed")</f>
        <v>Delayed</v>
      </c>
    </row>
    <row r="152" spans="1:25" x14ac:dyDescent="0.3">
      <c r="A152" s="15" t="s">
        <v>812</v>
      </c>
      <c r="B152" s="15" t="s">
        <v>53</v>
      </c>
      <c r="C152" s="15" t="s">
        <v>92</v>
      </c>
      <c r="D152" s="16">
        <v>46145</v>
      </c>
      <c r="E152" s="16">
        <v>46157</v>
      </c>
      <c r="F152" s="15" t="s">
        <v>163</v>
      </c>
      <c r="G152" s="15" t="s">
        <v>28</v>
      </c>
      <c r="H152" s="16">
        <v>33727</v>
      </c>
      <c r="I152" s="15" t="s">
        <v>44</v>
      </c>
      <c r="J152" s="15" t="s">
        <v>45</v>
      </c>
      <c r="K152" s="15" t="s">
        <v>32</v>
      </c>
      <c r="L152" s="15" t="s">
        <v>97</v>
      </c>
      <c r="M152" s="15">
        <v>20</v>
      </c>
      <c r="N152" s="15">
        <v>3500</v>
      </c>
      <c r="O152" s="15">
        <v>10</v>
      </c>
      <c r="P152" s="15">
        <v>63000</v>
      </c>
      <c r="Q152" s="15">
        <v>4</v>
      </c>
      <c r="R152" s="15" t="s">
        <v>88</v>
      </c>
      <c r="S152" s="15" t="s">
        <v>49</v>
      </c>
      <c r="T152" s="15" t="s">
        <v>62</v>
      </c>
      <c r="U152" s="18" t="s">
        <v>814</v>
      </c>
      <c r="V152" s="15" t="s">
        <v>64</v>
      </c>
      <c r="W152" s="15">
        <f t="shared" ca="1" si="4"/>
        <v>34</v>
      </c>
      <c r="X152" s="15">
        <f t="shared" si="5"/>
        <v>12</v>
      </c>
      <c r="Y152" s="15" t="str" cm="1">
        <f t="array" ref="Y152">_xlfn.IFS(ISERROR(X152), "Pending", X152&lt;=5, "On Time", X152&gt;5, "Delayed")</f>
        <v>Delayed</v>
      </c>
    </row>
    <row r="153" spans="1:25" x14ac:dyDescent="0.3">
      <c r="A153" s="19" t="s">
        <v>815</v>
      </c>
      <c r="B153" s="19" t="s">
        <v>23</v>
      </c>
      <c r="C153" s="19" t="s">
        <v>222</v>
      </c>
      <c r="D153" s="20">
        <v>45990</v>
      </c>
      <c r="E153" s="20">
        <v>45998</v>
      </c>
      <c r="F153" s="19" t="s">
        <v>27</v>
      </c>
      <c r="G153" s="19" t="s">
        <v>28</v>
      </c>
      <c r="H153" s="20">
        <v>35860</v>
      </c>
      <c r="I153" s="19" t="s">
        <v>59</v>
      </c>
      <c r="J153" s="19" t="s">
        <v>31</v>
      </c>
      <c r="K153" s="19" t="s">
        <v>122</v>
      </c>
      <c r="L153" s="19" t="s">
        <v>227</v>
      </c>
      <c r="M153" s="19">
        <v>2</v>
      </c>
      <c r="N153" s="19">
        <v>20</v>
      </c>
      <c r="O153" s="19">
        <v>10</v>
      </c>
      <c r="P153" s="19">
        <v>36</v>
      </c>
      <c r="Q153" s="19">
        <v>1</v>
      </c>
      <c r="R153" s="19" t="s">
        <v>48</v>
      </c>
      <c r="S153" s="19" t="s">
        <v>115</v>
      </c>
      <c r="T153" s="19" t="s">
        <v>50</v>
      </c>
      <c r="U153" s="21" t="s">
        <v>819</v>
      </c>
      <c r="V153" s="19" t="s">
        <v>64</v>
      </c>
      <c r="W153" s="19">
        <f t="shared" ca="1" si="4"/>
        <v>28</v>
      </c>
      <c r="X153" s="19">
        <f t="shared" si="5"/>
        <v>8</v>
      </c>
      <c r="Y153" s="19" t="str" cm="1">
        <f t="array" ref="Y153">_xlfn.IFS(ISERROR(X153), "Pending", X153&lt;=5, "On Time", X153&gt;5, "Delayed")</f>
        <v>Delayed</v>
      </c>
    </row>
    <row r="154" spans="1:25" x14ac:dyDescent="0.3">
      <c r="A154" s="15" t="s">
        <v>820</v>
      </c>
      <c r="B154" s="15" t="s">
        <v>100</v>
      </c>
      <c r="C154" s="15" t="s">
        <v>24</v>
      </c>
      <c r="D154" s="16">
        <v>45852</v>
      </c>
      <c r="E154" s="16">
        <v>45857</v>
      </c>
      <c r="F154" s="15" t="s">
        <v>103</v>
      </c>
      <c r="G154" s="15" t="s">
        <v>28</v>
      </c>
      <c r="H154" s="16">
        <v>35336</v>
      </c>
      <c r="I154" s="15" t="s">
        <v>114</v>
      </c>
      <c r="J154" s="15" t="s">
        <v>106</v>
      </c>
      <c r="K154" s="15" t="s">
        <v>32</v>
      </c>
      <c r="L154" s="15" t="s">
        <v>33</v>
      </c>
      <c r="M154" s="15">
        <v>16</v>
      </c>
      <c r="N154" s="15">
        <v>2200</v>
      </c>
      <c r="O154" s="15">
        <v>20</v>
      </c>
      <c r="P154" s="15">
        <v>28160</v>
      </c>
      <c r="Q154" s="15">
        <v>2</v>
      </c>
      <c r="R154" s="15" t="s">
        <v>88</v>
      </c>
      <c r="S154" s="15" t="s">
        <v>151</v>
      </c>
      <c r="T154" s="15" t="s">
        <v>144</v>
      </c>
      <c r="U154" s="18" t="s">
        <v>823</v>
      </c>
      <c r="V154" s="15" t="s">
        <v>64</v>
      </c>
      <c r="W154" s="15">
        <f t="shared" ca="1" si="4"/>
        <v>29</v>
      </c>
      <c r="X154" s="15">
        <f t="shared" si="5"/>
        <v>5</v>
      </c>
      <c r="Y154" s="15" t="str" cm="1">
        <f t="array" ref="Y154">_xlfn.IFS(ISERROR(X154), "Pending", X154&lt;=5, "On Time", X154&gt;5, "Delayed")</f>
        <v>On Time</v>
      </c>
    </row>
    <row r="155" spans="1:25" x14ac:dyDescent="0.3">
      <c r="A155" s="19" t="s">
        <v>824</v>
      </c>
      <c r="B155" s="19" t="s">
        <v>221</v>
      </c>
      <c r="C155" s="19" t="s">
        <v>40</v>
      </c>
      <c r="D155" s="20">
        <v>45729</v>
      </c>
      <c r="E155" s="20">
        <v>45739</v>
      </c>
      <c r="F155" s="19" t="s">
        <v>225</v>
      </c>
      <c r="G155" s="19" t="s">
        <v>76</v>
      </c>
      <c r="H155" s="20">
        <v>35048</v>
      </c>
      <c r="I155" s="19" t="s">
        <v>114</v>
      </c>
      <c r="J155" s="19" t="s">
        <v>106</v>
      </c>
      <c r="K155" s="19" t="s">
        <v>46</v>
      </c>
      <c r="L155" s="19" t="s">
        <v>47</v>
      </c>
      <c r="M155" s="19">
        <v>15</v>
      </c>
      <c r="N155" s="19">
        <v>12000</v>
      </c>
      <c r="O155" s="19">
        <v>0</v>
      </c>
      <c r="P155" s="19">
        <v>180000</v>
      </c>
      <c r="Q155" s="19">
        <v>1</v>
      </c>
      <c r="R155" s="19" t="s">
        <v>79</v>
      </c>
      <c r="S155" s="19" t="s">
        <v>61</v>
      </c>
      <c r="T155" s="19" t="s">
        <v>228</v>
      </c>
      <c r="U155" s="21" t="s">
        <v>827</v>
      </c>
      <c r="V155" s="19" t="s">
        <v>64</v>
      </c>
      <c r="W155" s="19">
        <f t="shared" ca="1" si="4"/>
        <v>30</v>
      </c>
      <c r="X155" s="19">
        <f t="shared" si="5"/>
        <v>10</v>
      </c>
      <c r="Y155" s="19" t="str" cm="1">
        <f t="array" ref="Y155">_xlfn.IFS(ISERROR(X155), "Pending", X155&lt;=5, "On Time", X155&gt;5, "Delayed")</f>
        <v>Delayed</v>
      </c>
    </row>
    <row r="156" spans="1:25" x14ac:dyDescent="0.3">
      <c r="A156" s="15" t="s">
        <v>828</v>
      </c>
      <c r="B156" s="15" t="s">
        <v>23</v>
      </c>
      <c r="C156" s="15" t="s">
        <v>118</v>
      </c>
      <c r="D156" s="16">
        <v>45860</v>
      </c>
      <c r="E156" s="16">
        <v>45861</v>
      </c>
      <c r="F156" s="15" t="s">
        <v>27</v>
      </c>
      <c r="G156" s="15" t="s">
        <v>28</v>
      </c>
      <c r="H156" s="16">
        <v>27965</v>
      </c>
      <c r="I156" s="15" t="s">
        <v>44</v>
      </c>
      <c r="J156" s="15" t="s">
        <v>45</v>
      </c>
      <c r="K156" s="15" t="s">
        <v>122</v>
      </c>
      <c r="L156" s="15" t="s">
        <v>123</v>
      </c>
      <c r="M156" s="15">
        <v>14</v>
      </c>
      <c r="N156" s="15">
        <v>60</v>
      </c>
      <c r="O156" s="15">
        <v>15</v>
      </c>
      <c r="P156" s="15">
        <v>714</v>
      </c>
      <c r="Q156" s="15">
        <v>4</v>
      </c>
      <c r="R156" s="15" t="s">
        <v>88</v>
      </c>
      <c r="S156" s="15" t="s">
        <v>49</v>
      </c>
      <c r="T156" s="15" t="s">
        <v>50</v>
      </c>
      <c r="U156" s="18" t="s">
        <v>832</v>
      </c>
      <c r="V156" s="15" t="s">
        <v>38</v>
      </c>
      <c r="W156" s="15">
        <f t="shared" ca="1" si="4"/>
        <v>50</v>
      </c>
      <c r="X156" s="15">
        <f t="shared" si="5"/>
        <v>1</v>
      </c>
      <c r="Y156" s="15" t="str" cm="1">
        <f t="array" ref="Y156">_xlfn.IFS(ISERROR(X156), "Pending", X156&lt;=5, "On Time", X156&gt;5, "Delayed")</f>
        <v>On Time</v>
      </c>
    </row>
    <row r="157" spans="1:25" x14ac:dyDescent="0.3">
      <c r="A157" s="19" t="s">
        <v>833</v>
      </c>
      <c r="B157" s="19" t="s">
        <v>53</v>
      </c>
      <c r="C157" s="19" t="s">
        <v>72</v>
      </c>
      <c r="D157" s="20">
        <v>45859</v>
      </c>
      <c r="E157" s="20">
        <v>45862</v>
      </c>
      <c r="F157" s="19" t="s">
        <v>163</v>
      </c>
      <c r="G157" s="19" t="s">
        <v>28</v>
      </c>
      <c r="H157" s="20">
        <v>30855</v>
      </c>
      <c r="I157" s="19" t="s">
        <v>30</v>
      </c>
      <c r="J157" s="19" t="s">
        <v>31</v>
      </c>
      <c r="K157" s="19" t="s">
        <v>46</v>
      </c>
      <c r="L157" s="19" t="s">
        <v>78</v>
      </c>
      <c r="M157" s="19">
        <v>9</v>
      </c>
      <c r="N157" s="19">
        <v>1200</v>
      </c>
      <c r="O157" s="19">
        <v>5</v>
      </c>
      <c r="P157" s="19">
        <v>10260</v>
      </c>
      <c r="Q157" s="19">
        <v>5</v>
      </c>
      <c r="R157" s="19" t="s">
        <v>48</v>
      </c>
      <c r="S157" s="19" t="s">
        <v>61</v>
      </c>
      <c r="T157" s="19" t="s">
        <v>62</v>
      </c>
      <c r="U157" s="21" t="s">
        <v>837</v>
      </c>
      <c r="V157" s="19" t="s">
        <v>64</v>
      </c>
      <c r="W157" s="19">
        <f t="shared" ca="1" si="4"/>
        <v>42</v>
      </c>
      <c r="X157" s="19">
        <f t="shared" si="5"/>
        <v>3</v>
      </c>
      <c r="Y157" s="19" t="str" cm="1">
        <f t="array" ref="Y157">_xlfn.IFS(ISERROR(X157), "Pending", X157&lt;=5, "On Time", X157&gt;5, "Delayed")</f>
        <v>On Time</v>
      </c>
    </row>
    <row r="158" spans="1:25" x14ac:dyDescent="0.3">
      <c r="A158" s="15" t="s">
        <v>838</v>
      </c>
      <c r="B158" s="15" t="s">
        <v>221</v>
      </c>
      <c r="C158" s="15" t="s">
        <v>72</v>
      </c>
      <c r="D158" s="16">
        <v>45857</v>
      </c>
      <c r="E158" s="16">
        <v>45867</v>
      </c>
      <c r="F158" s="15" t="s">
        <v>225</v>
      </c>
      <c r="G158" s="15" t="s">
        <v>76</v>
      </c>
      <c r="H158" s="16">
        <v>35954</v>
      </c>
      <c r="I158" s="15" t="s">
        <v>294</v>
      </c>
      <c r="J158" s="15" t="s">
        <v>295</v>
      </c>
      <c r="K158" s="15" t="s">
        <v>46</v>
      </c>
      <c r="L158" s="15" t="s">
        <v>78</v>
      </c>
      <c r="M158" s="15">
        <v>3</v>
      </c>
      <c r="N158" s="15">
        <v>1200</v>
      </c>
      <c r="O158" s="15">
        <v>10</v>
      </c>
      <c r="P158" s="15">
        <v>3240</v>
      </c>
      <c r="Q158" s="15">
        <v>2</v>
      </c>
      <c r="R158" s="15" t="s">
        <v>79</v>
      </c>
      <c r="S158" s="15" t="s">
        <v>151</v>
      </c>
      <c r="T158" s="15" t="s">
        <v>228</v>
      </c>
      <c r="U158" s="18" t="s">
        <v>841</v>
      </c>
      <c r="V158" s="15" t="s">
        <v>69</v>
      </c>
      <c r="W158" s="15">
        <f t="shared" ca="1" si="4"/>
        <v>28</v>
      </c>
      <c r="X158" s="15">
        <f t="shared" si="5"/>
        <v>10</v>
      </c>
      <c r="Y158" s="15" t="str" cm="1">
        <f t="array" ref="Y158">_xlfn.IFS(ISERROR(X158), "Pending", X158&lt;=5, "On Time", X158&gt;5, "Delayed")</f>
        <v>Delayed</v>
      </c>
    </row>
    <row r="159" spans="1:25" x14ac:dyDescent="0.3">
      <c r="A159" s="19" t="s">
        <v>842</v>
      </c>
      <c r="B159" s="19" t="s">
        <v>327</v>
      </c>
      <c r="C159" s="19" t="s">
        <v>118</v>
      </c>
      <c r="D159" s="20">
        <v>45757</v>
      </c>
      <c r="E159" s="20">
        <v>45759</v>
      </c>
      <c r="F159" s="19" t="s">
        <v>394</v>
      </c>
      <c r="G159" s="19" t="s">
        <v>76</v>
      </c>
      <c r="H159" s="20">
        <v>37060</v>
      </c>
      <c r="I159" s="19" t="s">
        <v>30</v>
      </c>
      <c r="J159" s="19" t="s">
        <v>31</v>
      </c>
      <c r="K159" s="19" t="s">
        <v>122</v>
      </c>
      <c r="L159" s="19" t="s">
        <v>123</v>
      </c>
      <c r="M159" s="19">
        <v>2</v>
      </c>
      <c r="N159" s="19">
        <v>60</v>
      </c>
      <c r="O159" s="19">
        <v>10</v>
      </c>
      <c r="P159" s="19">
        <v>108</v>
      </c>
      <c r="Q159" s="19">
        <v>2</v>
      </c>
      <c r="R159" s="19" t="s">
        <v>88</v>
      </c>
      <c r="S159" s="19" t="s">
        <v>61</v>
      </c>
      <c r="T159" s="19" t="s">
        <v>332</v>
      </c>
      <c r="U159" s="21" t="s">
        <v>844</v>
      </c>
      <c r="V159" s="19" t="s">
        <v>38</v>
      </c>
      <c r="W159" s="19">
        <f t="shared" ca="1" si="4"/>
        <v>25</v>
      </c>
      <c r="X159" s="19">
        <f t="shared" si="5"/>
        <v>2</v>
      </c>
      <c r="Y159" s="19" t="str" cm="1">
        <f t="array" ref="Y159">_xlfn.IFS(ISERROR(X159), "Pending", X159&lt;=5, "On Time", X159&gt;5, "Delayed")</f>
        <v>On Time</v>
      </c>
    </row>
    <row r="160" spans="1:25" x14ac:dyDescent="0.3">
      <c r="A160" s="15" t="s">
        <v>845</v>
      </c>
      <c r="B160" s="15" t="s">
        <v>71</v>
      </c>
      <c r="C160" s="15" t="s">
        <v>92</v>
      </c>
      <c r="D160" s="16">
        <v>46155</v>
      </c>
      <c r="E160" s="16">
        <v>46165</v>
      </c>
      <c r="F160" s="15" t="s">
        <v>217</v>
      </c>
      <c r="G160" s="15" t="s">
        <v>76</v>
      </c>
      <c r="H160" s="16">
        <v>36473</v>
      </c>
      <c r="I160" s="15" t="s">
        <v>44</v>
      </c>
      <c r="J160" s="15" t="s">
        <v>45</v>
      </c>
      <c r="K160" s="15" t="s">
        <v>32</v>
      </c>
      <c r="L160" s="15" t="s">
        <v>97</v>
      </c>
      <c r="M160" s="15">
        <v>9</v>
      </c>
      <c r="N160" s="15">
        <v>3500</v>
      </c>
      <c r="O160" s="15">
        <v>20</v>
      </c>
      <c r="P160" s="15">
        <v>25200</v>
      </c>
      <c r="Q160" s="15">
        <v>1</v>
      </c>
      <c r="R160" s="15" t="s">
        <v>48</v>
      </c>
      <c r="S160" s="15" t="s">
        <v>35</v>
      </c>
      <c r="T160" s="15" t="s">
        <v>80</v>
      </c>
      <c r="U160" s="18" t="s">
        <v>848</v>
      </c>
      <c r="V160" s="15" t="s">
        <v>38</v>
      </c>
      <c r="W160" s="15">
        <f t="shared" ca="1" si="4"/>
        <v>26</v>
      </c>
      <c r="X160" s="15">
        <f t="shared" si="5"/>
        <v>10</v>
      </c>
      <c r="Y160" s="15" t="str" cm="1">
        <f t="array" ref="Y160">_xlfn.IFS(ISERROR(X160), "Pending", X160&lt;=5, "On Time", X160&gt;5, "Delayed")</f>
        <v>Delayed</v>
      </c>
    </row>
    <row r="161" spans="1:25" x14ac:dyDescent="0.3">
      <c r="A161" s="19" t="s">
        <v>849</v>
      </c>
      <c r="B161" s="19" t="s">
        <v>221</v>
      </c>
      <c r="C161" s="19" t="s">
        <v>54</v>
      </c>
      <c r="D161" s="20">
        <v>46094</v>
      </c>
      <c r="E161" s="20">
        <v>46097</v>
      </c>
      <c r="F161" s="19" t="s">
        <v>225</v>
      </c>
      <c r="G161" s="19" t="s">
        <v>76</v>
      </c>
      <c r="H161" s="20">
        <v>34892</v>
      </c>
      <c r="I161" s="19" t="s">
        <v>212</v>
      </c>
      <c r="J161" s="19" t="s">
        <v>45</v>
      </c>
      <c r="K161" s="19" t="s">
        <v>46</v>
      </c>
      <c r="L161" s="19" t="s">
        <v>60</v>
      </c>
      <c r="M161" s="19">
        <v>4</v>
      </c>
      <c r="N161" s="19">
        <v>55000</v>
      </c>
      <c r="O161" s="19">
        <v>5</v>
      </c>
      <c r="P161" s="19">
        <v>209000</v>
      </c>
      <c r="Q161" s="19">
        <v>2</v>
      </c>
      <c r="R161" s="19" t="s">
        <v>34</v>
      </c>
      <c r="S161" s="19" t="s">
        <v>151</v>
      </c>
      <c r="T161" s="19" t="s">
        <v>228</v>
      </c>
      <c r="U161" s="21" t="s">
        <v>851</v>
      </c>
      <c r="V161" s="19" t="s">
        <v>64</v>
      </c>
      <c r="W161" s="19">
        <f t="shared" ca="1" si="4"/>
        <v>31</v>
      </c>
      <c r="X161" s="19">
        <f t="shared" si="5"/>
        <v>3</v>
      </c>
      <c r="Y161" s="19" t="str" cm="1">
        <f t="array" ref="Y161">_xlfn.IFS(ISERROR(X161), "Pending", X161&lt;=5, "On Time", X161&gt;5, "Delayed")</f>
        <v>On Time</v>
      </c>
    </row>
    <row r="162" spans="1:25" x14ac:dyDescent="0.3">
      <c r="A162" s="15" t="s">
        <v>852</v>
      </c>
      <c r="B162" s="15" t="s">
        <v>327</v>
      </c>
      <c r="C162" s="15" t="s">
        <v>184</v>
      </c>
      <c r="D162" s="16">
        <v>45835</v>
      </c>
      <c r="E162" s="16">
        <v>45839</v>
      </c>
      <c r="F162" s="15" t="s">
        <v>853</v>
      </c>
      <c r="G162" s="15" t="s">
        <v>76</v>
      </c>
      <c r="H162" s="16">
        <v>36363</v>
      </c>
      <c r="I162" s="15" t="s">
        <v>44</v>
      </c>
      <c r="J162" s="15" t="s">
        <v>45</v>
      </c>
      <c r="K162" s="15" t="s">
        <v>46</v>
      </c>
      <c r="L162" s="15" t="s">
        <v>189</v>
      </c>
      <c r="M162" s="15">
        <v>11</v>
      </c>
      <c r="N162" s="15">
        <v>700</v>
      </c>
      <c r="O162" s="15">
        <v>20</v>
      </c>
      <c r="P162" s="15">
        <v>6160</v>
      </c>
      <c r="Q162" s="15">
        <v>4</v>
      </c>
      <c r="R162" s="15" t="s">
        <v>34</v>
      </c>
      <c r="S162" s="15" t="s">
        <v>151</v>
      </c>
      <c r="T162" s="15" t="s">
        <v>332</v>
      </c>
      <c r="U162" s="18" t="s">
        <v>855</v>
      </c>
      <c r="V162" s="15" t="s">
        <v>69</v>
      </c>
      <c r="W162" s="15">
        <f t="shared" ca="1" si="4"/>
        <v>27</v>
      </c>
      <c r="X162" s="15">
        <f t="shared" si="5"/>
        <v>4</v>
      </c>
      <c r="Y162" s="15" t="str" cm="1">
        <f t="array" ref="Y162">_xlfn.IFS(ISERROR(X162), "Pending", X162&lt;=5, "On Time", X162&gt;5, "Delayed")</f>
        <v>On Time</v>
      </c>
    </row>
    <row r="163" spans="1:25" x14ac:dyDescent="0.3">
      <c r="A163" s="19" t="s">
        <v>856</v>
      </c>
      <c r="B163" s="19" t="s">
        <v>168</v>
      </c>
      <c r="C163" s="19" t="s">
        <v>72</v>
      </c>
      <c r="D163" s="20">
        <v>45980</v>
      </c>
      <c r="E163" s="20">
        <v>45990</v>
      </c>
      <c r="F163" s="19" t="s">
        <v>361</v>
      </c>
      <c r="G163" s="19" t="s">
        <v>28</v>
      </c>
      <c r="H163" s="20">
        <v>36844</v>
      </c>
      <c r="I163" s="19" t="s">
        <v>294</v>
      </c>
      <c r="J163" s="19" t="s">
        <v>295</v>
      </c>
      <c r="K163" s="19" t="s">
        <v>46</v>
      </c>
      <c r="L163" s="19" t="s">
        <v>78</v>
      </c>
      <c r="M163" s="19">
        <v>16</v>
      </c>
      <c r="N163" s="19">
        <v>1200</v>
      </c>
      <c r="O163" s="19">
        <v>5</v>
      </c>
      <c r="P163" s="19">
        <v>18240</v>
      </c>
      <c r="Q163" s="19">
        <v>1</v>
      </c>
      <c r="R163" s="19" t="s">
        <v>79</v>
      </c>
      <c r="S163" s="19" t="s">
        <v>35</v>
      </c>
      <c r="T163" s="19" t="s">
        <v>175</v>
      </c>
      <c r="U163" s="21" t="s">
        <v>858</v>
      </c>
      <c r="V163" s="19" t="s">
        <v>64</v>
      </c>
      <c r="W163" s="19">
        <f t="shared" ca="1" si="4"/>
        <v>25</v>
      </c>
      <c r="X163" s="19">
        <f t="shared" si="5"/>
        <v>10</v>
      </c>
      <c r="Y163" s="19" t="str" cm="1">
        <f t="array" ref="Y163">_xlfn.IFS(ISERROR(X163), "Pending", X163&lt;=5, "On Time", X163&gt;5, "Delayed")</f>
        <v>Delayed</v>
      </c>
    </row>
    <row r="164" spans="1:25" x14ac:dyDescent="0.3">
      <c r="A164" s="15" t="s">
        <v>859</v>
      </c>
      <c r="B164" s="15" t="s">
        <v>168</v>
      </c>
      <c r="C164" s="15" t="s">
        <v>72</v>
      </c>
      <c r="D164" s="16">
        <v>45915</v>
      </c>
      <c r="E164" s="16">
        <v>45917</v>
      </c>
      <c r="F164" s="15" t="s">
        <v>361</v>
      </c>
      <c r="G164" s="15" t="s">
        <v>28</v>
      </c>
      <c r="H164" s="16">
        <v>37461</v>
      </c>
      <c r="I164" s="15" t="s">
        <v>114</v>
      </c>
      <c r="J164" s="15" t="s">
        <v>106</v>
      </c>
      <c r="K164" s="15" t="s">
        <v>46</v>
      </c>
      <c r="L164" s="15" t="s">
        <v>78</v>
      </c>
      <c r="M164" s="15">
        <v>1</v>
      </c>
      <c r="N164" s="15">
        <v>1200</v>
      </c>
      <c r="O164" s="15">
        <v>5</v>
      </c>
      <c r="P164" s="15">
        <v>1140</v>
      </c>
      <c r="Q164" s="15">
        <v>4</v>
      </c>
      <c r="R164" s="15" t="s">
        <v>79</v>
      </c>
      <c r="S164" s="15" t="s">
        <v>35</v>
      </c>
      <c r="T164" s="15" t="s">
        <v>175</v>
      </c>
      <c r="U164" s="18" t="s">
        <v>862</v>
      </c>
      <c r="V164" s="15" t="s">
        <v>38</v>
      </c>
      <c r="W164" s="15">
        <f t="shared" ca="1" si="4"/>
        <v>24</v>
      </c>
      <c r="X164" s="15">
        <f t="shared" si="5"/>
        <v>2</v>
      </c>
      <c r="Y164" s="15" t="str" cm="1">
        <f t="array" ref="Y164">_xlfn.IFS(ISERROR(X164), "Pending", X164&lt;=5, "On Time", X164&gt;5, "Delayed")</f>
        <v>On Time</v>
      </c>
    </row>
    <row r="165" spans="1:25" x14ac:dyDescent="0.3">
      <c r="A165" s="19" t="s">
        <v>863</v>
      </c>
      <c r="B165" s="19" t="s">
        <v>327</v>
      </c>
      <c r="C165" s="19" t="s">
        <v>118</v>
      </c>
      <c r="D165" s="20">
        <v>45965</v>
      </c>
      <c r="E165" s="20">
        <v>45974</v>
      </c>
      <c r="F165" s="19" t="s">
        <v>853</v>
      </c>
      <c r="G165" s="19" t="s">
        <v>76</v>
      </c>
      <c r="H165" s="20">
        <v>37312</v>
      </c>
      <c r="I165" s="19" t="s">
        <v>212</v>
      </c>
      <c r="J165" s="19" t="s">
        <v>45</v>
      </c>
      <c r="K165" s="19" t="s">
        <v>122</v>
      </c>
      <c r="L165" s="19" t="s">
        <v>123</v>
      </c>
      <c r="M165" s="19">
        <v>7</v>
      </c>
      <c r="N165" s="19">
        <v>60</v>
      </c>
      <c r="O165" s="19">
        <v>0</v>
      </c>
      <c r="P165" s="19">
        <v>420</v>
      </c>
      <c r="Q165" s="19">
        <v>2</v>
      </c>
      <c r="R165" s="19" t="s">
        <v>88</v>
      </c>
      <c r="S165" s="19" t="s">
        <v>151</v>
      </c>
      <c r="T165" s="19" t="s">
        <v>332</v>
      </c>
      <c r="U165" s="21" t="s">
        <v>867</v>
      </c>
      <c r="V165" s="19" t="s">
        <v>38</v>
      </c>
      <c r="W165" s="19">
        <f t="shared" ca="1" si="4"/>
        <v>24</v>
      </c>
      <c r="X165" s="19">
        <f t="shared" si="5"/>
        <v>9</v>
      </c>
      <c r="Y165" s="19" t="str" cm="1">
        <f t="array" ref="Y165">_xlfn.IFS(ISERROR(X165), "Pending", X165&lt;=5, "On Time", X165&gt;5, "Delayed")</f>
        <v>Delayed</v>
      </c>
    </row>
    <row r="166" spans="1:25" x14ac:dyDescent="0.3">
      <c r="A166" s="15" t="s">
        <v>868</v>
      </c>
      <c r="B166" s="15" t="s">
        <v>168</v>
      </c>
      <c r="C166" s="15" t="s">
        <v>24</v>
      </c>
      <c r="D166" s="16">
        <v>45660</v>
      </c>
      <c r="E166" s="16">
        <v>45664</v>
      </c>
      <c r="F166" s="15" t="s">
        <v>361</v>
      </c>
      <c r="G166" s="15" t="s">
        <v>28</v>
      </c>
      <c r="H166" s="16">
        <v>29418</v>
      </c>
      <c r="I166" s="15" t="s">
        <v>114</v>
      </c>
      <c r="J166" s="15" t="s">
        <v>106</v>
      </c>
      <c r="K166" s="15" t="s">
        <v>32</v>
      </c>
      <c r="L166" s="15" t="s">
        <v>33</v>
      </c>
      <c r="M166" s="15">
        <v>14</v>
      </c>
      <c r="N166" s="15">
        <v>2200</v>
      </c>
      <c r="O166" s="15">
        <v>0</v>
      </c>
      <c r="P166" s="15">
        <v>30800</v>
      </c>
      <c r="Q166" s="15">
        <v>2</v>
      </c>
      <c r="R166" s="15" t="s">
        <v>88</v>
      </c>
      <c r="S166" s="15" t="s">
        <v>35</v>
      </c>
      <c r="T166" s="15" t="s">
        <v>175</v>
      </c>
      <c r="U166" s="18" t="s">
        <v>870</v>
      </c>
      <c r="V166" s="15" t="s">
        <v>69</v>
      </c>
      <c r="W166" s="15">
        <f t="shared" ca="1" si="4"/>
        <v>46</v>
      </c>
      <c r="X166" s="15">
        <f t="shared" si="5"/>
        <v>4</v>
      </c>
      <c r="Y166" s="15" t="str" cm="1">
        <f t="array" ref="Y166">_xlfn.IFS(ISERROR(X166), "Pending", X166&lt;=5, "On Time", X166&gt;5, "Delayed")</f>
        <v>On Time</v>
      </c>
    </row>
    <row r="167" spans="1:25" x14ac:dyDescent="0.3">
      <c r="A167" s="19" t="s">
        <v>871</v>
      </c>
      <c r="B167" s="19" t="s">
        <v>168</v>
      </c>
      <c r="C167" s="19" t="s">
        <v>92</v>
      </c>
      <c r="D167" s="20">
        <v>45827</v>
      </c>
      <c r="E167" s="20">
        <v>45835</v>
      </c>
      <c r="F167" s="19" t="s">
        <v>361</v>
      </c>
      <c r="G167" s="19" t="s">
        <v>28</v>
      </c>
      <c r="H167" s="20">
        <v>35210</v>
      </c>
      <c r="I167" s="19" t="s">
        <v>138</v>
      </c>
      <c r="J167" s="19" t="s">
        <v>106</v>
      </c>
      <c r="K167" s="19" t="s">
        <v>32</v>
      </c>
      <c r="L167" s="19" t="s">
        <v>97</v>
      </c>
      <c r="M167" s="19">
        <v>15</v>
      </c>
      <c r="N167" s="19">
        <v>3500</v>
      </c>
      <c r="O167" s="19">
        <v>15</v>
      </c>
      <c r="P167" s="19">
        <v>44625</v>
      </c>
      <c r="Q167" s="19">
        <v>2</v>
      </c>
      <c r="R167" s="19" t="s">
        <v>88</v>
      </c>
      <c r="S167" s="19" t="s">
        <v>61</v>
      </c>
      <c r="T167" s="19" t="s">
        <v>175</v>
      </c>
      <c r="U167" s="21" t="s">
        <v>874</v>
      </c>
      <c r="V167" s="19" t="s">
        <v>64</v>
      </c>
      <c r="W167" s="19">
        <f t="shared" ca="1" si="4"/>
        <v>30</v>
      </c>
      <c r="X167" s="19">
        <f t="shared" si="5"/>
        <v>8</v>
      </c>
      <c r="Y167" s="19" t="str" cm="1">
        <f t="array" ref="Y167">_xlfn.IFS(ISERROR(X167), "Pending", X167&lt;=5, "On Time", X167&gt;5, "Delayed")</f>
        <v>Delayed</v>
      </c>
    </row>
    <row r="168" spans="1:25" x14ac:dyDescent="0.3">
      <c r="A168" s="15" t="s">
        <v>875</v>
      </c>
      <c r="B168" s="15" t="s">
        <v>127</v>
      </c>
      <c r="C168" s="15" t="s">
        <v>92</v>
      </c>
      <c r="D168" s="16">
        <v>45742</v>
      </c>
      <c r="E168" s="16">
        <v>45753</v>
      </c>
      <c r="F168" s="15" t="s">
        <v>200</v>
      </c>
      <c r="G168" s="15" t="s">
        <v>76</v>
      </c>
      <c r="H168" s="16">
        <v>31721</v>
      </c>
      <c r="I168" s="15" t="s">
        <v>294</v>
      </c>
      <c r="J168" s="15" t="s">
        <v>295</v>
      </c>
      <c r="K168" s="15" t="s">
        <v>32</v>
      </c>
      <c r="L168" s="15" t="s">
        <v>97</v>
      </c>
      <c r="M168" s="15">
        <v>19</v>
      </c>
      <c r="N168" s="15">
        <v>3500</v>
      </c>
      <c r="O168" s="15">
        <v>5</v>
      </c>
      <c r="P168" s="15">
        <v>63175</v>
      </c>
      <c r="Q168" s="15">
        <v>2</v>
      </c>
      <c r="R168" s="15" t="s">
        <v>34</v>
      </c>
      <c r="S168" s="15" t="s">
        <v>115</v>
      </c>
      <c r="T168" s="15" t="s">
        <v>132</v>
      </c>
      <c r="U168" s="18" t="s">
        <v>879</v>
      </c>
      <c r="V168" s="15" t="s">
        <v>69</v>
      </c>
      <c r="W168" s="15">
        <f t="shared" ca="1" si="4"/>
        <v>39</v>
      </c>
      <c r="X168" s="15">
        <f t="shared" si="5"/>
        <v>11</v>
      </c>
      <c r="Y168" s="15" t="str" cm="1">
        <f t="array" ref="Y168">_xlfn.IFS(ISERROR(X168), "Pending", X168&lt;=5, "On Time", X168&gt;5, "Delayed")</f>
        <v>Delayed</v>
      </c>
    </row>
    <row r="169" spans="1:25" x14ac:dyDescent="0.3">
      <c r="A169" s="19" t="s">
        <v>880</v>
      </c>
      <c r="B169" s="19" t="s">
        <v>327</v>
      </c>
      <c r="C169" s="19" t="s">
        <v>54</v>
      </c>
      <c r="D169" s="20">
        <v>45844</v>
      </c>
      <c r="E169" s="20">
        <v>45848</v>
      </c>
      <c r="F169" s="19" t="s">
        <v>394</v>
      </c>
      <c r="G169" s="19" t="s">
        <v>76</v>
      </c>
      <c r="H169" s="20">
        <v>32653</v>
      </c>
      <c r="I169" s="19" t="s">
        <v>59</v>
      </c>
      <c r="J169" s="19" t="s">
        <v>31</v>
      </c>
      <c r="K169" s="19" t="s">
        <v>46</v>
      </c>
      <c r="L169" s="19" t="s">
        <v>60</v>
      </c>
      <c r="M169" s="19">
        <v>12</v>
      </c>
      <c r="N169" s="19">
        <v>55000</v>
      </c>
      <c r="O169" s="19">
        <v>5</v>
      </c>
      <c r="P169" s="19">
        <v>627000</v>
      </c>
      <c r="Q169" s="19">
        <v>4</v>
      </c>
      <c r="R169" s="19" t="s">
        <v>79</v>
      </c>
      <c r="S169" s="19" t="s">
        <v>61</v>
      </c>
      <c r="T169" s="19" t="s">
        <v>332</v>
      </c>
      <c r="U169" s="21" t="s">
        <v>883</v>
      </c>
      <c r="V169" s="19" t="s">
        <v>69</v>
      </c>
      <c r="W169" s="19">
        <f t="shared" ca="1" si="4"/>
        <v>37</v>
      </c>
      <c r="X169" s="19">
        <f t="shared" si="5"/>
        <v>4</v>
      </c>
      <c r="Y169" s="19" t="str" cm="1">
        <f t="array" ref="Y169">_xlfn.IFS(ISERROR(X169), "Pending", X169&lt;=5, "On Time", X169&gt;5, "Delayed")</f>
        <v>On Time</v>
      </c>
    </row>
    <row r="170" spans="1:25" x14ac:dyDescent="0.3">
      <c r="A170" s="15" t="s">
        <v>884</v>
      </c>
      <c r="B170" s="15" t="s">
        <v>53</v>
      </c>
      <c r="C170" s="15" t="s">
        <v>72</v>
      </c>
      <c r="D170" s="16">
        <v>46040</v>
      </c>
      <c r="E170" s="16">
        <v>46048</v>
      </c>
      <c r="F170" s="15" t="s">
        <v>163</v>
      </c>
      <c r="G170" s="15" t="s">
        <v>28</v>
      </c>
      <c r="H170" s="16">
        <v>32745</v>
      </c>
      <c r="I170" s="15" t="s">
        <v>105</v>
      </c>
      <c r="J170" s="15" t="s">
        <v>106</v>
      </c>
      <c r="K170" s="15" t="s">
        <v>46</v>
      </c>
      <c r="L170" s="15" t="s">
        <v>78</v>
      </c>
      <c r="M170" s="15">
        <v>6</v>
      </c>
      <c r="N170" s="15">
        <v>1200</v>
      </c>
      <c r="O170" s="15">
        <v>10</v>
      </c>
      <c r="P170" s="15">
        <v>6480</v>
      </c>
      <c r="Q170" s="15">
        <v>5</v>
      </c>
      <c r="R170" s="15" t="s">
        <v>48</v>
      </c>
      <c r="S170" s="15" t="s">
        <v>115</v>
      </c>
      <c r="T170" s="15" t="s">
        <v>62</v>
      </c>
      <c r="U170" s="18" t="s">
        <v>886</v>
      </c>
      <c r="V170" s="15" t="s">
        <v>69</v>
      </c>
      <c r="W170" s="15">
        <f t="shared" ca="1" si="4"/>
        <v>37</v>
      </c>
      <c r="X170" s="15">
        <f t="shared" si="5"/>
        <v>8</v>
      </c>
      <c r="Y170" s="15" t="str" cm="1">
        <f t="array" ref="Y170">_xlfn.IFS(ISERROR(X170), "Pending", X170&lt;=5, "On Time", X170&gt;5, "Delayed")</f>
        <v>Delayed</v>
      </c>
    </row>
    <row r="171" spans="1:25" x14ac:dyDescent="0.3">
      <c r="A171" s="19" t="s">
        <v>887</v>
      </c>
      <c r="B171" s="19" t="s">
        <v>251</v>
      </c>
      <c r="C171" s="19" t="s">
        <v>169</v>
      </c>
      <c r="D171" s="20">
        <v>45919</v>
      </c>
      <c r="E171" s="20">
        <v>45920</v>
      </c>
      <c r="F171" s="19" t="s">
        <v>254</v>
      </c>
      <c r="G171" s="19" t="s">
        <v>28</v>
      </c>
      <c r="H171" s="20">
        <v>35570</v>
      </c>
      <c r="I171" s="19" t="s">
        <v>30</v>
      </c>
      <c r="J171" s="19" t="s">
        <v>31</v>
      </c>
      <c r="K171" s="19" t="s">
        <v>32</v>
      </c>
      <c r="L171" s="19" t="s">
        <v>174</v>
      </c>
      <c r="M171" s="19">
        <v>1</v>
      </c>
      <c r="N171" s="19">
        <v>8500</v>
      </c>
      <c r="O171" s="19">
        <v>0</v>
      </c>
      <c r="P171" s="19">
        <v>8500</v>
      </c>
      <c r="Q171" s="19">
        <v>1</v>
      </c>
      <c r="R171" s="19" t="s">
        <v>88</v>
      </c>
      <c r="S171" s="19" t="s">
        <v>151</v>
      </c>
      <c r="T171" s="19" t="s">
        <v>256</v>
      </c>
      <c r="U171" s="21" t="s">
        <v>889</v>
      </c>
      <c r="V171" s="19" t="s">
        <v>69</v>
      </c>
      <c r="W171" s="19">
        <f t="shared" ca="1" si="4"/>
        <v>29</v>
      </c>
      <c r="X171" s="19">
        <f t="shared" si="5"/>
        <v>1</v>
      </c>
      <c r="Y171" s="19" t="str" cm="1">
        <f t="array" ref="Y171">_xlfn.IFS(ISERROR(X171), "Pending", X171&lt;=5, "On Time", X171&gt;5, "Delayed")</f>
        <v>On Time</v>
      </c>
    </row>
    <row r="172" spans="1:25" x14ac:dyDescent="0.3">
      <c r="A172" s="15" t="s">
        <v>890</v>
      </c>
      <c r="B172" s="15" t="s">
        <v>127</v>
      </c>
      <c r="C172" s="15" t="s">
        <v>54</v>
      </c>
      <c r="D172" s="16">
        <v>46113</v>
      </c>
      <c r="E172" s="16">
        <v>46119</v>
      </c>
      <c r="F172" s="15" t="s">
        <v>200</v>
      </c>
      <c r="G172" s="15" t="s">
        <v>76</v>
      </c>
      <c r="H172" s="16">
        <v>31841</v>
      </c>
      <c r="I172" s="15" t="s">
        <v>138</v>
      </c>
      <c r="J172" s="15" t="s">
        <v>106</v>
      </c>
      <c r="K172" s="15" t="s">
        <v>46</v>
      </c>
      <c r="L172" s="15" t="s">
        <v>60</v>
      </c>
      <c r="M172" s="15">
        <v>20</v>
      </c>
      <c r="N172" s="15">
        <v>55000</v>
      </c>
      <c r="O172" s="15">
        <v>10</v>
      </c>
      <c r="P172" s="15">
        <v>990000</v>
      </c>
      <c r="Q172" s="15">
        <v>5</v>
      </c>
      <c r="R172" s="15" t="s">
        <v>48</v>
      </c>
      <c r="S172" s="15" t="s">
        <v>151</v>
      </c>
      <c r="T172" s="15" t="s">
        <v>132</v>
      </c>
      <c r="U172" s="18" t="s">
        <v>894</v>
      </c>
      <c r="V172" s="15" t="s">
        <v>38</v>
      </c>
      <c r="W172" s="15">
        <f t="shared" ca="1" si="4"/>
        <v>39</v>
      </c>
      <c r="X172" s="15">
        <f t="shared" si="5"/>
        <v>6</v>
      </c>
      <c r="Y172" s="15" t="str" cm="1">
        <f t="array" ref="Y172">_xlfn.IFS(ISERROR(X172), "Pending", X172&lt;=5, "On Time", X172&gt;5, "Delayed")</f>
        <v>Delayed</v>
      </c>
    </row>
    <row r="173" spans="1:25" x14ac:dyDescent="0.3">
      <c r="A173" s="19" t="s">
        <v>895</v>
      </c>
      <c r="B173" s="19" t="s">
        <v>221</v>
      </c>
      <c r="C173" s="19" t="s">
        <v>72</v>
      </c>
      <c r="D173" s="20">
        <v>45958</v>
      </c>
      <c r="E173" s="20">
        <v>45959</v>
      </c>
      <c r="F173" s="19" t="s">
        <v>225</v>
      </c>
      <c r="G173" s="19" t="s">
        <v>76</v>
      </c>
      <c r="H173" s="20">
        <v>37299</v>
      </c>
      <c r="I173" s="19" t="s">
        <v>138</v>
      </c>
      <c r="J173" s="19" t="s">
        <v>106</v>
      </c>
      <c r="K173" s="19" t="s">
        <v>46</v>
      </c>
      <c r="L173" s="19" t="s">
        <v>78</v>
      </c>
      <c r="M173" s="19">
        <v>8</v>
      </c>
      <c r="N173" s="19">
        <v>1200</v>
      </c>
      <c r="O173" s="19">
        <v>15</v>
      </c>
      <c r="P173" s="19">
        <v>8160</v>
      </c>
      <c r="Q173" s="19">
        <v>2</v>
      </c>
      <c r="R173" s="19" t="s">
        <v>88</v>
      </c>
      <c r="S173" s="19" t="s">
        <v>115</v>
      </c>
      <c r="T173" s="19" t="s">
        <v>228</v>
      </c>
      <c r="U173" s="21" t="s">
        <v>898</v>
      </c>
      <c r="V173" s="19" t="s">
        <v>69</v>
      </c>
      <c r="W173" s="19">
        <f t="shared" ca="1" si="4"/>
        <v>24</v>
      </c>
      <c r="X173" s="19">
        <f t="shared" si="5"/>
        <v>1</v>
      </c>
      <c r="Y173" s="19" t="str" cm="1">
        <f t="array" ref="Y173">_xlfn.IFS(ISERROR(X173), "Pending", X173&lt;=5, "On Time", X173&gt;5, "Delayed")</f>
        <v>On Time</v>
      </c>
    </row>
    <row r="174" spans="1:25" x14ac:dyDescent="0.3">
      <c r="A174" s="15" t="s">
        <v>899</v>
      </c>
      <c r="B174" s="15" t="s">
        <v>23</v>
      </c>
      <c r="C174" s="15" t="s">
        <v>92</v>
      </c>
      <c r="D174" s="16">
        <v>45694</v>
      </c>
      <c r="E174" s="16">
        <v>45705</v>
      </c>
      <c r="F174" s="15" t="s">
        <v>27</v>
      </c>
      <c r="G174" s="15" t="s">
        <v>28</v>
      </c>
      <c r="H174" s="16">
        <v>31557</v>
      </c>
      <c r="I174" s="15" t="s">
        <v>212</v>
      </c>
      <c r="J174" s="15" t="s">
        <v>45</v>
      </c>
      <c r="K174" s="15" t="s">
        <v>32</v>
      </c>
      <c r="L174" s="15" t="s">
        <v>97</v>
      </c>
      <c r="M174" s="15">
        <v>19</v>
      </c>
      <c r="N174" s="15">
        <v>3500</v>
      </c>
      <c r="O174" s="15">
        <v>5</v>
      </c>
      <c r="P174" s="15">
        <v>63175</v>
      </c>
      <c r="Q174" s="15">
        <v>4</v>
      </c>
      <c r="R174" s="15" t="s">
        <v>88</v>
      </c>
      <c r="S174" s="15" t="s">
        <v>49</v>
      </c>
      <c r="T174" s="15" t="s">
        <v>50</v>
      </c>
      <c r="U174" s="18" t="s">
        <v>903</v>
      </c>
      <c r="V174" s="15" t="s">
        <v>64</v>
      </c>
      <c r="W174" s="15">
        <f t="shared" ca="1" si="4"/>
        <v>40</v>
      </c>
      <c r="X174" s="15">
        <f t="shared" si="5"/>
        <v>11</v>
      </c>
      <c r="Y174" s="15" t="str" cm="1">
        <f t="array" ref="Y174">_xlfn.IFS(ISERROR(X174), "Pending", X174&lt;=5, "On Time", X174&gt;5, "Delayed")</f>
        <v>Delayed</v>
      </c>
    </row>
    <row r="175" spans="1:25" x14ac:dyDescent="0.3">
      <c r="A175" s="19" t="s">
        <v>904</v>
      </c>
      <c r="B175" s="19" t="s">
        <v>221</v>
      </c>
      <c r="C175" s="19" t="s">
        <v>259</v>
      </c>
      <c r="D175" s="20">
        <v>45774</v>
      </c>
      <c r="E175" s="20">
        <v>45776</v>
      </c>
      <c r="F175" s="19" t="s">
        <v>905</v>
      </c>
      <c r="G175" s="19" t="s">
        <v>76</v>
      </c>
      <c r="H175" s="20">
        <v>31465</v>
      </c>
      <c r="I175" s="19" t="s">
        <v>212</v>
      </c>
      <c r="J175" s="19" t="s">
        <v>45</v>
      </c>
      <c r="K175" s="19" t="s">
        <v>122</v>
      </c>
      <c r="L175" s="19" t="s">
        <v>263</v>
      </c>
      <c r="M175" s="19">
        <v>6</v>
      </c>
      <c r="N175" s="19">
        <v>45</v>
      </c>
      <c r="O175" s="19">
        <v>20</v>
      </c>
      <c r="P175" s="19">
        <v>216</v>
      </c>
      <c r="Q175" s="19">
        <v>1</v>
      </c>
      <c r="R175" s="19" t="s">
        <v>79</v>
      </c>
      <c r="S175" s="19" t="s">
        <v>49</v>
      </c>
      <c r="T175" s="19" t="s">
        <v>907</v>
      </c>
      <c r="U175" s="21" t="s">
        <v>908</v>
      </c>
      <c r="V175" s="19" t="s">
        <v>64</v>
      </c>
      <c r="W175" s="19">
        <f t="shared" ca="1" si="4"/>
        <v>40</v>
      </c>
      <c r="X175" s="19">
        <f t="shared" si="5"/>
        <v>2</v>
      </c>
      <c r="Y175" s="19" t="str" cm="1">
        <f t="array" ref="Y175">_xlfn.IFS(ISERROR(X175), "Pending", X175&lt;=5, "On Time", X175&gt;5, "Delayed")</f>
        <v>On Time</v>
      </c>
    </row>
    <row r="176" spans="1:25" x14ac:dyDescent="0.3">
      <c r="A176" s="15" t="s">
        <v>909</v>
      </c>
      <c r="B176" s="15" t="s">
        <v>251</v>
      </c>
      <c r="C176" s="15" t="s">
        <v>259</v>
      </c>
      <c r="D176" s="16">
        <v>45730</v>
      </c>
      <c r="E176" s="16">
        <v>45741</v>
      </c>
      <c r="F176" s="15" t="s">
        <v>254</v>
      </c>
      <c r="G176" s="15" t="s">
        <v>28</v>
      </c>
      <c r="H176" s="16">
        <v>32328</v>
      </c>
      <c r="I176" s="15" t="s">
        <v>114</v>
      </c>
      <c r="J176" s="15" t="s">
        <v>106</v>
      </c>
      <c r="K176" s="15" t="s">
        <v>122</v>
      </c>
      <c r="L176" s="15" t="s">
        <v>263</v>
      </c>
      <c r="M176" s="15">
        <v>17</v>
      </c>
      <c r="N176" s="15">
        <v>45</v>
      </c>
      <c r="O176" s="15">
        <v>15</v>
      </c>
      <c r="P176" s="15">
        <v>650.25</v>
      </c>
      <c r="Q176" s="15">
        <v>5</v>
      </c>
      <c r="R176" s="15" t="s">
        <v>34</v>
      </c>
      <c r="S176" s="15" t="s">
        <v>115</v>
      </c>
      <c r="T176" s="15" t="s">
        <v>256</v>
      </c>
      <c r="U176" s="18" t="s">
        <v>912</v>
      </c>
      <c r="V176" s="15" t="s">
        <v>64</v>
      </c>
      <c r="W176" s="15">
        <f t="shared" ca="1" si="4"/>
        <v>38</v>
      </c>
      <c r="X176" s="15">
        <f t="shared" si="5"/>
        <v>11</v>
      </c>
      <c r="Y176" s="15" t="str" cm="1">
        <f t="array" ref="Y176">_xlfn.IFS(ISERROR(X176), "Pending", X176&lt;=5, "On Time", X176&gt;5, "Delayed")</f>
        <v>Delayed</v>
      </c>
    </row>
    <row r="177" spans="1:25" x14ac:dyDescent="0.3">
      <c r="A177" s="19" t="s">
        <v>913</v>
      </c>
      <c r="B177" s="19" t="s">
        <v>23</v>
      </c>
      <c r="C177" s="19" t="s">
        <v>222</v>
      </c>
      <c r="D177" s="20">
        <v>45842</v>
      </c>
      <c r="E177" s="20">
        <v>45854</v>
      </c>
      <c r="F177" s="19" t="s">
        <v>27</v>
      </c>
      <c r="G177" s="19" t="s">
        <v>28</v>
      </c>
      <c r="H177" s="20">
        <v>34147</v>
      </c>
      <c r="I177" s="19" t="s">
        <v>114</v>
      </c>
      <c r="J177" s="19" t="s">
        <v>106</v>
      </c>
      <c r="K177" s="19" t="s">
        <v>122</v>
      </c>
      <c r="L177" s="19" t="s">
        <v>227</v>
      </c>
      <c r="M177" s="19">
        <v>19</v>
      </c>
      <c r="N177" s="19">
        <v>20</v>
      </c>
      <c r="O177" s="19">
        <v>5</v>
      </c>
      <c r="P177" s="19">
        <v>361</v>
      </c>
      <c r="Q177" s="19">
        <v>4</v>
      </c>
      <c r="R177" s="19" t="s">
        <v>34</v>
      </c>
      <c r="S177" s="19" t="s">
        <v>35</v>
      </c>
      <c r="T177" s="19" t="s">
        <v>50</v>
      </c>
      <c r="U177" s="21" t="s">
        <v>916</v>
      </c>
      <c r="V177" s="19" t="s">
        <v>64</v>
      </c>
      <c r="W177" s="19">
        <f t="shared" ca="1" si="4"/>
        <v>33</v>
      </c>
      <c r="X177" s="19">
        <f t="shared" si="5"/>
        <v>12</v>
      </c>
      <c r="Y177" s="19" t="str" cm="1">
        <f t="array" ref="Y177">_xlfn.IFS(ISERROR(X177), "Pending", X177&lt;=5, "On Time", X177&gt;5, "Delayed")</f>
        <v>Delayed</v>
      </c>
    </row>
    <row r="178" spans="1:25" x14ac:dyDescent="0.3">
      <c r="A178" s="15" t="s">
        <v>917</v>
      </c>
      <c r="B178" s="15" t="s">
        <v>251</v>
      </c>
      <c r="C178" s="15" t="s">
        <v>222</v>
      </c>
      <c r="D178" s="16">
        <v>45993</v>
      </c>
      <c r="E178" s="16">
        <v>45994</v>
      </c>
      <c r="F178" s="15" t="s">
        <v>919</v>
      </c>
      <c r="G178" s="15" t="s">
        <v>28</v>
      </c>
      <c r="H178" s="16">
        <v>38156</v>
      </c>
      <c r="I178" s="15" t="s">
        <v>138</v>
      </c>
      <c r="J178" s="15" t="s">
        <v>106</v>
      </c>
      <c r="K178" s="15" t="s">
        <v>122</v>
      </c>
      <c r="L178" s="15" t="s">
        <v>227</v>
      </c>
      <c r="M178" s="15">
        <v>11</v>
      </c>
      <c r="N178" s="15">
        <v>20</v>
      </c>
      <c r="O178" s="15">
        <v>0</v>
      </c>
      <c r="P178" s="15">
        <v>220</v>
      </c>
      <c r="Q178" s="15">
        <v>3</v>
      </c>
      <c r="R178" s="15" t="s">
        <v>48</v>
      </c>
      <c r="S178" s="15" t="s">
        <v>49</v>
      </c>
      <c r="T178" s="15" t="s">
        <v>256</v>
      </c>
      <c r="U178" s="18" t="s">
        <v>921</v>
      </c>
      <c r="V178" s="15" t="s">
        <v>38</v>
      </c>
      <c r="W178" s="15">
        <f t="shared" ca="1" si="4"/>
        <v>22</v>
      </c>
      <c r="X178" s="15">
        <f t="shared" si="5"/>
        <v>1</v>
      </c>
      <c r="Y178" s="15" t="str" cm="1">
        <f t="array" ref="Y178">_xlfn.IFS(ISERROR(X178), "Pending", X178&lt;=5, "On Time", X178&gt;5, "Delayed")</f>
        <v>On Time</v>
      </c>
    </row>
    <row r="179" spans="1:25" x14ac:dyDescent="0.3">
      <c r="A179" s="19" t="s">
        <v>922</v>
      </c>
      <c r="B179" s="19" t="s">
        <v>168</v>
      </c>
      <c r="C179" s="19" t="s">
        <v>118</v>
      </c>
      <c r="D179" s="20">
        <v>46067</v>
      </c>
      <c r="E179" s="20">
        <v>46074</v>
      </c>
      <c r="F179" s="19" t="s">
        <v>361</v>
      </c>
      <c r="G179" s="19" t="s">
        <v>28</v>
      </c>
      <c r="H179" s="20">
        <v>34221</v>
      </c>
      <c r="I179" s="19" t="s">
        <v>44</v>
      </c>
      <c r="J179" s="19" t="s">
        <v>45</v>
      </c>
      <c r="K179" s="19" t="s">
        <v>122</v>
      </c>
      <c r="L179" s="19" t="s">
        <v>123</v>
      </c>
      <c r="M179" s="19">
        <v>12</v>
      </c>
      <c r="N179" s="19">
        <v>60</v>
      </c>
      <c r="O179" s="19">
        <v>0</v>
      </c>
      <c r="P179" s="19">
        <v>720</v>
      </c>
      <c r="Q179" s="19">
        <v>2</v>
      </c>
      <c r="R179" s="19" t="s">
        <v>48</v>
      </c>
      <c r="S179" s="19" t="s">
        <v>49</v>
      </c>
      <c r="T179" s="19" t="s">
        <v>175</v>
      </c>
      <c r="U179" s="21" t="s">
        <v>925</v>
      </c>
      <c r="V179" s="19" t="s">
        <v>38</v>
      </c>
      <c r="W179" s="19">
        <f t="shared" ca="1" si="4"/>
        <v>32</v>
      </c>
      <c r="X179" s="19">
        <f t="shared" si="5"/>
        <v>7</v>
      </c>
      <c r="Y179" s="19" t="str" cm="1">
        <f t="array" ref="Y179">_xlfn.IFS(ISERROR(X179), "Pending", X179&lt;=5, "On Time", X179&gt;5, "Delayed")</f>
        <v>Delayed</v>
      </c>
    </row>
    <row r="180" spans="1:25" x14ac:dyDescent="0.3">
      <c r="A180" s="15" t="s">
        <v>926</v>
      </c>
      <c r="B180" s="15" t="s">
        <v>221</v>
      </c>
      <c r="C180" s="15" t="s">
        <v>259</v>
      </c>
      <c r="D180" s="16">
        <v>45970</v>
      </c>
      <c r="E180" s="16">
        <v>45974</v>
      </c>
      <c r="F180" s="15" t="s">
        <v>928</v>
      </c>
      <c r="G180" s="15" t="s">
        <v>76</v>
      </c>
      <c r="H180" s="16">
        <v>37147</v>
      </c>
      <c r="I180" s="15" t="s">
        <v>294</v>
      </c>
      <c r="J180" s="15" t="s">
        <v>295</v>
      </c>
      <c r="K180" s="15" t="s">
        <v>122</v>
      </c>
      <c r="L180" s="15" t="s">
        <v>263</v>
      </c>
      <c r="M180" s="15">
        <v>14</v>
      </c>
      <c r="N180" s="15">
        <v>45</v>
      </c>
      <c r="O180" s="15">
        <v>15</v>
      </c>
      <c r="P180" s="15">
        <v>535.5</v>
      </c>
      <c r="Q180" s="15">
        <v>5</v>
      </c>
      <c r="R180" s="15" t="s">
        <v>88</v>
      </c>
      <c r="S180" s="15" t="s">
        <v>115</v>
      </c>
      <c r="T180" s="15" t="s">
        <v>228</v>
      </c>
      <c r="U180" s="18" t="s">
        <v>930</v>
      </c>
      <c r="V180" s="15" t="s">
        <v>64</v>
      </c>
      <c r="W180" s="15">
        <f t="shared" ca="1" si="4"/>
        <v>24</v>
      </c>
      <c r="X180" s="15">
        <f t="shared" si="5"/>
        <v>4</v>
      </c>
      <c r="Y180" s="15" t="str" cm="1">
        <f t="array" ref="Y180">_xlfn.IFS(ISERROR(X180), "Pending", X180&lt;=5, "On Time", X180&gt;5, "Delayed")</f>
        <v>On Time</v>
      </c>
    </row>
    <row r="181" spans="1:25" x14ac:dyDescent="0.3">
      <c r="A181" s="19" t="s">
        <v>931</v>
      </c>
      <c r="B181" s="19" t="s">
        <v>23</v>
      </c>
      <c r="C181" s="19" t="s">
        <v>184</v>
      </c>
      <c r="D181" s="20">
        <v>45695</v>
      </c>
      <c r="E181" s="20">
        <v>45707</v>
      </c>
      <c r="F181" s="19" t="s">
        <v>27</v>
      </c>
      <c r="G181" s="19" t="s">
        <v>28</v>
      </c>
      <c r="H181" s="20">
        <v>29905</v>
      </c>
      <c r="I181" s="19" t="s">
        <v>30</v>
      </c>
      <c r="J181" s="19" t="s">
        <v>31</v>
      </c>
      <c r="K181" s="19" t="s">
        <v>46</v>
      </c>
      <c r="L181" s="19" t="s">
        <v>189</v>
      </c>
      <c r="M181" s="19">
        <v>15</v>
      </c>
      <c r="N181" s="19">
        <v>700</v>
      </c>
      <c r="O181" s="19">
        <v>10</v>
      </c>
      <c r="P181" s="19">
        <v>9450</v>
      </c>
      <c r="Q181" s="19">
        <v>3</v>
      </c>
      <c r="R181" s="19" t="s">
        <v>48</v>
      </c>
      <c r="S181" s="19" t="s">
        <v>49</v>
      </c>
      <c r="T181" s="19" t="s">
        <v>50</v>
      </c>
      <c r="U181" s="21" t="s">
        <v>934</v>
      </c>
      <c r="V181" s="19" t="s">
        <v>64</v>
      </c>
      <c r="W181" s="19">
        <f t="shared" ca="1" si="4"/>
        <v>44</v>
      </c>
      <c r="X181" s="19">
        <f t="shared" si="5"/>
        <v>12</v>
      </c>
      <c r="Y181" s="19" t="str" cm="1">
        <f t="array" ref="Y181">_xlfn.IFS(ISERROR(X181), "Pending", X181&lt;=5, "On Time", X181&gt;5, "Delayed")</f>
        <v>Delayed</v>
      </c>
    </row>
    <row r="182" spans="1:25" x14ac:dyDescent="0.3">
      <c r="A182" s="15" t="s">
        <v>935</v>
      </c>
      <c r="B182" s="15" t="s">
        <v>100</v>
      </c>
      <c r="C182" s="15" t="s">
        <v>169</v>
      </c>
      <c r="D182" s="16">
        <v>45803</v>
      </c>
      <c r="E182" s="16">
        <v>45807</v>
      </c>
      <c r="F182" s="15" t="s">
        <v>103</v>
      </c>
      <c r="G182" s="15" t="s">
        <v>28</v>
      </c>
      <c r="H182" s="16">
        <v>29564</v>
      </c>
      <c r="I182" s="15" t="s">
        <v>138</v>
      </c>
      <c r="J182" s="15" t="s">
        <v>106</v>
      </c>
      <c r="K182" s="15" t="s">
        <v>32</v>
      </c>
      <c r="L182" s="15" t="s">
        <v>174</v>
      </c>
      <c r="M182" s="15">
        <v>19</v>
      </c>
      <c r="N182" s="15">
        <v>8500</v>
      </c>
      <c r="O182" s="15">
        <v>15</v>
      </c>
      <c r="P182" s="15">
        <v>137275</v>
      </c>
      <c r="Q182" s="15">
        <v>2</v>
      </c>
      <c r="R182" s="15" t="s">
        <v>34</v>
      </c>
      <c r="S182" s="15" t="s">
        <v>35</v>
      </c>
      <c r="T182" s="15" t="s">
        <v>144</v>
      </c>
      <c r="U182" s="18" t="s">
        <v>938</v>
      </c>
      <c r="V182" s="15" t="s">
        <v>69</v>
      </c>
      <c r="W182" s="15">
        <f t="shared" ca="1" si="4"/>
        <v>45</v>
      </c>
      <c r="X182" s="15">
        <f t="shared" si="5"/>
        <v>4</v>
      </c>
      <c r="Y182" s="15" t="str" cm="1">
        <f t="array" ref="Y182">_xlfn.IFS(ISERROR(X182), "Pending", X182&lt;=5, "On Time", X182&gt;5, "Delayed")</f>
        <v>On Time</v>
      </c>
    </row>
    <row r="183" spans="1:25" x14ac:dyDescent="0.3">
      <c r="A183" s="19" t="s">
        <v>939</v>
      </c>
      <c r="B183" s="19" t="s">
        <v>251</v>
      </c>
      <c r="C183" s="19" t="s">
        <v>118</v>
      </c>
      <c r="D183" s="20">
        <v>45934</v>
      </c>
      <c r="E183" s="20">
        <v>45936</v>
      </c>
      <c r="F183" s="19" t="s">
        <v>254</v>
      </c>
      <c r="G183" s="19" t="s">
        <v>28</v>
      </c>
      <c r="H183" s="20">
        <v>32328</v>
      </c>
      <c r="I183" s="19" t="s">
        <v>212</v>
      </c>
      <c r="J183" s="19" t="s">
        <v>45</v>
      </c>
      <c r="K183" s="19" t="s">
        <v>122</v>
      </c>
      <c r="L183" s="19" t="s">
        <v>123</v>
      </c>
      <c r="M183" s="19">
        <v>19</v>
      </c>
      <c r="N183" s="19">
        <v>60</v>
      </c>
      <c r="O183" s="19">
        <v>20</v>
      </c>
      <c r="P183" s="19">
        <v>912</v>
      </c>
      <c r="Q183" s="19">
        <v>4</v>
      </c>
      <c r="R183" s="19" t="s">
        <v>79</v>
      </c>
      <c r="S183" s="19" t="s">
        <v>49</v>
      </c>
      <c r="T183" s="19" t="s">
        <v>256</v>
      </c>
      <c r="U183" s="21" t="s">
        <v>942</v>
      </c>
      <c r="V183" s="19" t="s">
        <v>64</v>
      </c>
      <c r="W183" s="19">
        <f t="shared" ca="1" si="4"/>
        <v>38</v>
      </c>
      <c r="X183" s="19">
        <f t="shared" si="5"/>
        <v>2</v>
      </c>
      <c r="Y183" s="19" t="str" cm="1">
        <f t="array" ref="Y183">_xlfn.IFS(ISERROR(X183), "Pending", X183&lt;=5, "On Time", X183&gt;5, "Delayed")</f>
        <v>On Time</v>
      </c>
    </row>
    <row r="184" spans="1:25" x14ac:dyDescent="0.3">
      <c r="A184" s="15" t="s">
        <v>943</v>
      </c>
      <c r="B184" s="15" t="s">
        <v>100</v>
      </c>
      <c r="C184" s="15" t="s">
        <v>259</v>
      </c>
      <c r="D184" s="16">
        <v>45792</v>
      </c>
      <c r="E184" s="16">
        <v>45803</v>
      </c>
      <c r="F184" s="15" t="s">
        <v>103</v>
      </c>
      <c r="G184" s="15" t="s">
        <v>28</v>
      </c>
      <c r="H184" s="16">
        <v>32192</v>
      </c>
      <c r="I184" s="15" t="s">
        <v>59</v>
      </c>
      <c r="J184" s="15" t="s">
        <v>31</v>
      </c>
      <c r="K184" s="15" t="s">
        <v>122</v>
      </c>
      <c r="L184" s="15" t="s">
        <v>263</v>
      </c>
      <c r="M184" s="15">
        <v>10</v>
      </c>
      <c r="N184" s="15">
        <v>45</v>
      </c>
      <c r="O184" s="15">
        <v>15</v>
      </c>
      <c r="P184" s="15">
        <v>382.5</v>
      </c>
      <c r="Q184" s="15">
        <v>4</v>
      </c>
      <c r="R184" s="15" t="s">
        <v>34</v>
      </c>
      <c r="S184" s="15" t="s">
        <v>151</v>
      </c>
      <c r="T184" s="15" t="s">
        <v>144</v>
      </c>
      <c r="U184" s="18" t="s">
        <v>946</v>
      </c>
      <c r="V184" s="15" t="s">
        <v>38</v>
      </c>
      <c r="W184" s="15">
        <f t="shared" ca="1" si="4"/>
        <v>38</v>
      </c>
      <c r="X184" s="15">
        <f t="shared" si="5"/>
        <v>11</v>
      </c>
      <c r="Y184" s="15" t="str" cm="1">
        <f t="array" ref="Y184">_xlfn.IFS(ISERROR(X184), "Pending", X184&lt;=5, "On Time", X184&gt;5, "Delayed")</f>
        <v>Delayed</v>
      </c>
    </row>
    <row r="185" spans="1:25" x14ac:dyDescent="0.3">
      <c r="A185" s="19" t="s">
        <v>947</v>
      </c>
      <c r="B185" s="19" t="s">
        <v>71</v>
      </c>
      <c r="C185" s="19" t="s">
        <v>24</v>
      </c>
      <c r="D185" s="20">
        <v>45822</v>
      </c>
      <c r="E185" s="20">
        <v>45831</v>
      </c>
      <c r="F185" s="19" t="s">
        <v>217</v>
      </c>
      <c r="G185" s="19" t="s">
        <v>76</v>
      </c>
      <c r="H185" s="20">
        <v>29657</v>
      </c>
      <c r="I185" s="19" t="s">
        <v>44</v>
      </c>
      <c r="J185" s="19" t="s">
        <v>45</v>
      </c>
      <c r="K185" s="19" t="s">
        <v>32</v>
      </c>
      <c r="L185" s="19" t="s">
        <v>33</v>
      </c>
      <c r="M185" s="19">
        <v>7</v>
      </c>
      <c r="N185" s="19">
        <v>2200</v>
      </c>
      <c r="O185" s="19">
        <v>20</v>
      </c>
      <c r="P185" s="19">
        <v>12320</v>
      </c>
      <c r="Q185" s="19">
        <v>5</v>
      </c>
      <c r="R185" s="19" t="s">
        <v>88</v>
      </c>
      <c r="S185" s="19" t="s">
        <v>49</v>
      </c>
      <c r="T185" s="19" t="s">
        <v>80</v>
      </c>
      <c r="U185" s="21" t="s">
        <v>951</v>
      </c>
      <c r="V185" s="19" t="s">
        <v>64</v>
      </c>
      <c r="W185" s="19">
        <f t="shared" ca="1" si="4"/>
        <v>45</v>
      </c>
      <c r="X185" s="19">
        <f t="shared" si="5"/>
        <v>9</v>
      </c>
      <c r="Y185" s="19" t="str" cm="1">
        <f t="array" ref="Y185">_xlfn.IFS(ISERROR(X185), "Pending", X185&lt;=5, "On Time", X185&gt;5, "Delayed")</f>
        <v>Delayed</v>
      </c>
    </row>
    <row r="186" spans="1:25" x14ac:dyDescent="0.3">
      <c r="A186" s="15" t="s">
        <v>952</v>
      </c>
      <c r="B186" s="15" t="s">
        <v>100</v>
      </c>
      <c r="C186" s="15" t="s">
        <v>169</v>
      </c>
      <c r="D186" s="16">
        <v>45769</v>
      </c>
      <c r="E186" s="16">
        <v>45781</v>
      </c>
      <c r="F186" s="15" t="s">
        <v>103</v>
      </c>
      <c r="G186" s="15" t="s">
        <v>28</v>
      </c>
      <c r="H186" s="16">
        <v>30988</v>
      </c>
      <c r="I186" s="15" t="s">
        <v>294</v>
      </c>
      <c r="J186" s="15" t="s">
        <v>295</v>
      </c>
      <c r="K186" s="15" t="s">
        <v>32</v>
      </c>
      <c r="L186" s="15" t="s">
        <v>174</v>
      </c>
      <c r="M186" s="15">
        <v>20</v>
      </c>
      <c r="N186" s="15">
        <v>8500</v>
      </c>
      <c r="O186" s="15">
        <v>20</v>
      </c>
      <c r="P186" s="15">
        <v>136000</v>
      </c>
      <c r="Q186" s="15">
        <v>4</v>
      </c>
      <c r="R186" s="15" t="s">
        <v>48</v>
      </c>
      <c r="S186" s="15" t="s">
        <v>35</v>
      </c>
      <c r="T186" s="15" t="s">
        <v>144</v>
      </c>
      <c r="U186" s="18" t="s">
        <v>955</v>
      </c>
      <c r="V186" s="15" t="s">
        <v>38</v>
      </c>
      <c r="W186" s="15">
        <f t="shared" ca="1" si="4"/>
        <v>41</v>
      </c>
      <c r="X186" s="15">
        <f t="shared" si="5"/>
        <v>12</v>
      </c>
      <c r="Y186" s="15" t="str" cm="1">
        <f t="array" ref="Y186">_xlfn.IFS(ISERROR(X186), "Pending", X186&lt;=5, "On Time", X186&gt;5, "Delayed")</f>
        <v>Delayed</v>
      </c>
    </row>
    <row r="187" spans="1:25" x14ac:dyDescent="0.3">
      <c r="A187" s="19" t="s">
        <v>956</v>
      </c>
      <c r="B187" s="19" t="s">
        <v>251</v>
      </c>
      <c r="C187" s="19" t="s">
        <v>24</v>
      </c>
      <c r="D187" s="20">
        <v>45679</v>
      </c>
      <c r="E187" s="20">
        <v>45681</v>
      </c>
      <c r="F187" s="19" t="s">
        <v>254</v>
      </c>
      <c r="G187" s="19" t="s">
        <v>28</v>
      </c>
      <c r="H187" s="20">
        <v>33431</v>
      </c>
      <c r="I187" s="19" t="s">
        <v>30</v>
      </c>
      <c r="J187" s="19" t="s">
        <v>31</v>
      </c>
      <c r="K187" s="19" t="s">
        <v>32</v>
      </c>
      <c r="L187" s="19" t="s">
        <v>33</v>
      </c>
      <c r="M187" s="19">
        <v>10</v>
      </c>
      <c r="N187" s="19">
        <v>2200</v>
      </c>
      <c r="O187" s="19">
        <v>5</v>
      </c>
      <c r="P187" s="19">
        <v>20900</v>
      </c>
      <c r="Q187" s="19">
        <v>2</v>
      </c>
      <c r="R187" s="19" t="s">
        <v>48</v>
      </c>
      <c r="S187" s="19" t="s">
        <v>49</v>
      </c>
      <c r="T187" s="19" t="s">
        <v>256</v>
      </c>
      <c r="U187" s="21" t="s">
        <v>959</v>
      </c>
      <c r="V187" s="19" t="s">
        <v>38</v>
      </c>
      <c r="W187" s="19">
        <f t="shared" ca="1" si="4"/>
        <v>35</v>
      </c>
      <c r="X187" s="19">
        <f t="shared" si="5"/>
        <v>2</v>
      </c>
      <c r="Y187" s="19" t="str" cm="1">
        <f t="array" ref="Y187">_xlfn.IFS(ISERROR(X187), "Pending", X187&lt;=5, "On Time", X187&gt;5, "Delayed")</f>
        <v>On Time</v>
      </c>
    </row>
    <row r="188" spans="1:25" x14ac:dyDescent="0.3">
      <c r="A188" s="15" t="s">
        <v>960</v>
      </c>
      <c r="B188" s="15" t="s">
        <v>127</v>
      </c>
      <c r="C188" s="15" t="s">
        <v>118</v>
      </c>
      <c r="D188" s="16">
        <v>46007</v>
      </c>
      <c r="E188" s="16">
        <v>46017</v>
      </c>
      <c r="F188" s="15" t="s">
        <v>200</v>
      </c>
      <c r="G188" s="15" t="s">
        <v>76</v>
      </c>
      <c r="H188" s="16">
        <v>27811</v>
      </c>
      <c r="I188" s="15" t="s">
        <v>114</v>
      </c>
      <c r="J188" s="15" t="s">
        <v>106</v>
      </c>
      <c r="K188" s="15" t="s">
        <v>122</v>
      </c>
      <c r="L188" s="15" t="s">
        <v>123</v>
      </c>
      <c r="M188" s="15">
        <v>15</v>
      </c>
      <c r="N188" s="15">
        <v>60</v>
      </c>
      <c r="O188" s="15">
        <v>20</v>
      </c>
      <c r="P188" s="15">
        <v>720</v>
      </c>
      <c r="Q188" s="15">
        <v>1</v>
      </c>
      <c r="R188" s="15" t="s">
        <v>79</v>
      </c>
      <c r="S188" s="15" t="s">
        <v>35</v>
      </c>
      <c r="T188" s="15" t="s">
        <v>132</v>
      </c>
      <c r="U188" s="18" t="s">
        <v>963</v>
      </c>
      <c r="V188" s="15" t="s">
        <v>38</v>
      </c>
      <c r="W188" s="15">
        <f t="shared" ca="1" si="4"/>
        <v>50</v>
      </c>
      <c r="X188" s="15">
        <f t="shared" si="5"/>
        <v>10</v>
      </c>
      <c r="Y188" s="15" t="str" cm="1">
        <f t="array" ref="Y188">_xlfn.IFS(ISERROR(X188), "Pending", X188&lt;=5, "On Time", X188&gt;5, "Delayed")</f>
        <v>Delayed</v>
      </c>
    </row>
    <row r="189" spans="1:25" x14ac:dyDescent="0.3">
      <c r="A189" s="19" t="s">
        <v>964</v>
      </c>
      <c r="B189" s="19" t="s">
        <v>221</v>
      </c>
      <c r="C189" s="19" t="s">
        <v>92</v>
      </c>
      <c r="D189" s="20">
        <v>45832</v>
      </c>
      <c r="E189" s="20">
        <v>45836</v>
      </c>
      <c r="F189" s="19" t="s">
        <v>225</v>
      </c>
      <c r="G189" s="19" t="s">
        <v>76</v>
      </c>
      <c r="H189" s="20">
        <v>27634</v>
      </c>
      <c r="I189" s="19" t="s">
        <v>30</v>
      </c>
      <c r="J189" s="19" t="s">
        <v>31</v>
      </c>
      <c r="K189" s="19" t="s">
        <v>32</v>
      </c>
      <c r="L189" s="19" t="s">
        <v>97</v>
      </c>
      <c r="M189" s="19">
        <v>18</v>
      </c>
      <c r="N189" s="19">
        <v>3500</v>
      </c>
      <c r="O189" s="19">
        <v>5</v>
      </c>
      <c r="P189" s="19">
        <v>59850</v>
      </c>
      <c r="Q189" s="19">
        <v>1</v>
      </c>
      <c r="R189" s="19" t="s">
        <v>79</v>
      </c>
      <c r="S189" s="19" t="s">
        <v>49</v>
      </c>
      <c r="T189" s="19" t="s">
        <v>228</v>
      </c>
      <c r="U189" s="21" t="s">
        <v>967</v>
      </c>
      <c r="V189" s="19" t="s">
        <v>69</v>
      </c>
      <c r="W189" s="19">
        <f t="shared" ca="1" si="4"/>
        <v>51</v>
      </c>
      <c r="X189" s="19">
        <f t="shared" si="5"/>
        <v>4</v>
      </c>
      <c r="Y189" s="19" t="str" cm="1">
        <f t="array" ref="Y189">_xlfn.IFS(ISERROR(X189), "Pending", X189&lt;=5, "On Time", X189&gt;5, "Delayed")</f>
        <v>On Time</v>
      </c>
    </row>
    <row r="190" spans="1:25" x14ac:dyDescent="0.3">
      <c r="A190" s="15" t="s">
        <v>968</v>
      </c>
      <c r="B190" s="15" t="s">
        <v>327</v>
      </c>
      <c r="C190" s="15" t="s">
        <v>40</v>
      </c>
      <c r="D190" s="16">
        <v>46154</v>
      </c>
      <c r="E190" s="16">
        <v>46164</v>
      </c>
      <c r="F190" s="15" t="s">
        <v>394</v>
      </c>
      <c r="G190" s="15" t="s">
        <v>76</v>
      </c>
      <c r="H190" s="16">
        <v>31909</v>
      </c>
      <c r="I190" s="15" t="s">
        <v>114</v>
      </c>
      <c r="J190" s="15" t="s">
        <v>106</v>
      </c>
      <c r="K190" s="15" t="s">
        <v>46</v>
      </c>
      <c r="L190" s="15" t="s">
        <v>47</v>
      </c>
      <c r="M190" s="15">
        <v>6</v>
      </c>
      <c r="N190" s="15">
        <v>12000</v>
      </c>
      <c r="O190" s="15">
        <v>5</v>
      </c>
      <c r="P190" s="15">
        <v>68400</v>
      </c>
      <c r="Q190" s="15">
        <v>1</v>
      </c>
      <c r="R190" s="15" t="s">
        <v>48</v>
      </c>
      <c r="S190" s="15" t="s">
        <v>49</v>
      </c>
      <c r="T190" s="15" t="s">
        <v>332</v>
      </c>
      <c r="U190" s="18" t="s">
        <v>972</v>
      </c>
      <c r="V190" s="15" t="s">
        <v>69</v>
      </c>
      <c r="W190" s="15">
        <f t="shared" ca="1" si="4"/>
        <v>39</v>
      </c>
      <c r="X190" s="15">
        <f t="shared" si="5"/>
        <v>10</v>
      </c>
      <c r="Y190" s="15" t="str" cm="1">
        <f t="array" ref="Y190">_xlfn.IFS(ISERROR(X190), "Pending", X190&lt;=5, "On Time", X190&gt;5, "Delayed")</f>
        <v>Delayed</v>
      </c>
    </row>
    <row r="191" spans="1:25" x14ac:dyDescent="0.3">
      <c r="A191" s="19" t="s">
        <v>973</v>
      </c>
      <c r="B191" s="19" t="s">
        <v>327</v>
      </c>
      <c r="C191" s="19" t="s">
        <v>222</v>
      </c>
      <c r="D191" s="20">
        <v>46067</v>
      </c>
      <c r="E191" s="20">
        <v>46069</v>
      </c>
      <c r="F191" s="19" t="s">
        <v>394</v>
      </c>
      <c r="G191" s="19" t="s">
        <v>76</v>
      </c>
      <c r="H191" s="20">
        <v>38225</v>
      </c>
      <c r="I191" s="19" t="s">
        <v>59</v>
      </c>
      <c r="J191" s="19" t="s">
        <v>31</v>
      </c>
      <c r="K191" s="19" t="s">
        <v>122</v>
      </c>
      <c r="L191" s="19" t="s">
        <v>227</v>
      </c>
      <c r="M191" s="19">
        <v>19</v>
      </c>
      <c r="N191" s="19">
        <v>20</v>
      </c>
      <c r="O191" s="19">
        <v>10</v>
      </c>
      <c r="P191" s="19">
        <v>342</v>
      </c>
      <c r="Q191" s="19">
        <v>2</v>
      </c>
      <c r="R191" s="19" t="s">
        <v>48</v>
      </c>
      <c r="S191" s="19" t="s">
        <v>35</v>
      </c>
      <c r="T191" s="19" t="s">
        <v>332</v>
      </c>
      <c r="U191" s="21" t="s">
        <v>975</v>
      </c>
      <c r="V191" s="19" t="s">
        <v>64</v>
      </c>
      <c r="W191" s="19">
        <f t="shared" ca="1" si="4"/>
        <v>22</v>
      </c>
      <c r="X191" s="19">
        <f t="shared" si="5"/>
        <v>2</v>
      </c>
      <c r="Y191" s="19" t="str" cm="1">
        <f t="array" ref="Y191">_xlfn.IFS(ISERROR(X191), "Pending", X191&lt;=5, "On Time", X191&gt;5, "Delayed")</f>
        <v>On Time</v>
      </c>
    </row>
    <row r="192" spans="1:25" x14ac:dyDescent="0.3">
      <c r="A192" s="15" t="s">
        <v>976</v>
      </c>
      <c r="B192" s="15" t="s">
        <v>221</v>
      </c>
      <c r="C192" s="15" t="s">
        <v>24</v>
      </c>
      <c r="D192" s="16">
        <v>46155</v>
      </c>
      <c r="E192" s="16">
        <v>46162</v>
      </c>
      <c r="F192" s="15" t="s">
        <v>225</v>
      </c>
      <c r="G192" s="15" t="s">
        <v>76</v>
      </c>
      <c r="H192" s="16">
        <v>34350</v>
      </c>
      <c r="I192" s="15" t="s">
        <v>114</v>
      </c>
      <c r="J192" s="15" t="s">
        <v>106</v>
      </c>
      <c r="K192" s="15" t="s">
        <v>32</v>
      </c>
      <c r="L192" s="15" t="s">
        <v>33</v>
      </c>
      <c r="M192" s="15">
        <v>7</v>
      </c>
      <c r="N192" s="15">
        <v>2200</v>
      </c>
      <c r="O192" s="15">
        <v>0</v>
      </c>
      <c r="P192" s="15">
        <v>15400</v>
      </c>
      <c r="Q192" s="15">
        <v>1</v>
      </c>
      <c r="R192" s="15" t="s">
        <v>79</v>
      </c>
      <c r="S192" s="15" t="s">
        <v>115</v>
      </c>
      <c r="T192" s="15" t="s">
        <v>228</v>
      </c>
      <c r="U192" s="18" t="s">
        <v>978</v>
      </c>
      <c r="V192" s="15" t="s">
        <v>69</v>
      </c>
      <c r="W192" s="15">
        <f t="shared" ca="1" si="4"/>
        <v>32</v>
      </c>
      <c r="X192" s="15">
        <f t="shared" si="5"/>
        <v>7</v>
      </c>
      <c r="Y192" s="15" t="str" cm="1">
        <f t="array" ref="Y192">_xlfn.IFS(ISERROR(X192), "Pending", X192&lt;=5, "On Time", X192&gt;5, "Delayed")</f>
        <v>Delayed</v>
      </c>
    </row>
    <row r="193" spans="1:25" x14ac:dyDescent="0.3">
      <c r="A193" s="19" t="s">
        <v>979</v>
      </c>
      <c r="B193" s="19" t="s">
        <v>327</v>
      </c>
      <c r="C193" s="19" t="s">
        <v>40</v>
      </c>
      <c r="D193" s="20">
        <v>45977</v>
      </c>
      <c r="E193" s="20">
        <v>45981</v>
      </c>
      <c r="F193" s="19" t="s">
        <v>394</v>
      </c>
      <c r="G193" s="19" t="s">
        <v>76</v>
      </c>
      <c r="H193" s="20">
        <v>37922</v>
      </c>
      <c r="I193" s="19" t="s">
        <v>212</v>
      </c>
      <c r="J193" s="19" t="s">
        <v>45</v>
      </c>
      <c r="K193" s="19" t="s">
        <v>46</v>
      </c>
      <c r="L193" s="19" t="s">
        <v>47</v>
      </c>
      <c r="M193" s="19">
        <v>3</v>
      </c>
      <c r="N193" s="19">
        <v>12000</v>
      </c>
      <c r="O193" s="19">
        <v>5</v>
      </c>
      <c r="P193" s="19">
        <v>34200</v>
      </c>
      <c r="Q193" s="19">
        <v>3</v>
      </c>
      <c r="R193" s="19" t="s">
        <v>79</v>
      </c>
      <c r="S193" s="19" t="s">
        <v>61</v>
      </c>
      <c r="T193" s="19" t="s">
        <v>332</v>
      </c>
      <c r="U193" s="21" t="s">
        <v>982</v>
      </c>
      <c r="V193" s="19" t="s">
        <v>69</v>
      </c>
      <c r="W193" s="19">
        <f t="shared" ca="1" si="4"/>
        <v>22</v>
      </c>
      <c r="X193" s="19">
        <f t="shared" si="5"/>
        <v>4</v>
      </c>
      <c r="Y193" s="19" t="str" cm="1">
        <f t="array" ref="Y193">_xlfn.IFS(ISERROR(X193), "Pending", X193&lt;=5, "On Time", X193&gt;5, "Delayed")</f>
        <v>On Time</v>
      </c>
    </row>
    <row r="194" spans="1:25" x14ac:dyDescent="0.3">
      <c r="A194" s="15" t="s">
        <v>983</v>
      </c>
      <c r="B194" s="15" t="s">
        <v>168</v>
      </c>
      <c r="C194" s="15" t="s">
        <v>24</v>
      </c>
      <c r="D194" s="16">
        <v>45953</v>
      </c>
      <c r="E194" s="16">
        <v>45965</v>
      </c>
      <c r="F194" s="15" t="s">
        <v>361</v>
      </c>
      <c r="G194" s="15" t="s">
        <v>28</v>
      </c>
      <c r="H194" s="16">
        <v>36662</v>
      </c>
      <c r="I194" s="15" t="s">
        <v>212</v>
      </c>
      <c r="J194" s="15" t="s">
        <v>45</v>
      </c>
      <c r="K194" s="15" t="s">
        <v>32</v>
      </c>
      <c r="L194" s="15" t="s">
        <v>33</v>
      </c>
      <c r="M194" s="15">
        <v>16</v>
      </c>
      <c r="N194" s="15">
        <v>2200</v>
      </c>
      <c r="O194" s="15">
        <v>0</v>
      </c>
      <c r="P194" s="15">
        <v>35200</v>
      </c>
      <c r="Q194" s="15">
        <v>5</v>
      </c>
      <c r="R194" s="15" t="s">
        <v>79</v>
      </c>
      <c r="S194" s="15" t="s">
        <v>35</v>
      </c>
      <c r="T194" s="15" t="s">
        <v>175</v>
      </c>
      <c r="U194" s="18" t="s">
        <v>985</v>
      </c>
      <c r="V194" s="15" t="s">
        <v>64</v>
      </c>
      <c r="W194" s="15">
        <f t="shared" ca="1" si="4"/>
        <v>26</v>
      </c>
      <c r="X194" s="15">
        <f t="shared" si="5"/>
        <v>12</v>
      </c>
      <c r="Y194" s="15" t="str" cm="1">
        <f t="array" ref="Y194">_xlfn.IFS(ISERROR(X194), "Pending", X194&lt;=5, "On Time", X194&gt;5, "Delayed")</f>
        <v>Delayed</v>
      </c>
    </row>
    <row r="195" spans="1:25" x14ac:dyDescent="0.3">
      <c r="A195" s="19" t="s">
        <v>986</v>
      </c>
      <c r="B195" s="19" t="s">
        <v>251</v>
      </c>
      <c r="C195" s="19" t="s">
        <v>24</v>
      </c>
      <c r="D195" s="20">
        <v>45704</v>
      </c>
      <c r="E195" s="20">
        <v>45706</v>
      </c>
      <c r="F195" s="19" t="s">
        <v>254</v>
      </c>
      <c r="G195" s="19" t="s">
        <v>28</v>
      </c>
      <c r="H195" s="20">
        <v>32605</v>
      </c>
      <c r="I195" s="19" t="s">
        <v>44</v>
      </c>
      <c r="J195" s="19" t="s">
        <v>45</v>
      </c>
      <c r="K195" s="19" t="s">
        <v>32</v>
      </c>
      <c r="L195" s="19" t="s">
        <v>33</v>
      </c>
      <c r="M195" s="19">
        <v>8</v>
      </c>
      <c r="N195" s="19">
        <v>2200</v>
      </c>
      <c r="O195" s="19">
        <v>5</v>
      </c>
      <c r="P195" s="19">
        <v>16720</v>
      </c>
      <c r="Q195" s="19">
        <v>2</v>
      </c>
      <c r="R195" s="19" t="s">
        <v>88</v>
      </c>
      <c r="S195" s="19" t="s">
        <v>151</v>
      </c>
      <c r="T195" s="19" t="s">
        <v>256</v>
      </c>
      <c r="U195" s="21" t="s">
        <v>990</v>
      </c>
      <c r="V195" s="19" t="s">
        <v>38</v>
      </c>
      <c r="W195" s="19">
        <f t="shared" ref="W195:W258" ca="1" si="6">DATEDIF(H195,TODAY(),"Y")</f>
        <v>37</v>
      </c>
      <c r="X195" s="19">
        <f t="shared" ref="X195:X258" si="7">DATEDIF(D195,E195,"D")</f>
        <v>2</v>
      </c>
      <c r="Y195" s="19" t="str" cm="1">
        <f t="array" ref="Y195">_xlfn.IFS(ISERROR(X195), "Pending", X195&lt;=5, "On Time", X195&gt;5, "Delayed")</f>
        <v>On Time</v>
      </c>
    </row>
    <row r="196" spans="1:25" x14ac:dyDescent="0.3">
      <c r="A196" s="15" t="s">
        <v>991</v>
      </c>
      <c r="B196" s="15" t="s">
        <v>251</v>
      </c>
      <c r="C196" s="15" t="s">
        <v>24</v>
      </c>
      <c r="D196" s="16">
        <v>46002</v>
      </c>
      <c r="E196" s="16">
        <v>46005</v>
      </c>
      <c r="F196" s="15" t="s">
        <v>254</v>
      </c>
      <c r="G196" s="15" t="s">
        <v>28</v>
      </c>
      <c r="H196" s="16">
        <v>36041</v>
      </c>
      <c r="I196" s="15" t="s">
        <v>138</v>
      </c>
      <c r="J196" s="15" t="s">
        <v>106</v>
      </c>
      <c r="K196" s="15" t="s">
        <v>32</v>
      </c>
      <c r="L196" s="15" t="s">
        <v>33</v>
      </c>
      <c r="M196" s="15">
        <v>10</v>
      </c>
      <c r="N196" s="15">
        <v>2200</v>
      </c>
      <c r="O196" s="15">
        <v>10</v>
      </c>
      <c r="P196" s="15">
        <v>19800</v>
      </c>
      <c r="Q196" s="15">
        <v>5</v>
      </c>
      <c r="R196" s="15" t="s">
        <v>48</v>
      </c>
      <c r="S196" s="15" t="s">
        <v>115</v>
      </c>
      <c r="T196" s="15" t="s">
        <v>256</v>
      </c>
      <c r="U196" s="18" t="s">
        <v>993</v>
      </c>
      <c r="V196" s="15" t="s">
        <v>64</v>
      </c>
      <c r="W196" s="15">
        <f t="shared" ca="1" si="6"/>
        <v>28</v>
      </c>
      <c r="X196" s="15">
        <f t="shared" si="7"/>
        <v>3</v>
      </c>
      <c r="Y196" s="15" t="str" cm="1">
        <f t="array" ref="Y196">_xlfn.IFS(ISERROR(X196), "Pending", X196&lt;=5, "On Time", X196&gt;5, "Delayed")</f>
        <v>On Time</v>
      </c>
    </row>
    <row r="197" spans="1:25" x14ac:dyDescent="0.3">
      <c r="A197" s="19" t="s">
        <v>994</v>
      </c>
      <c r="B197" s="19" t="s">
        <v>83</v>
      </c>
      <c r="C197" s="19" t="s">
        <v>222</v>
      </c>
      <c r="D197" s="20">
        <v>45775</v>
      </c>
      <c r="E197" s="20">
        <v>45786</v>
      </c>
      <c r="F197" s="19" t="s">
        <v>180</v>
      </c>
      <c r="G197" s="19" t="s">
        <v>76</v>
      </c>
      <c r="H197" s="20">
        <v>32284</v>
      </c>
      <c r="I197" s="19" t="s">
        <v>44</v>
      </c>
      <c r="J197" s="19" t="s">
        <v>45</v>
      </c>
      <c r="K197" s="19" t="s">
        <v>122</v>
      </c>
      <c r="L197" s="19" t="s">
        <v>227</v>
      </c>
      <c r="M197" s="19">
        <v>7</v>
      </c>
      <c r="N197" s="19">
        <v>20</v>
      </c>
      <c r="O197" s="19">
        <v>10</v>
      </c>
      <c r="P197" s="19">
        <v>126</v>
      </c>
      <c r="Q197" s="19">
        <v>4</v>
      </c>
      <c r="R197" s="19" t="s">
        <v>79</v>
      </c>
      <c r="S197" s="19" t="s">
        <v>61</v>
      </c>
      <c r="T197" s="19" t="s">
        <v>89</v>
      </c>
      <c r="U197" s="21" t="s">
        <v>996</v>
      </c>
      <c r="V197" s="19" t="s">
        <v>38</v>
      </c>
      <c r="W197" s="19">
        <f t="shared" ca="1" si="6"/>
        <v>38</v>
      </c>
      <c r="X197" s="19">
        <f t="shared" si="7"/>
        <v>11</v>
      </c>
      <c r="Y197" s="19" t="str" cm="1">
        <f t="array" ref="Y197">_xlfn.IFS(ISERROR(X197), "Pending", X197&lt;=5, "On Time", X197&gt;5, "Delayed")</f>
        <v>Delayed</v>
      </c>
    </row>
    <row r="198" spans="1:25" x14ac:dyDescent="0.3">
      <c r="A198" s="15" t="s">
        <v>997</v>
      </c>
      <c r="B198" s="15" t="s">
        <v>221</v>
      </c>
      <c r="C198" s="15" t="s">
        <v>169</v>
      </c>
      <c r="D198" s="16">
        <v>46033</v>
      </c>
      <c r="E198" s="16">
        <v>46036</v>
      </c>
      <c r="F198" s="15" t="s">
        <v>225</v>
      </c>
      <c r="G198" s="15" t="s">
        <v>76</v>
      </c>
      <c r="H198" s="16">
        <v>34533</v>
      </c>
      <c r="I198" s="15" t="s">
        <v>30</v>
      </c>
      <c r="J198" s="15" t="s">
        <v>31</v>
      </c>
      <c r="K198" s="15" t="s">
        <v>32</v>
      </c>
      <c r="L198" s="15" t="s">
        <v>174</v>
      </c>
      <c r="M198" s="15">
        <v>19</v>
      </c>
      <c r="N198" s="15">
        <v>8500</v>
      </c>
      <c r="O198" s="15">
        <v>20</v>
      </c>
      <c r="P198" s="15">
        <v>129200</v>
      </c>
      <c r="Q198" s="15">
        <v>3</v>
      </c>
      <c r="R198" s="15" t="s">
        <v>48</v>
      </c>
      <c r="S198" s="15" t="s">
        <v>61</v>
      </c>
      <c r="T198" s="15" t="s">
        <v>228</v>
      </c>
      <c r="U198" s="18" t="s">
        <v>1000</v>
      </c>
      <c r="V198" s="15" t="s">
        <v>64</v>
      </c>
      <c r="W198" s="15">
        <f t="shared" ca="1" si="6"/>
        <v>32</v>
      </c>
      <c r="X198" s="15">
        <f t="shared" si="7"/>
        <v>3</v>
      </c>
      <c r="Y198" s="15" t="str" cm="1">
        <f t="array" ref="Y198">_xlfn.IFS(ISERROR(X198), "Pending", X198&lt;=5, "On Time", X198&gt;5, "Delayed")</f>
        <v>On Time</v>
      </c>
    </row>
    <row r="199" spans="1:25" x14ac:dyDescent="0.3">
      <c r="A199" s="19" t="s">
        <v>1001</v>
      </c>
      <c r="B199" s="19" t="s">
        <v>100</v>
      </c>
      <c r="C199" s="19" t="s">
        <v>118</v>
      </c>
      <c r="D199" s="20">
        <v>45717</v>
      </c>
      <c r="E199" s="20">
        <v>45722</v>
      </c>
      <c r="F199" s="19" t="s">
        <v>103</v>
      </c>
      <c r="G199" s="19" t="s">
        <v>28</v>
      </c>
      <c r="H199" s="20">
        <v>28444</v>
      </c>
      <c r="I199" s="19" t="s">
        <v>114</v>
      </c>
      <c r="J199" s="19" t="s">
        <v>106</v>
      </c>
      <c r="K199" s="19" t="s">
        <v>122</v>
      </c>
      <c r="L199" s="19" t="s">
        <v>123</v>
      </c>
      <c r="M199" s="19">
        <v>16</v>
      </c>
      <c r="N199" s="19">
        <v>60</v>
      </c>
      <c r="O199" s="19">
        <v>0</v>
      </c>
      <c r="P199" s="19">
        <v>960</v>
      </c>
      <c r="Q199" s="19">
        <v>2</v>
      </c>
      <c r="R199" s="19" t="s">
        <v>48</v>
      </c>
      <c r="S199" s="19" t="s">
        <v>115</v>
      </c>
      <c r="T199" s="19" t="s">
        <v>144</v>
      </c>
      <c r="U199" s="21" t="s">
        <v>1003</v>
      </c>
      <c r="V199" s="19" t="s">
        <v>38</v>
      </c>
      <c r="W199" s="19">
        <f t="shared" ca="1" si="6"/>
        <v>48</v>
      </c>
      <c r="X199" s="19">
        <f t="shared" si="7"/>
        <v>5</v>
      </c>
      <c r="Y199" s="19" t="str" cm="1">
        <f t="array" ref="Y199">_xlfn.IFS(ISERROR(X199), "Pending", X199&lt;=5, "On Time", X199&gt;5, "Delayed")</f>
        <v>On Time</v>
      </c>
    </row>
    <row r="200" spans="1:25" x14ac:dyDescent="0.3">
      <c r="A200" s="15" t="s">
        <v>1004</v>
      </c>
      <c r="B200" s="15" t="s">
        <v>221</v>
      </c>
      <c r="C200" s="15" t="s">
        <v>92</v>
      </c>
      <c r="D200" s="16">
        <v>46127</v>
      </c>
      <c r="E200" s="16">
        <v>46139</v>
      </c>
      <c r="F200" s="15" t="s">
        <v>225</v>
      </c>
      <c r="G200" s="15" t="s">
        <v>76</v>
      </c>
      <c r="H200" s="16">
        <v>30216</v>
      </c>
      <c r="I200" s="15" t="s">
        <v>59</v>
      </c>
      <c r="J200" s="15" t="s">
        <v>31</v>
      </c>
      <c r="K200" s="15" t="s">
        <v>1007</v>
      </c>
      <c r="L200" s="15" t="s">
        <v>97</v>
      </c>
      <c r="M200" s="15">
        <v>18</v>
      </c>
      <c r="N200" s="15">
        <v>3500</v>
      </c>
      <c r="O200" s="15">
        <v>5</v>
      </c>
      <c r="P200" s="15">
        <v>59850</v>
      </c>
      <c r="Q200" s="15">
        <v>1</v>
      </c>
      <c r="R200" s="15" t="s">
        <v>88</v>
      </c>
      <c r="S200" s="15" t="s">
        <v>115</v>
      </c>
      <c r="T200" s="15" t="s">
        <v>228</v>
      </c>
      <c r="U200" s="18" t="s">
        <v>1008</v>
      </c>
      <c r="V200" s="15" t="s">
        <v>64</v>
      </c>
      <c r="W200" s="15">
        <f t="shared" ca="1" si="6"/>
        <v>43</v>
      </c>
      <c r="X200" s="15">
        <f t="shared" si="7"/>
        <v>12</v>
      </c>
      <c r="Y200" s="15" t="str" cm="1">
        <f t="array" ref="Y200">_xlfn.IFS(ISERROR(X200), "Pending", X200&lt;=5, "On Time", X200&gt;5, "Delayed")</f>
        <v>Delayed</v>
      </c>
    </row>
    <row r="201" spans="1:25" x14ac:dyDescent="0.3">
      <c r="A201" s="19" t="s">
        <v>1009</v>
      </c>
      <c r="B201" s="19" t="s">
        <v>100</v>
      </c>
      <c r="C201" s="19" t="s">
        <v>54</v>
      </c>
      <c r="D201" s="20">
        <v>45708</v>
      </c>
      <c r="E201" s="20">
        <v>45717</v>
      </c>
      <c r="F201" s="19" t="s">
        <v>103</v>
      </c>
      <c r="G201" s="19" t="s">
        <v>28</v>
      </c>
      <c r="H201" s="20">
        <v>34591</v>
      </c>
      <c r="I201" s="19" t="s">
        <v>212</v>
      </c>
      <c r="J201" s="19" t="s">
        <v>45</v>
      </c>
      <c r="K201" s="19" t="s">
        <v>46</v>
      </c>
      <c r="L201" s="19" t="s">
        <v>60</v>
      </c>
      <c r="M201" s="19">
        <v>16</v>
      </c>
      <c r="N201" s="19">
        <v>55000</v>
      </c>
      <c r="O201" s="19">
        <v>0</v>
      </c>
      <c r="P201" s="19">
        <v>880000</v>
      </c>
      <c r="Q201" s="19">
        <v>1</v>
      </c>
      <c r="R201" s="19" t="s">
        <v>79</v>
      </c>
      <c r="S201" s="19" t="s">
        <v>61</v>
      </c>
      <c r="T201" s="19" t="s">
        <v>144</v>
      </c>
      <c r="U201" s="21" t="s">
        <v>1012</v>
      </c>
      <c r="V201" s="19" t="s">
        <v>69</v>
      </c>
      <c r="W201" s="19">
        <f t="shared" ca="1" si="6"/>
        <v>31</v>
      </c>
      <c r="X201" s="19">
        <f t="shared" si="7"/>
        <v>9</v>
      </c>
      <c r="Y201" s="19" t="str" cm="1">
        <f t="array" ref="Y201">_xlfn.IFS(ISERROR(X201), "Pending", X201&lt;=5, "On Time", X201&gt;5, "Delayed")</f>
        <v>Delayed</v>
      </c>
    </row>
    <row r="202" spans="1:25" x14ac:dyDescent="0.3">
      <c r="A202" s="15" t="s">
        <v>1013</v>
      </c>
      <c r="B202" s="15" t="s">
        <v>221</v>
      </c>
      <c r="C202" s="15" t="s">
        <v>72</v>
      </c>
      <c r="D202" s="16">
        <v>45694</v>
      </c>
      <c r="E202" s="16">
        <v>45697</v>
      </c>
      <c r="F202" s="15" t="s">
        <v>225</v>
      </c>
      <c r="G202" s="15" t="s">
        <v>76</v>
      </c>
      <c r="H202" s="16">
        <v>34742</v>
      </c>
      <c r="I202" s="15" t="s">
        <v>138</v>
      </c>
      <c r="J202" s="15" t="s">
        <v>106</v>
      </c>
      <c r="K202" s="15" t="s">
        <v>46</v>
      </c>
      <c r="L202" s="15" t="s">
        <v>78</v>
      </c>
      <c r="M202" s="15">
        <v>18</v>
      </c>
      <c r="N202" s="15">
        <v>1200</v>
      </c>
      <c r="O202" s="15">
        <v>15</v>
      </c>
      <c r="P202" s="15">
        <v>18360</v>
      </c>
      <c r="Q202" s="15">
        <v>2</v>
      </c>
      <c r="R202" s="15" t="s">
        <v>48</v>
      </c>
      <c r="S202" s="15" t="s">
        <v>35</v>
      </c>
      <c r="T202" s="15" t="s">
        <v>228</v>
      </c>
      <c r="U202" s="18" t="s">
        <v>1015</v>
      </c>
      <c r="V202" s="15" t="s">
        <v>69</v>
      </c>
      <c r="W202" s="15">
        <f t="shared" ca="1" si="6"/>
        <v>31</v>
      </c>
      <c r="X202" s="15">
        <f t="shared" si="7"/>
        <v>3</v>
      </c>
      <c r="Y202" s="15" t="str" cm="1">
        <f t="array" ref="Y202">_xlfn.IFS(ISERROR(X202), "Pending", X202&lt;=5, "On Time", X202&gt;5, "Delayed")</f>
        <v>On Time</v>
      </c>
    </row>
    <row r="203" spans="1:25" x14ac:dyDescent="0.3">
      <c r="A203" s="19" t="s">
        <v>1016</v>
      </c>
      <c r="B203" s="19" t="s">
        <v>71</v>
      </c>
      <c r="C203" s="19" t="s">
        <v>259</v>
      </c>
      <c r="D203" s="20">
        <v>45801</v>
      </c>
      <c r="E203" s="20">
        <v>45804</v>
      </c>
      <c r="F203" s="19" t="s">
        <v>217</v>
      </c>
      <c r="G203" s="19" t="s">
        <v>76</v>
      </c>
      <c r="H203" s="20">
        <v>31327</v>
      </c>
      <c r="I203" s="19" t="s">
        <v>30</v>
      </c>
      <c r="J203" s="19" t="s">
        <v>31</v>
      </c>
      <c r="K203" s="19" t="s">
        <v>122</v>
      </c>
      <c r="L203" s="19" t="s">
        <v>263</v>
      </c>
      <c r="M203" s="19">
        <v>2</v>
      </c>
      <c r="N203" s="19">
        <v>45</v>
      </c>
      <c r="O203" s="19">
        <v>15</v>
      </c>
      <c r="P203" s="19">
        <v>76.5</v>
      </c>
      <c r="Q203" s="19">
        <v>5</v>
      </c>
      <c r="R203" s="19" t="s">
        <v>34</v>
      </c>
      <c r="S203" s="19" t="s">
        <v>61</v>
      </c>
      <c r="T203" s="19" t="s">
        <v>80</v>
      </c>
      <c r="U203" s="21" t="s">
        <v>1020</v>
      </c>
      <c r="V203" s="19" t="s">
        <v>69</v>
      </c>
      <c r="W203" s="19">
        <f t="shared" ca="1" si="6"/>
        <v>40</v>
      </c>
      <c r="X203" s="19">
        <f t="shared" si="7"/>
        <v>3</v>
      </c>
      <c r="Y203" s="19" t="str" cm="1">
        <f t="array" ref="Y203">_xlfn.IFS(ISERROR(X203), "Pending", X203&lt;=5, "On Time", X203&gt;5, "Delayed")</f>
        <v>On Time</v>
      </c>
    </row>
    <row r="204" spans="1:25" x14ac:dyDescent="0.3">
      <c r="A204" s="15" t="s">
        <v>1021</v>
      </c>
      <c r="B204" s="15" t="s">
        <v>53</v>
      </c>
      <c r="C204" s="15" t="s">
        <v>169</v>
      </c>
      <c r="D204" s="16">
        <v>46028</v>
      </c>
      <c r="E204" s="16">
        <v>46034</v>
      </c>
      <c r="F204" s="15" t="s">
        <v>163</v>
      </c>
      <c r="G204" s="15" t="s">
        <v>28</v>
      </c>
      <c r="H204" s="16">
        <v>36975</v>
      </c>
      <c r="I204" s="15" t="s">
        <v>59</v>
      </c>
      <c r="J204" s="15" t="s">
        <v>31</v>
      </c>
      <c r="K204" s="15" t="s">
        <v>32</v>
      </c>
      <c r="L204" s="15" t="s">
        <v>174</v>
      </c>
      <c r="M204" s="15">
        <v>20</v>
      </c>
      <c r="N204" s="15">
        <v>8500</v>
      </c>
      <c r="O204" s="15">
        <v>0</v>
      </c>
      <c r="P204" s="15">
        <v>170000</v>
      </c>
      <c r="Q204" s="15">
        <v>4</v>
      </c>
      <c r="R204" s="15" t="s">
        <v>48</v>
      </c>
      <c r="S204" s="15" t="s">
        <v>61</v>
      </c>
      <c r="T204" s="15" t="s">
        <v>62</v>
      </c>
      <c r="U204" s="18" t="s">
        <v>1023</v>
      </c>
      <c r="V204" s="15" t="s">
        <v>69</v>
      </c>
      <c r="W204" s="15">
        <f t="shared" ca="1" si="6"/>
        <v>25</v>
      </c>
      <c r="X204" s="15">
        <f t="shared" si="7"/>
        <v>6</v>
      </c>
      <c r="Y204" s="15" t="str" cm="1">
        <f t="array" ref="Y204">_xlfn.IFS(ISERROR(X204), "Pending", X204&lt;=5, "On Time", X204&gt;5, "Delayed")</f>
        <v>Delayed</v>
      </c>
    </row>
    <row r="205" spans="1:25" x14ac:dyDescent="0.3">
      <c r="A205" s="19" t="s">
        <v>1024</v>
      </c>
      <c r="B205" s="19" t="s">
        <v>127</v>
      </c>
      <c r="C205" s="19" t="s">
        <v>92</v>
      </c>
      <c r="D205" s="20">
        <v>46089</v>
      </c>
      <c r="E205" s="20">
        <v>46090</v>
      </c>
      <c r="F205" s="19" t="s">
        <v>200</v>
      </c>
      <c r="G205" s="19" t="s">
        <v>76</v>
      </c>
      <c r="H205" s="20">
        <v>29703</v>
      </c>
      <c r="I205" s="19" t="s">
        <v>212</v>
      </c>
      <c r="J205" s="19" t="s">
        <v>45</v>
      </c>
      <c r="K205" s="19" t="s">
        <v>32</v>
      </c>
      <c r="L205" s="19" t="s">
        <v>97</v>
      </c>
      <c r="M205" s="19">
        <v>6</v>
      </c>
      <c r="N205" s="19">
        <v>3500</v>
      </c>
      <c r="O205" s="19">
        <v>5</v>
      </c>
      <c r="P205" s="19">
        <v>19950</v>
      </c>
      <c r="Q205" s="19">
        <v>1</v>
      </c>
      <c r="R205" s="19" t="s">
        <v>34</v>
      </c>
      <c r="S205" s="19" t="s">
        <v>151</v>
      </c>
      <c r="T205" s="19" t="s">
        <v>132</v>
      </c>
      <c r="U205" s="21" t="s">
        <v>1026</v>
      </c>
      <c r="V205" s="19" t="s">
        <v>38</v>
      </c>
      <c r="W205" s="19">
        <f t="shared" ca="1" si="6"/>
        <v>45</v>
      </c>
      <c r="X205" s="19">
        <f t="shared" si="7"/>
        <v>1</v>
      </c>
      <c r="Y205" s="19" t="str" cm="1">
        <f t="array" ref="Y205">_xlfn.IFS(ISERROR(X205), "Pending", X205&lt;=5, "On Time", X205&gt;5, "Delayed")</f>
        <v>On Time</v>
      </c>
    </row>
    <row r="206" spans="1:25" x14ac:dyDescent="0.3">
      <c r="A206" s="15" t="s">
        <v>1027</v>
      </c>
      <c r="B206" s="15" t="s">
        <v>168</v>
      </c>
      <c r="C206" s="15" t="s">
        <v>259</v>
      </c>
      <c r="D206" s="16">
        <v>45935</v>
      </c>
      <c r="E206" s="16">
        <v>45939</v>
      </c>
      <c r="F206" s="15" t="s">
        <v>361</v>
      </c>
      <c r="G206" s="15" t="s">
        <v>28</v>
      </c>
      <c r="H206" s="16">
        <v>37635</v>
      </c>
      <c r="I206" s="15" t="s">
        <v>114</v>
      </c>
      <c r="J206" s="15" t="s">
        <v>106</v>
      </c>
      <c r="K206" s="15" t="s">
        <v>122</v>
      </c>
      <c r="L206" s="15" t="s">
        <v>263</v>
      </c>
      <c r="M206" s="15">
        <v>8</v>
      </c>
      <c r="N206" s="15">
        <v>45</v>
      </c>
      <c r="O206" s="15">
        <v>5</v>
      </c>
      <c r="P206" s="15">
        <v>342</v>
      </c>
      <c r="Q206" s="15">
        <v>2</v>
      </c>
      <c r="R206" s="15" t="s">
        <v>34</v>
      </c>
      <c r="S206" s="15" t="s">
        <v>49</v>
      </c>
      <c r="T206" s="15" t="s">
        <v>175</v>
      </c>
      <c r="U206" s="18" t="s">
        <v>1029</v>
      </c>
      <c r="V206" s="15" t="s">
        <v>64</v>
      </c>
      <c r="W206" s="15">
        <f t="shared" ca="1" si="6"/>
        <v>23</v>
      </c>
      <c r="X206" s="15">
        <f t="shared" si="7"/>
        <v>4</v>
      </c>
      <c r="Y206" s="15" t="str" cm="1">
        <f t="array" ref="Y206">_xlfn.IFS(ISERROR(X206), "Pending", X206&lt;=5, "On Time", X206&gt;5, "Delayed")</f>
        <v>On Time</v>
      </c>
    </row>
    <row r="207" spans="1:25" x14ac:dyDescent="0.3">
      <c r="A207" s="19" t="s">
        <v>1030</v>
      </c>
      <c r="B207" s="19" t="s">
        <v>327</v>
      </c>
      <c r="C207" s="19" t="s">
        <v>24</v>
      </c>
      <c r="D207" s="20">
        <v>45722</v>
      </c>
      <c r="E207" s="20">
        <v>45728</v>
      </c>
      <c r="F207" s="19" t="s">
        <v>394</v>
      </c>
      <c r="G207" s="19" t="s">
        <v>76</v>
      </c>
      <c r="H207" s="20">
        <v>29261</v>
      </c>
      <c r="I207" s="19" t="s">
        <v>105</v>
      </c>
      <c r="J207" s="19" t="s">
        <v>106</v>
      </c>
      <c r="K207" s="19" t="s">
        <v>32</v>
      </c>
      <c r="L207" s="19" t="s">
        <v>33</v>
      </c>
      <c r="M207" s="19">
        <v>18</v>
      </c>
      <c r="N207" s="19">
        <v>2200</v>
      </c>
      <c r="O207" s="19">
        <v>15</v>
      </c>
      <c r="P207" s="19">
        <v>33660</v>
      </c>
      <c r="Q207" s="19">
        <v>4</v>
      </c>
      <c r="R207" s="19" t="s">
        <v>79</v>
      </c>
      <c r="S207" s="19" t="s">
        <v>61</v>
      </c>
      <c r="T207" s="19" t="s">
        <v>332</v>
      </c>
      <c r="U207" s="21" t="s">
        <v>1033</v>
      </c>
      <c r="V207" s="19" t="s">
        <v>64</v>
      </c>
      <c r="W207" s="19">
        <f t="shared" ca="1" si="6"/>
        <v>46</v>
      </c>
      <c r="X207" s="19">
        <f t="shared" si="7"/>
        <v>6</v>
      </c>
      <c r="Y207" s="19" t="str" cm="1">
        <f t="array" ref="Y207">_xlfn.IFS(ISERROR(X207), "Pending", X207&lt;=5, "On Time", X207&gt;5, "Delayed")</f>
        <v>Delayed</v>
      </c>
    </row>
    <row r="208" spans="1:25" x14ac:dyDescent="0.3">
      <c r="A208" s="15" t="s">
        <v>1034</v>
      </c>
      <c r="B208" s="15" t="s">
        <v>221</v>
      </c>
      <c r="C208" s="15" t="s">
        <v>184</v>
      </c>
      <c r="D208" s="16">
        <v>46118</v>
      </c>
      <c r="E208" s="16">
        <v>46127</v>
      </c>
      <c r="F208" s="15" t="s">
        <v>225</v>
      </c>
      <c r="G208" s="15" t="s">
        <v>76</v>
      </c>
      <c r="H208" s="16">
        <v>33170</v>
      </c>
      <c r="I208" s="15" t="s">
        <v>30</v>
      </c>
      <c r="J208" s="15" t="s">
        <v>31</v>
      </c>
      <c r="K208" s="15" t="s">
        <v>46</v>
      </c>
      <c r="L208" s="15" t="s">
        <v>189</v>
      </c>
      <c r="M208" s="15">
        <v>18</v>
      </c>
      <c r="N208" s="15">
        <v>700</v>
      </c>
      <c r="O208" s="15">
        <v>15</v>
      </c>
      <c r="P208" s="15">
        <v>10710</v>
      </c>
      <c r="Q208" s="15">
        <v>3</v>
      </c>
      <c r="R208" s="15" t="s">
        <v>79</v>
      </c>
      <c r="S208" s="15" t="s">
        <v>151</v>
      </c>
      <c r="T208" s="15" t="s">
        <v>228</v>
      </c>
      <c r="U208" s="18" t="s">
        <v>1037</v>
      </c>
      <c r="V208" s="15" t="s">
        <v>69</v>
      </c>
      <c r="W208" s="15">
        <f t="shared" ca="1" si="6"/>
        <v>35</v>
      </c>
      <c r="X208" s="15">
        <f t="shared" si="7"/>
        <v>9</v>
      </c>
      <c r="Y208" s="15" t="str" cm="1">
        <f t="array" ref="Y208">_xlfn.IFS(ISERROR(X208), "Pending", X208&lt;=5, "On Time", X208&gt;5, "Delayed")</f>
        <v>Delayed</v>
      </c>
    </row>
    <row r="209" spans="1:25" x14ac:dyDescent="0.3">
      <c r="A209" s="19" t="s">
        <v>1038</v>
      </c>
      <c r="B209" s="19" t="s">
        <v>327</v>
      </c>
      <c r="C209" s="19" t="s">
        <v>54</v>
      </c>
      <c r="D209" s="20">
        <v>46039</v>
      </c>
      <c r="E209" s="20">
        <v>46042</v>
      </c>
      <c r="F209" s="19" t="s">
        <v>394</v>
      </c>
      <c r="G209" s="19" t="s">
        <v>76</v>
      </c>
      <c r="H209" s="20">
        <v>28392</v>
      </c>
      <c r="I209" s="19" t="s">
        <v>114</v>
      </c>
      <c r="J209" s="19" t="s">
        <v>106</v>
      </c>
      <c r="K209" s="19" t="s">
        <v>46</v>
      </c>
      <c r="L209" s="19" t="s">
        <v>60</v>
      </c>
      <c r="M209" s="19">
        <v>12</v>
      </c>
      <c r="N209" s="19">
        <v>55000</v>
      </c>
      <c r="O209" s="19">
        <v>0</v>
      </c>
      <c r="P209" s="19">
        <v>660000</v>
      </c>
      <c r="Q209" s="19">
        <v>2</v>
      </c>
      <c r="R209" s="19" t="s">
        <v>88</v>
      </c>
      <c r="S209" s="19" t="s">
        <v>49</v>
      </c>
      <c r="T209" s="19" t="s">
        <v>332</v>
      </c>
      <c r="U209" s="21" t="s">
        <v>1042</v>
      </c>
      <c r="V209" s="19" t="s">
        <v>69</v>
      </c>
      <c r="W209" s="19">
        <f t="shared" ca="1" si="6"/>
        <v>48</v>
      </c>
      <c r="X209" s="19">
        <f t="shared" si="7"/>
        <v>3</v>
      </c>
      <c r="Y209" s="19" t="str" cm="1">
        <f t="array" ref="Y209">_xlfn.IFS(ISERROR(X209), "Pending", X209&lt;=5, "On Time", X209&gt;5, "Delayed")</f>
        <v>On Time</v>
      </c>
    </row>
    <row r="210" spans="1:25" x14ac:dyDescent="0.3">
      <c r="A210" s="15" t="s">
        <v>1043</v>
      </c>
      <c r="B210" s="15" t="s">
        <v>23</v>
      </c>
      <c r="C210" s="15" t="s">
        <v>40</v>
      </c>
      <c r="D210" s="16">
        <v>45976</v>
      </c>
      <c r="E210" s="16">
        <v>45985</v>
      </c>
      <c r="F210" s="15" t="s">
        <v>27</v>
      </c>
      <c r="G210" s="15" t="s">
        <v>28</v>
      </c>
      <c r="H210" s="16">
        <v>35105</v>
      </c>
      <c r="I210" s="15" t="s">
        <v>105</v>
      </c>
      <c r="J210" s="15" t="s">
        <v>106</v>
      </c>
      <c r="K210" s="15" t="s">
        <v>46</v>
      </c>
      <c r="L210" s="15" t="s">
        <v>47</v>
      </c>
      <c r="M210" s="15">
        <v>7</v>
      </c>
      <c r="N210" s="15">
        <v>12000</v>
      </c>
      <c r="O210" s="15">
        <v>5</v>
      </c>
      <c r="P210" s="15">
        <v>79800</v>
      </c>
      <c r="Q210" s="15">
        <v>3</v>
      </c>
      <c r="R210" s="15" t="s">
        <v>79</v>
      </c>
      <c r="S210" s="15" t="s">
        <v>151</v>
      </c>
      <c r="T210" s="15" t="s">
        <v>50</v>
      </c>
      <c r="U210" s="18" t="s">
        <v>1046</v>
      </c>
      <c r="V210" s="15" t="s">
        <v>64</v>
      </c>
      <c r="W210" s="15">
        <f t="shared" ca="1" si="6"/>
        <v>30</v>
      </c>
      <c r="X210" s="15">
        <f t="shared" si="7"/>
        <v>9</v>
      </c>
      <c r="Y210" s="15" t="str" cm="1">
        <f t="array" ref="Y210">_xlfn.IFS(ISERROR(X210), "Pending", X210&lt;=5, "On Time", X210&gt;5, "Delayed")</f>
        <v>Delayed</v>
      </c>
    </row>
    <row r="211" spans="1:25" x14ac:dyDescent="0.3">
      <c r="A211" s="19" t="s">
        <v>1047</v>
      </c>
      <c r="B211" s="19" t="s">
        <v>251</v>
      </c>
      <c r="C211" s="19" t="s">
        <v>40</v>
      </c>
      <c r="D211" s="20">
        <v>45921</v>
      </c>
      <c r="E211" s="20">
        <v>45923</v>
      </c>
      <c r="F211" s="19" t="s">
        <v>254</v>
      </c>
      <c r="G211" s="19" t="s">
        <v>28</v>
      </c>
      <c r="H211" s="20">
        <v>27897</v>
      </c>
      <c r="I211" s="19" t="s">
        <v>105</v>
      </c>
      <c r="J211" s="19" t="s">
        <v>106</v>
      </c>
      <c r="K211" s="19" t="s">
        <v>46</v>
      </c>
      <c r="L211" s="19" t="s">
        <v>47</v>
      </c>
      <c r="M211" s="19">
        <v>8</v>
      </c>
      <c r="N211" s="19">
        <v>12000</v>
      </c>
      <c r="O211" s="19">
        <v>15</v>
      </c>
      <c r="P211" s="19">
        <v>81600</v>
      </c>
      <c r="Q211" s="19">
        <v>4</v>
      </c>
      <c r="R211" s="19" t="s">
        <v>79</v>
      </c>
      <c r="S211" s="19" t="s">
        <v>49</v>
      </c>
      <c r="T211" s="19" t="s">
        <v>256</v>
      </c>
      <c r="U211" s="21" t="s">
        <v>1050</v>
      </c>
      <c r="V211" s="19" t="s">
        <v>38</v>
      </c>
      <c r="W211" s="19">
        <f t="shared" ca="1" si="6"/>
        <v>50</v>
      </c>
      <c r="X211" s="19">
        <f t="shared" si="7"/>
        <v>2</v>
      </c>
      <c r="Y211" s="19" t="str" cm="1">
        <f t="array" ref="Y211">_xlfn.IFS(ISERROR(X211), "Pending", X211&lt;=5, "On Time", X211&gt;5, "Delayed")</f>
        <v>On Time</v>
      </c>
    </row>
    <row r="212" spans="1:25" x14ac:dyDescent="0.3">
      <c r="A212" s="15" t="s">
        <v>1051</v>
      </c>
      <c r="B212" s="15" t="s">
        <v>327</v>
      </c>
      <c r="C212" s="15" t="s">
        <v>92</v>
      </c>
      <c r="D212" s="16">
        <v>46009</v>
      </c>
      <c r="E212" s="16">
        <v>46018</v>
      </c>
      <c r="F212" s="15" t="s">
        <v>394</v>
      </c>
      <c r="G212" s="15" t="s">
        <v>76</v>
      </c>
      <c r="H212" s="16">
        <v>32032</v>
      </c>
      <c r="I212" s="15" t="s">
        <v>105</v>
      </c>
      <c r="J212" s="15" t="s">
        <v>106</v>
      </c>
      <c r="K212" s="15" t="s">
        <v>32</v>
      </c>
      <c r="L212" s="15" t="s">
        <v>97</v>
      </c>
      <c r="M212" s="15">
        <v>19</v>
      </c>
      <c r="N212" s="15">
        <v>3500</v>
      </c>
      <c r="O212" s="15">
        <v>5</v>
      </c>
      <c r="P212" s="15">
        <v>63175</v>
      </c>
      <c r="Q212" s="15">
        <v>3</v>
      </c>
      <c r="R212" s="15" t="s">
        <v>79</v>
      </c>
      <c r="S212" s="15" t="s">
        <v>61</v>
      </c>
      <c r="T212" s="15" t="s">
        <v>332</v>
      </c>
      <c r="U212" s="18" t="s">
        <v>1054</v>
      </c>
      <c r="V212" s="15" t="s">
        <v>64</v>
      </c>
      <c r="W212" s="15">
        <f t="shared" ca="1" si="6"/>
        <v>38</v>
      </c>
      <c r="X212" s="15">
        <f t="shared" si="7"/>
        <v>9</v>
      </c>
      <c r="Y212" s="15" t="str" cm="1">
        <f t="array" ref="Y212">_xlfn.IFS(ISERROR(X212), "Pending", X212&lt;=5, "On Time", X212&gt;5, "Delayed")</f>
        <v>Delayed</v>
      </c>
    </row>
    <row r="213" spans="1:25" x14ac:dyDescent="0.3">
      <c r="A213" s="19" t="s">
        <v>1055</v>
      </c>
      <c r="B213" s="19" t="s">
        <v>251</v>
      </c>
      <c r="C213" s="19" t="s">
        <v>259</v>
      </c>
      <c r="D213" s="20">
        <v>45694</v>
      </c>
      <c r="E213" s="20">
        <v>45704</v>
      </c>
      <c r="F213" s="19" t="s">
        <v>254</v>
      </c>
      <c r="G213" s="19" t="s">
        <v>28</v>
      </c>
      <c r="H213" s="20">
        <v>33070</v>
      </c>
      <c r="I213" s="19" t="s">
        <v>138</v>
      </c>
      <c r="J213" s="19" t="s">
        <v>106</v>
      </c>
      <c r="K213" s="19" t="s">
        <v>122</v>
      </c>
      <c r="L213" s="19" t="s">
        <v>263</v>
      </c>
      <c r="M213" s="19">
        <v>7</v>
      </c>
      <c r="N213" s="19">
        <v>45</v>
      </c>
      <c r="O213" s="19">
        <v>5</v>
      </c>
      <c r="P213" s="19">
        <v>299.25</v>
      </c>
      <c r="Q213" s="19">
        <v>3</v>
      </c>
      <c r="R213" s="19" t="s">
        <v>79</v>
      </c>
      <c r="S213" s="19" t="s">
        <v>35</v>
      </c>
      <c r="T213" s="19" t="s">
        <v>256</v>
      </c>
      <c r="U213" s="21" t="s">
        <v>1057</v>
      </c>
      <c r="V213" s="19" t="s">
        <v>69</v>
      </c>
      <c r="W213" s="19">
        <f t="shared" ca="1" si="6"/>
        <v>36</v>
      </c>
      <c r="X213" s="19">
        <f t="shared" si="7"/>
        <v>10</v>
      </c>
      <c r="Y213" s="19" t="str" cm="1">
        <f t="array" ref="Y213">_xlfn.IFS(ISERROR(X213), "Pending", X213&lt;=5, "On Time", X213&gt;5, "Delayed")</f>
        <v>Delayed</v>
      </c>
    </row>
    <row r="214" spans="1:25" x14ac:dyDescent="0.3">
      <c r="A214" s="15" t="s">
        <v>1058</v>
      </c>
      <c r="B214" s="15" t="s">
        <v>23</v>
      </c>
      <c r="C214" s="15" t="s">
        <v>118</v>
      </c>
      <c r="D214" s="16">
        <v>45810</v>
      </c>
      <c r="E214" s="16">
        <v>45816</v>
      </c>
      <c r="F214" s="15" t="s">
        <v>27</v>
      </c>
      <c r="G214" s="15" t="s">
        <v>28</v>
      </c>
      <c r="H214" s="16">
        <v>33489</v>
      </c>
      <c r="I214" s="15" t="s">
        <v>30</v>
      </c>
      <c r="J214" s="15" t="s">
        <v>31</v>
      </c>
      <c r="K214" s="15" t="s">
        <v>122</v>
      </c>
      <c r="L214" s="15" t="s">
        <v>123</v>
      </c>
      <c r="M214" s="15">
        <v>3</v>
      </c>
      <c r="N214" s="15">
        <v>60</v>
      </c>
      <c r="O214" s="15">
        <v>15</v>
      </c>
      <c r="P214" s="15">
        <v>153</v>
      </c>
      <c r="Q214" s="15">
        <v>3</v>
      </c>
      <c r="R214" s="15" t="s">
        <v>48</v>
      </c>
      <c r="S214" s="15" t="s">
        <v>49</v>
      </c>
      <c r="T214" s="15" t="s">
        <v>50</v>
      </c>
      <c r="U214" s="18" t="s">
        <v>1059</v>
      </c>
      <c r="V214" s="15" t="s">
        <v>69</v>
      </c>
      <c r="W214" s="15">
        <f t="shared" ca="1" si="6"/>
        <v>34</v>
      </c>
      <c r="X214" s="15">
        <f t="shared" si="7"/>
        <v>6</v>
      </c>
      <c r="Y214" s="15" t="str" cm="1">
        <f t="array" ref="Y214">_xlfn.IFS(ISERROR(X214), "Pending", X214&lt;=5, "On Time", X214&gt;5, "Delayed")</f>
        <v>Delayed</v>
      </c>
    </row>
    <row r="215" spans="1:25" x14ac:dyDescent="0.3">
      <c r="A215" s="19" t="s">
        <v>1060</v>
      </c>
      <c r="B215" s="19" t="s">
        <v>53</v>
      </c>
      <c r="C215" s="19" t="s">
        <v>259</v>
      </c>
      <c r="D215" s="20">
        <v>46134</v>
      </c>
      <c r="E215" s="20">
        <v>46146</v>
      </c>
      <c r="F215" s="19" t="s">
        <v>163</v>
      </c>
      <c r="G215" s="19" t="s">
        <v>28</v>
      </c>
      <c r="H215" s="20">
        <v>28485</v>
      </c>
      <c r="I215" s="19" t="s">
        <v>114</v>
      </c>
      <c r="J215" s="19" t="s">
        <v>106</v>
      </c>
      <c r="K215" s="19" t="s">
        <v>122</v>
      </c>
      <c r="L215" s="19" t="s">
        <v>263</v>
      </c>
      <c r="M215" s="19">
        <v>19</v>
      </c>
      <c r="N215" s="19">
        <v>45</v>
      </c>
      <c r="O215" s="19">
        <v>0</v>
      </c>
      <c r="P215" s="19">
        <v>855</v>
      </c>
      <c r="Q215" s="19">
        <v>2</v>
      </c>
      <c r="R215" s="19" t="s">
        <v>34</v>
      </c>
      <c r="S215" s="19" t="s">
        <v>61</v>
      </c>
      <c r="T215" s="19" t="s">
        <v>62</v>
      </c>
      <c r="U215" s="21" t="s">
        <v>1063</v>
      </c>
      <c r="V215" s="19" t="s">
        <v>38</v>
      </c>
      <c r="W215" s="19">
        <f t="shared" ca="1" si="6"/>
        <v>48</v>
      </c>
      <c r="X215" s="19">
        <f t="shared" si="7"/>
        <v>12</v>
      </c>
      <c r="Y215" s="19" t="str" cm="1">
        <f t="array" ref="Y215">_xlfn.IFS(ISERROR(X215), "Pending", X215&lt;=5, "On Time", X215&gt;5, "Delayed")</f>
        <v>Delayed</v>
      </c>
    </row>
    <row r="216" spans="1:25" x14ac:dyDescent="0.3">
      <c r="A216" s="15" t="s">
        <v>1064</v>
      </c>
      <c r="B216" s="15" t="s">
        <v>100</v>
      </c>
      <c r="C216" s="15" t="s">
        <v>40</v>
      </c>
      <c r="D216" s="16">
        <v>46087</v>
      </c>
      <c r="E216" s="16">
        <v>46097</v>
      </c>
      <c r="F216" s="15" t="s">
        <v>103</v>
      </c>
      <c r="G216" s="15" t="s">
        <v>28</v>
      </c>
      <c r="H216" s="16">
        <v>34795</v>
      </c>
      <c r="I216" s="15" t="s">
        <v>59</v>
      </c>
      <c r="J216" s="15" t="s">
        <v>31</v>
      </c>
      <c r="K216" s="15" t="s">
        <v>46</v>
      </c>
      <c r="L216" s="15" t="s">
        <v>47</v>
      </c>
      <c r="M216" s="15">
        <v>10</v>
      </c>
      <c r="N216" s="15">
        <v>12000</v>
      </c>
      <c r="O216" s="15">
        <v>5</v>
      </c>
      <c r="P216" s="15">
        <v>114000</v>
      </c>
      <c r="Q216" s="15">
        <v>1</v>
      </c>
      <c r="R216" s="15" t="s">
        <v>79</v>
      </c>
      <c r="S216" s="15" t="s">
        <v>115</v>
      </c>
      <c r="T216" s="15" t="s">
        <v>144</v>
      </c>
      <c r="U216" s="18" t="s">
        <v>1067</v>
      </c>
      <c r="V216" s="15" t="s">
        <v>69</v>
      </c>
      <c r="W216" s="15">
        <f t="shared" ca="1" si="6"/>
        <v>31</v>
      </c>
      <c r="X216" s="15">
        <f t="shared" si="7"/>
        <v>10</v>
      </c>
      <c r="Y216" s="15" t="str" cm="1">
        <f t="array" ref="Y216">_xlfn.IFS(ISERROR(X216), "Pending", X216&lt;=5, "On Time", X216&gt;5, "Delayed")</f>
        <v>Delayed</v>
      </c>
    </row>
    <row r="217" spans="1:25" x14ac:dyDescent="0.3">
      <c r="A217" s="19" t="s">
        <v>1068</v>
      </c>
      <c r="B217" s="19" t="s">
        <v>23</v>
      </c>
      <c r="C217" s="19" t="s">
        <v>72</v>
      </c>
      <c r="D217" s="20">
        <v>45716</v>
      </c>
      <c r="E217" s="20">
        <v>45728</v>
      </c>
      <c r="F217" s="19" t="s">
        <v>27</v>
      </c>
      <c r="G217" s="19" t="s">
        <v>28</v>
      </c>
      <c r="H217" s="20">
        <v>30636</v>
      </c>
      <c r="I217" s="19" t="s">
        <v>294</v>
      </c>
      <c r="J217" s="19" t="s">
        <v>295</v>
      </c>
      <c r="K217" s="19" t="s">
        <v>46</v>
      </c>
      <c r="L217" s="19" t="s">
        <v>78</v>
      </c>
      <c r="M217" s="19">
        <v>4</v>
      </c>
      <c r="N217" s="19">
        <v>1200</v>
      </c>
      <c r="O217" s="19">
        <v>0</v>
      </c>
      <c r="P217" s="19">
        <v>4800</v>
      </c>
      <c r="Q217" s="19">
        <v>4</v>
      </c>
      <c r="R217" s="19" t="s">
        <v>34</v>
      </c>
      <c r="S217" s="19" t="s">
        <v>61</v>
      </c>
      <c r="T217" s="19" t="s">
        <v>50</v>
      </c>
      <c r="U217" s="21" t="s">
        <v>1071</v>
      </c>
      <c r="V217" s="19" t="s">
        <v>38</v>
      </c>
      <c r="W217" s="19">
        <f t="shared" ca="1" si="6"/>
        <v>42</v>
      </c>
      <c r="X217" s="19">
        <f t="shared" si="7"/>
        <v>12</v>
      </c>
      <c r="Y217" s="19" t="str" cm="1">
        <f t="array" ref="Y217">_xlfn.IFS(ISERROR(X217), "Pending", X217&lt;=5, "On Time", X217&gt;5, "Delayed")</f>
        <v>Delayed</v>
      </c>
    </row>
    <row r="218" spans="1:25" x14ac:dyDescent="0.3">
      <c r="A218" s="15" t="s">
        <v>1072</v>
      </c>
      <c r="B218" s="15" t="s">
        <v>221</v>
      </c>
      <c r="C218" s="15" t="s">
        <v>169</v>
      </c>
      <c r="D218" s="16">
        <v>45961</v>
      </c>
      <c r="E218" s="16">
        <v>45968</v>
      </c>
      <c r="F218" s="15" t="s">
        <v>225</v>
      </c>
      <c r="G218" s="15" t="s">
        <v>76</v>
      </c>
      <c r="H218" s="16">
        <v>31330</v>
      </c>
      <c r="I218" s="15" t="s">
        <v>59</v>
      </c>
      <c r="J218" s="15" t="s">
        <v>31</v>
      </c>
      <c r="K218" s="15" t="s">
        <v>32</v>
      </c>
      <c r="L218" s="15" t="s">
        <v>174</v>
      </c>
      <c r="M218" s="15">
        <v>2</v>
      </c>
      <c r="N218" s="15">
        <v>8500</v>
      </c>
      <c r="O218" s="15">
        <v>20</v>
      </c>
      <c r="P218" s="15">
        <v>13600</v>
      </c>
      <c r="Q218" s="15">
        <v>3</v>
      </c>
      <c r="R218" s="15" t="s">
        <v>79</v>
      </c>
      <c r="S218" s="15" t="s">
        <v>151</v>
      </c>
      <c r="T218" s="15" t="s">
        <v>228</v>
      </c>
      <c r="U218" s="18" t="s">
        <v>1075</v>
      </c>
      <c r="V218" s="15" t="s">
        <v>38</v>
      </c>
      <c r="W218" s="15">
        <f t="shared" ca="1" si="6"/>
        <v>40</v>
      </c>
      <c r="X218" s="15">
        <f t="shared" si="7"/>
        <v>7</v>
      </c>
      <c r="Y218" s="15" t="str" cm="1">
        <f t="array" ref="Y218">_xlfn.IFS(ISERROR(X218), "Pending", X218&lt;=5, "On Time", X218&gt;5, "Delayed")</f>
        <v>Delayed</v>
      </c>
    </row>
    <row r="219" spans="1:25" x14ac:dyDescent="0.3">
      <c r="A219" s="19" t="s">
        <v>1076</v>
      </c>
      <c r="B219" s="19" t="s">
        <v>83</v>
      </c>
      <c r="C219" s="19" t="s">
        <v>184</v>
      </c>
      <c r="D219" s="20">
        <v>46052</v>
      </c>
      <c r="E219" s="20">
        <v>46061</v>
      </c>
      <c r="F219" s="19" t="s">
        <v>180</v>
      </c>
      <c r="G219" s="19" t="s">
        <v>76</v>
      </c>
      <c r="H219" s="20">
        <v>37438</v>
      </c>
      <c r="I219" s="19" t="s">
        <v>294</v>
      </c>
      <c r="J219" s="19" t="s">
        <v>295</v>
      </c>
      <c r="K219" s="19" t="s">
        <v>46</v>
      </c>
      <c r="L219" s="19" t="s">
        <v>189</v>
      </c>
      <c r="M219" s="19">
        <v>7</v>
      </c>
      <c r="N219" s="19">
        <v>700</v>
      </c>
      <c r="O219" s="19">
        <v>20</v>
      </c>
      <c r="P219" s="19">
        <v>3920</v>
      </c>
      <c r="Q219" s="19">
        <v>2</v>
      </c>
      <c r="R219" s="19" t="s">
        <v>79</v>
      </c>
      <c r="S219" s="19" t="s">
        <v>151</v>
      </c>
      <c r="T219" s="19" t="s">
        <v>89</v>
      </c>
      <c r="U219" s="21" t="s">
        <v>1079</v>
      </c>
      <c r="V219" s="19" t="s">
        <v>64</v>
      </c>
      <c r="W219" s="19">
        <f t="shared" ca="1" si="6"/>
        <v>24</v>
      </c>
      <c r="X219" s="19">
        <f t="shared" si="7"/>
        <v>9</v>
      </c>
      <c r="Y219" s="19" t="str" cm="1">
        <f t="array" ref="Y219">_xlfn.IFS(ISERROR(X219), "Pending", X219&lt;=5, "On Time", X219&gt;5, "Delayed")</f>
        <v>Delayed</v>
      </c>
    </row>
    <row r="220" spans="1:25" x14ac:dyDescent="0.3">
      <c r="A220" s="15" t="s">
        <v>1080</v>
      </c>
      <c r="B220" s="15" t="s">
        <v>53</v>
      </c>
      <c r="C220" s="15" t="s">
        <v>222</v>
      </c>
      <c r="D220" s="16">
        <v>46141</v>
      </c>
      <c r="E220" s="16">
        <v>46145</v>
      </c>
      <c r="F220" s="15" t="s">
        <v>163</v>
      </c>
      <c r="G220" s="15" t="s">
        <v>28</v>
      </c>
      <c r="H220" s="16">
        <v>36359</v>
      </c>
      <c r="I220" s="15" t="s">
        <v>114</v>
      </c>
      <c r="J220" s="15" t="s">
        <v>106</v>
      </c>
      <c r="K220" s="15" t="s">
        <v>122</v>
      </c>
      <c r="L220" s="15" t="s">
        <v>227</v>
      </c>
      <c r="M220" s="15">
        <v>9</v>
      </c>
      <c r="N220" s="15">
        <v>20</v>
      </c>
      <c r="O220" s="15">
        <v>15</v>
      </c>
      <c r="P220" s="15">
        <v>153</v>
      </c>
      <c r="Q220" s="15">
        <v>3</v>
      </c>
      <c r="R220" s="15" t="s">
        <v>48</v>
      </c>
      <c r="S220" s="15" t="s">
        <v>115</v>
      </c>
      <c r="T220" s="15" t="s">
        <v>62</v>
      </c>
      <c r="U220" s="18" t="s">
        <v>1083</v>
      </c>
      <c r="V220" s="15" t="s">
        <v>38</v>
      </c>
      <c r="W220" s="15">
        <f t="shared" ca="1" si="6"/>
        <v>27</v>
      </c>
      <c r="X220" s="15">
        <f t="shared" si="7"/>
        <v>4</v>
      </c>
      <c r="Y220" s="15" t="str" cm="1">
        <f t="array" ref="Y220">_xlfn.IFS(ISERROR(X220), "Pending", X220&lt;=5, "On Time", X220&gt;5, "Delayed")</f>
        <v>On Time</v>
      </c>
    </row>
    <row r="221" spans="1:25" x14ac:dyDescent="0.3">
      <c r="A221" s="19" t="s">
        <v>1084</v>
      </c>
      <c r="B221" s="19" t="s">
        <v>100</v>
      </c>
      <c r="C221" s="19" t="s">
        <v>169</v>
      </c>
      <c r="D221" s="20">
        <v>45795</v>
      </c>
      <c r="E221" s="20">
        <v>45797</v>
      </c>
      <c r="F221" s="19" t="s">
        <v>103</v>
      </c>
      <c r="G221" s="19" t="s">
        <v>28</v>
      </c>
      <c r="H221" s="20">
        <v>32913</v>
      </c>
      <c r="I221" s="19" t="s">
        <v>294</v>
      </c>
      <c r="J221" s="19" t="s">
        <v>295</v>
      </c>
      <c r="K221" s="19" t="s">
        <v>32</v>
      </c>
      <c r="L221" s="19" t="s">
        <v>174</v>
      </c>
      <c r="M221" s="19">
        <v>16</v>
      </c>
      <c r="N221" s="19">
        <v>8500</v>
      </c>
      <c r="O221" s="19">
        <v>0</v>
      </c>
      <c r="P221" s="19">
        <v>136000</v>
      </c>
      <c r="Q221" s="19">
        <v>4</v>
      </c>
      <c r="R221" s="19" t="s">
        <v>48</v>
      </c>
      <c r="S221" s="19" t="s">
        <v>35</v>
      </c>
      <c r="T221" s="19" t="s">
        <v>144</v>
      </c>
      <c r="U221" s="21" t="s">
        <v>1088</v>
      </c>
      <c r="V221" s="19" t="s">
        <v>38</v>
      </c>
      <c r="W221" s="19">
        <f t="shared" ca="1" si="6"/>
        <v>36</v>
      </c>
      <c r="X221" s="19">
        <f t="shared" si="7"/>
        <v>2</v>
      </c>
      <c r="Y221" s="19" t="str" cm="1">
        <f t="array" ref="Y221">_xlfn.IFS(ISERROR(X221), "Pending", X221&lt;=5, "On Time", X221&gt;5, "Delayed")</f>
        <v>On Time</v>
      </c>
    </row>
    <row r="222" spans="1:25" x14ac:dyDescent="0.3">
      <c r="A222" s="15" t="s">
        <v>1089</v>
      </c>
      <c r="B222" s="15" t="s">
        <v>251</v>
      </c>
      <c r="C222" s="15" t="s">
        <v>92</v>
      </c>
      <c r="D222" s="16">
        <v>46107</v>
      </c>
      <c r="E222" s="16">
        <v>46109</v>
      </c>
      <c r="F222" s="15" t="s">
        <v>254</v>
      </c>
      <c r="G222" s="15" t="s">
        <v>28</v>
      </c>
      <c r="H222" s="16">
        <v>33642</v>
      </c>
      <c r="I222" s="15" t="s">
        <v>44</v>
      </c>
      <c r="J222" s="15" t="s">
        <v>45</v>
      </c>
      <c r="K222" s="15" t="s">
        <v>32</v>
      </c>
      <c r="L222" s="15" t="s">
        <v>97</v>
      </c>
      <c r="M222" s="15">
        <v>10</v>
      </c>
      <c r="N222" s="15">
        <v>3500</v>
      </c>
      <c r="O222" s="15">
        <v>5</v>
      </c>
      <c r="P222" s="15">
        <v>33250</v>
      </c>
      <c r="Q222" s="15">
        <v>3</v>
      </c>
      <c r="R222" s="15" t="s">
        <v>48</v>
      </c>
      <c r="S222" s="15" t="s">
        <v>115</v>
      </c>
      <c r="T222" s="15" t="s">
        <v>256</v>
      </c>
      <c r="U222" s="18" t="s">
        <v>1092</v>
      </c>
      <c r="V222" s="15" t="s">
        <v>38</v>
      </c>
      <c r="W222" s="15">
        <f t="shared" ca="1" si="6"/>
        <v>34</v>
      </c>
      <c r="X222" s="15">
        <f t="shared" si="7"/>
        <v>2</v>
      </c>
      <c r="Y222" s="15" t="str" cm="1">
        <f t="array" ref="Y222">_xlfn.IFS(ISERROR(X222), "Pending", X222&lt;=5, "On Time", X222&gt;5, "Delayed")</f>
        <v>On Time</v>
      </c>
    </row>
    <row r="223" spans="1:25" x14ac:dyDescent="0.3">
      <c r="A223" s="19" t="s">
        <v>1093</v>
      </c>
      <c r="B223" s="19" t="s">
        <v>53</v>
      </c>
      <c r="C223" s="19" t="s">
        <v>40</v>
      </c>
      <c r="D223" s="20">
        <v>46041</v>
      </c>
      <c r="E223" s="20">
        <v>46049</v>
      </c>
      <c r="F223" s="19" t="s">
        <v>163</v>
      </c>
      <c r="G223" s="19" t="s">
        <v>28</v>
      </c>
      <c r="H223" s="20">
        <v>29466</v>
      </c>
      <c r="I223" s="19" t="s">
        <v>294</v>
      </c>
      <c r="J223" s="19" t="s">
        <v>295</v>
      </c>
      <c r="K223" s="19" t="s">
        <v>46</v>
      </c>
      <c r="L223" s="19" t="s">
        <v>47</v>
      </c>
      <c r="M223" s="19">
        <v>1</v>
      </c>
      <c r="N223" s="19">
        <v>12000</v>
      </c>
      <c r="O223" s="19">
        <v>0</v>
      </c>
      <c r="P223" s="19">
        <v>12000</v>
      </c>
      <c r="Q223" s="19">
        <v>5</v>
      </c>
      <c r="R223" s="19" t="s">
        <v>88</v>
      </c>
      <c r="S223" s="19" t="s">
        <v>115</v>
      </c>
      <c r="T223" s="19" t="s">
        <v>62</v>
      </c>
      <c r="U223" s="21" t="s">
        <v>1096</v>
      </c>
      <c r="V223" s="19" t="s">
        <v>64</v>
      </c>
      <c r="W223" s="19">
        <f t="shared" ca="1" si="6"/>
        <v>46</v>
      </c>
      <c r="X223" s="19">
        <f t="shared" si="7"/>
        <v>8</v>
      </c>
      <c r="Y223" s="19" t="str" cm="1">
        <f t="array" ref="Y223">_xlfn.IFS(ISERROR(X223), "Pending", X223&lt;=5, "On Time", X223&gt;5, "Delayed")</f>
        <v>Delayed</v>
      </c>
    </row>
    <row r="224" spans="1:25" x14ac:dyDescent="0.3">
      <c r="A224" s="15" t="s">
        <v>1097</v>
      </c>
      <c r="B224" s="15" t="s">
        <v>327</v>
      </c>
      <c r="C224" s="15" t="s">
        <v>259</v>
      </c>
      <c r="D224" s="16">
        <v>46144</v>
      </c>
      <c r="E224" s="16">
        <v>46152</v>
      </c>
      <c r="F224" s="15" t="s">
        <v>394</v>
      </c>
      <c r="G224" s="15" t="s">
        <v>76</v>
      </c>
      <c r="H224" s="16">
        <v>32557</v>
      </c>
      <c r="I224" s="15" t="s">
        <v>294</v>
      </c>
      <c r="J224" s="15" t="s">
        <v>295</v>
      </c>
      <c r="K224" s="15" t="s">
        <v>122</v>
      </c>
      <c r="L224" s="15" t="s">
        <v>263</v>
      </c>
      <c r="M224" s="15">
        <v>19</v>
      </c>
      <c r="N224" s="15">
        <v>45</v>
      </c>
      <c r="O224" s="15">
        <v>15</v>
      </c>
      <c r="P224" s="15">
        <v>726.75</v>
      </c>
      <c r="Q224" s="15">
        <v>2</v>
      </c>
      <c r="R224" s="15" t="s">
        <v>88</v>
      </c>
      <c r="S224" s="15" t="s">
        <v>151</v>
      </c>
      <c r="T224" s="15" t="s">
        <v>332</v>
      </c>
      <c r="U224" s="18" t="s">
        <v>1100</v>
      </c>
      <c r="V224" s="15" t="s">
        <v>64</v>
      </c>
      <c r="W224" s="15">
        <f t="shared" ca="1" si="6"/>
        <v>37</v>
      </c>
      <c r="X224" s="15">
        <f t="shared" si="7"/>
        <v>8</v>
      </c>
      <c r="Y224" s="15" t="str" cm="1">
        <f t="array" ref="Y224">_xlfn.IFS(ISERROR(X224), "Pending", X224&lt;=5, "On Time", X224&gt;5, "Delayed")</f>
        <v>Delayed</v>
      </c>
    </row>
    <row r="225" spans="1:25" x14ac:dyDescent="0.3">
      <c r="A225" s="19" t="s">
        <v>1101</v>
      </c>
      <c r="B225" s="19" t="s">
        <v>23</v>
      </c>
      <c r="C225" s="19" t="s">
        <v>54</v>
      </c>
      <c r="D225" s="20">
        <v>45961</v>
      </c>
      <c r="E225" s="20">
        <v>45963</v>
      </c>
      <c r="F225" s="19" t="s">
        <v>27</v>
      </c>
      <c r="G225" s="19" t="s">
        <v>28</v>
      </c>
      <c r="H225" s="20">
        <v>34251</v>
      </c>
      <c r="I225" s="19" t="s">
        <v>44</v>
      </c>
      <c r="J225" s="19" t="s">
        <v>45</v>
      </c>
      <c r="K225" s="19" t="s">
        <v>46</v>
      </c>
      <c r="L225" s="19" t="s">
        <v>60</v>
      </c>
      <c r="M225" s="19">
        <v>13</v>
      </c>
      <c r="N225" s="19">
        <v>55000</v>
      </c>
      <c r="O225" s="19">
        <v>5</v>
      </c>
      <c r="P225" s="19">
        <v>679250</v>
      </c>
      <c r="Q225" s="19">
        <v>4</v>
      </c>
      <c r="R225" s="19" t="s">
        <v>79</v>
      </c>
      <c r="S225" s="19" t="s">
        <v>49</v>
      </c>
      <c r="T225" s="19" t="s">
        <v>50</v>
      </c>
      <c r="U225" s="21" t="s">
        <v>1104</v>
      </c>
      <c r="V225" s="19" t="s">
        <v>69</v>
      </c>
      <c r="W225" s="19">
        <f t="shared" ca="1" si="6"/>
        <v>32</v>
      </c>
      <c r="X225" s="19">
        <f t="shared" si="7"/>
        <v>2</v>
      </c>
      <c r="Y225" s="19" t="str" cm="1">
        <f t="array" ref="Y225">_xlfn.IFS(ISERROR(X225), "Pending", X225&lt;=5, "On Time", X225&gt;5, "Delayed")</f>
        <v>On Time</v>
      </c>
    </row>
    <row r="226" spans="1:25" x14ac:dyDescent="0.3">
      <c r="A226" s="15" t="s">
        <v>1105</v>
      </c>
      <c r="B226" s="15" t="s">
        <v>83</v>
      </c>
      <c r="C226" s="15" t="s">
        <v>259</v>
      </c>
      <c r="D226" s="16">
        <v>45858</v>
      </c>
      <c r="E226" s="16">
        <v>45864</v>
      </c>
      <c r="F226" s="15" t="s">
        <v>180</v>
      </c>
      <c r="G226" s="15" t="s">
        <v>76</v>
      </c>
      <c r="H226" s="16">
        <v>29907</v>
      </c>
      <c r="I226" s="15" t="s">
        <v>105</v>
      </c>
      <c r="J226" s="15" t="s">
        <v>106</v>
      </c>
      <c r="K226" s="15" t="s">
        <v>122</v>
      </c>
      <c r="L226" s="15" t="s">
        <v>263</v>
      </c>
      <c r="M226" s="15">
        <v>2</v>
      </c>
      <c r="N226" s="15">
        <v>45</v>
      </c>
      <c r="O226" s="15">
        <v>15</v>
      </c>
      <c r="P226" s="15">
        <v>76.5</v>
      </c>
      <c r="Q226" s="15">
        <v>1</v>
      </c>
      <c r="R226" s="15" t="s">
        <v>48</v>
      </c>
      <c r="S226" s="15" t="s">
        <v>115</v>
      </c>
      <c r="T226" s="15" t="s">
        <v>89</v>
      </c>
      <c r="U226" s="18" t="s">
        <v>1108</v>
      </c>
      <c r="V226" s="15" t="s">
        <v>38</v>
      </c>
      <c r="W226" s="15">
        <f t="shared" ca="1" si="6"/>
        <v>44</v>
      </c>
      <c r="X226" s="15">
        <f t="shared" si="7"/>
        <v>6</v>
      </c>
      <c r="Y226" s="15" t="str" cm="1">
        <f t="array" ref="Y226">_xlfn.IFS(ISERROR(X226), "Pending", X226&lt;=5, "On Time", X226&gt;5, "Delayed")</f>
        <v>Delayed</v>
      </c>
    </row>
    <row r="227" spans="1:25" x14ac:dyDescent="0.3">
      <c r="A227" s="19" t="s">
        <v>1109</v>
      </c>
      <c r="B227" s="19" t="s">
        <v>100</v>
      </c>
      <c r="C227" s="19" t="s">
        <v>222</v>
      </c>
      <c r="D227" s="20">
        <v>45707</v>
      </c>
      <c r="E227" s="20">
        <v>45712</v>
      </c>
      <c r="F227" s="19" t="s">
        <v>103</v>
      </c>
      <c r="G227" s="19" t="s">
        <v>28</v>
      </c>
      <c r="H227" s="20">
        <v>37857</v>
      </c>
      <c r="I227" s="19" t="s">
        <v>30</v>
      </c>
      <c r="J227" s="19" t="s">
        <v>31</v>
      </c>
      <c r="K227" s="19" t="s">
        <v>122</v>
      </c>
      <c r="L227" s="19" t="s">
        <v>227</v>
      </c>
      <c r="M227" s="19">
        <v>8</v>
      </c>
      <c r="N227" s="19">
        <v>20</v>
      </c>
      <c r="O227" s="19">
        <v>15</v>
      </c>
      <c r="P227" s="19">
        <v>136</v>
      </c>
      <c r="Q227" s="19">
        <v>1</v>
      </c>
      <c r="R227" s="19" t="s">
        <v>79</v>
      </c>
      <c r="S227" s="19" t="s">
        <v>35</v>
      </c>
      <c r="T227" s="19" t="s">
        <v>144</v>
      </c>
      <c r="U227" s="21" t="s">
        <v>1112</v>
      </c>
      <c r="V227" s="19" t="s">
        <v>64</v>
      </c>
      <c r="W227" s="19">
        <f t="shared" ca="1" si="6"/>
        <v>23</v>
      </c>
      <c r="X227" s="19">
        <f t="shared" si="7"/>
        <v>5</v>
      </c>
      <c r="Y227" s="19" t="str" cm="1">
        <f t="array" ref="Y227">_xlfn.IFS(ISERROR(X227), "Pending", X227&lt;=5, "On Time", X227&gt;5, "Delayed")</f>
        <v>On Time</v>
      </c>
    </row>
    <row r="228" spans="1:25" x14ac:dyDescent="0.3">
      <c r="A228" s="15" t="s">
        <v>1113</v>
      </c>
      <c r="B228" s="15" t="s">
        <v>168</v>
      </c>
      <c r="C228" s="15" t="s">
        <v>40</v>
      </c>
      <c r="D228" s="16">
        <v>45767</v>
      </c>
      <c r="E228" s="16">
        <v>45778</v>
      </c>
      <c r="F228" s="15" t="s">
        <v>361</v>
      </c>
      <c r="G228" s="15" t="s">
        <v>28</v>
      </c>
      <c r="H228" s="16">
        <v>31247</v>
      </c>
      <c r="I228" s="15" t="s">
        <v>30</v>
      </c>
      <c r="J228" s="15" t="s">
        <v>31</v>
      </c>
      <c r="K228" s="15" t="s">
        <v>46</v>
      </c>
      <c r="L228" s="15" t="s">
        <v>47</v>
      </c>
      <c r="M228" s="15">
        <v>9</v>
      </c>
      <c r="N228" s="15">
        <v>12000</v>
      </c>
      <c r="O228" s="15">
        <v>5</v>
      </c>
      <c r="P228" s="15">
        <v>102600</v>
      </c>
      <c r="Q228" s="15">
        <v>2</v>
      </c>
      <c r="R228" s="15" t="s">
        <v>79</v>
      </c>
      <c r="S228" s="15" t="s">
        <v>35</v>
      </c>
      <c r="T228" s="15" t="s">
        <v>175</v>
      </c>
      <c r="U228" s="18" t="s">
        <v>1117</v>
      </c>
      <c r="V228" s="15" t="s">
        <v>69</v>
      </c>
      <c r="W228" s="15">
        <f t="shared" ca="1" si="6"/>
        <v>41</v>
      </c>
      <c r="X228" s="15">
        <f t="shared" si="7"/>
        <v>11</v>
      </c>
      <c r="Y228" s="15" t="str" cm="1">
        <f t="array" ref="Y228">_xlfn.IFS(ISERROR(X228), "Pending", X228&lt;=5, "On Time", X228&gt;5, "Delayed")</f>
        <v>Delayed</v>
      </c>
    </row>
    <row r="229" spans="1:25" x14ac:dyDescent="0.3">
      <c r="A229" s="19" t="s">
        <v>1118</v>
      </c>
      <c r="B229" s="19" t="s">
        <v>71</v>
      </c>
      <c r="C229" s="19" t="s">
        <v>92</v>
      </c>
      <c r="D229" s="20">
        <v>45813</v>
      </c>
      <c r="E229" s="20">
        <v>45821</v>
      </c>
      <c r="F229" s="19" t="s">
        <v>217</v>
      </c>
      <c r="G229" s="19" t="s">
        <v>76</v>
      </c>
      <c r="H229" s="20">
        <v>34612</v>
      </c>
      <c r="I229" s="19" t="s">
        <v>294</v>
      </c>
      <c r="J229" s="19" t="s">
        <v>295</v>
      </c>
      <c r="K229" s="19" t="s">
        <v>32</v>
      </c>
      <c r="L229" s="19" t="s">
        <v>97</v>
      </c>
      <c r="M229" s="19">
        <v>3</v>
      </c>
      <c r="N229" s="19">
        <v>3500</v>
      </c>
      <c r="O229" s="19">
        <v>15</v>
      </c>
      <c r="P229" s="19">
        <v>8925</v>
      </c>
      <c r="Q229" s="19">
        <v>1</v>
      </c>
      <c r="R229" s="19" t="s">
        <v>34</v>
      </c>
      <c r="S229" s="19" t="s">
        <v>49</v>
      </c>
      <c r="T229" s="19" t="s">
        <v>80</v>
      </c>
      <c r="U229" s="21" t="s">
        <v>1122</v>
      </c>
      <c r="V229" s="19" t="s">
        <v>69</v>
      </c>
      <c r="W229" s="19">
        <f t="shared" ca="1" si="6"/>
        <v>31</v>
      </c>
      <c r="X229" s="19">
        <f t="shared" si="7"/>
        <v>8</v>
      </c>
      <c r="Y229" s="19" t="str" cm="1">
        <f t="array" ref="Y229">_xlfn.IFS(ISERROR(X229), "Pending", X229&lt;=5, "On Time", X229&gt;5, "Delayed")</f>
        <v>Delayed</v>
      </c>
    </row>
    <row r="230" spans="1:25" x14ac:dyDescent="0.3">
      <c r="A230" s="15" t="s">
        <v>1123</v>
      </c>
      <c r="B230" s="15" t="s">
        <v>100</v>
      </c>
      <c r="C230" s="15" t="s">
        <v>184</v>
      </c>
      <c r="D230" s="16">
        <v>45797</v>
      </c>
      <c r="E230" s="16">
        <v>45800</v>
      </c>
      <c r="F230" s="15" t="s">
        <v>103</v>
      </c>
      <c r="G230" s="15" t="s">
        <v>28</v>
      </c>
      <c r="H230" s="16">
        <v>34051</v>
      </c>
      <c r="I230" s="15" t="s">
        <v>30</v>
      </c>
      <c r="J230" s="15" t="s">
        <v>31</v>
      </c>
      <c r="K230" s="15" t="s">
        <v>46</v>
      </c>
      <c r="L230" s="15" t="s">
        <v>189</v>
      </c>
      <c r="M230" s="15">
        <v>18</v>
      </c>
      <c r="N230" s="15">
        <v>700</v>
      </c>
      <c r="O230" s="15">
        <v>20</v>
      </c>
      <c r="P230" s="15">
        <v>10080</v>
      </c>
      <c r="Q230" s="15">
        <v>1</v>
      </c>
      <c r="R230" s="15" t="s">
        <v>79</v>
      </c>
      <c r="S230" s="15" t="s">
        <v>151</v>
      </c>
      <c r="T230" s="15" t="s">
        <v>144</v>
      </c>
      <c r="U230" s="18" t="s">
        <v>1126</v>
      </c>
      <c r="V230" s="15" t="s">
        <v>38</v>
      </c>
      <c r="W230" s="15">
        <f t="shared" ca="1" si="6"/>
        <v>33</v>
      </c>
      <c r="X230" s="15">
        <f t="shared" si="7"/>
        <v>3</v>
      </c>
      <c r="Y230" s="15" t="str" cm="1">
        <f t="array" ref="Y230">_xlfn.IFS(ISERROR(X230), "Pending", X230&lt;=5, "On Time", X230&gt;5, "Delayed")</f>
        <v>On Time</v>
      </c>
    </row>
    <row r="231" spans="1:25" x14ac:dyDescent="0.3">
      <c r="A231" s="19" t="s">
        <v>1127</v>
      </c>
      <c r="B231" s="19" t="s">
        <v>71</v>
      </c>
      <c r="C231" s="19" t="s">
        <v>92</v>
      </c>
      <c r="D231" s="20">
        <v>46046</v>
      </c>
      <c r="E231" s="20">
        <v>46053</v>
      </c>
      <c r="F231" s="19" t="s">
        <v>217</v>
      </c>
      <c r="G231" s="19" t="s">
        <v>76</v>
      </c>
      <c r="H231" s="20">
        <v>29019</v>
      </c>
      <c r="I231" s="19" t="s">
        <v>114</v>
      </c>
      <c r="J231" s="19" t="s">
        <v>106</v>
      </c>
      <c r="K231" s="19" t="s">
        <v>32</v>
      </c>
      <c r="L231" s="19" t="s">
        <v>97</v>
      </c>
      <c r="M231" s="19">
        <v>14</v>
      </c>
      <c r="N231" s="19">
        <v>3500</v>
      </c>
      <c r="O231" s="19">
        <v>5</v>
      </c>
      <c r="P231" s="19">
        <v>46550</v>
      </c>
      <c r="Q231" s="19">
        <v>1</v>
      </c>
      <c r="R231" s="19" t="s">
        <v>34</v>
      </c>
      <c r="S231" s="19" t="s">
        <v>61</v>
      </c>
      <c r="T231" s="19" t="s">
        <v>80</v>
      </c>
      <c r="U231" s="21" t="s">
        <v>1130</v>
      </c>
      <c r="V231" s="19" t="s">
        <v>38</v>
      </c>
      <c r="W231" s="19">
        <f t="shared" ca="1" si="6"/>
        <v>47</v>
      </c>
      <c r="X231" s="19">
        <f t="shared" si="7"/>
        <v>7</v>
      </c>
      <c r="Y231" s="19" t="str" cm="1">
        <f t="array" ref="Y231">_xlfn.IFS(ISERROR(X231), "Pending", X231&lt;=5, "On Time", X231&gt;5, "Delayed")</f>
        <v>Delayed</v>
      </c>
    </row>
    <row r="232" spans="1:25" x14ac:dyDescent="0.3">
      <c r="A232" s="15" t="s">
        <v>1131</v>
      </c>
      <c r="B232" s="15" t="s">
        <v>100</v>
      </c>
      <c r="C232" s="15" t="s">
        <v>184</v>
      </c>
      <c r="D232" s="16">
        <v>45810</v>
      </c>
      <c r="E232" s="16">
        <v>45812</v>
      </c>
      <c r="F232" s="15" t="s">
        <v>103</v>
      </c>
      <c r="G232" s="15" t="s">
        <v>28</v>
      </c>
      <c r="H232" s="16">
        <v>33262</v>
      </c>
      <c r="I232" s="15" t="s">
        <v>294</v>
      </c>
      <c r="J232" s="15" t="s">
        <v>295</v>
      </c>
      <c r="K232" s="15" t="s">
        <v>46</v>
      </c>
      <c r="L232" s="15" t="s">
        <v>189</v>
      </c>
      <c r="M232" s="15">
        <v>6</v>
      </c>
      <c r="N232" s="15">
        <v>700</v>
      </c>
      <c r="O232" s="15">
        <v>5</v>
      </c>
      <c r="P232" s="15">
        <v>3990</v>
      </c>
      <c r="Q232" s="15">
        <v>5</v>
      </c>
      <c r="R232" s="15" t="s">
        <v>34</v>
      </c>
      <c r="S232" s="15" t="s">
        <v>35</v>
      </c>
      <c r="T232" s="15" t="s">
        <v>144</v>
      </c>
      <c r="U232" s="18" t="s">
        <v>1133</v>
      </c>
      <c r="V232" s="15" t="s">
        <v>38</v>
      </c>
      <c r="W232" s="15">
        <f t="shared" ca="1" si="6"/>
        <v>35</v>
      </c>
      <c r="X232" s="15">
        <f t="shared" si="7"/>
        <v>2</v>
      </c>
      <c r="Y232" s="15" t="str" cm="1">
        <f t="array" ref="Y232">_xlfn.IFS(ISERROR(X232), "Pending", X232&lt;=5, "On Time", X232&gt;5, "Delayed")</f>
        <v>On Time</v>
      </c>
    </row>
    <row r="233" spans="1:25" x14ac:dyDescent="0.3">
      <c r="A233" s="19" t="s">
        <v>1134</v>
      </c>
      <c r="B233" s="19" t="s">
        <v>100</v>
      </c>
      <c r="C233" s="19" t="s">
        <v>92</v>
      </c>
      <c r="D233" s="20">
        <v>45819</v>
      </c>
      <c r="E233" s="20">
        <v>45827</v>
      </c>
      <c r="F233" s="19" t="s">
        <v>103</v>
      </c>
      <c r="G233" s="19" t="s">
        <v>28</v>
      </c>
      <c r="H233" s="20">
        <v>38039</v>
      </c>
      <c r="I233" s="19" t="s">
        <v>105</v>
      </c>
      <c r="J233" s="19" t="s">
        <v>106</v>
      </c>
      <c r="K233" s="19" t="s">
        <v>32</v>
      </c>
      <c r="L233" s="19" t="s">
        <v>97</v>
      </c>
      <c r="M233" s="19">
        <v>17</v>
      </c>
      <c r="N233" s="19">
        <v>3500</v>
      </c>
      <c r="O233" s="19">
        <v>15</v>
      </c>
      <c r="P233" s="19">
        <v>50575</v>
      </c>
      <c r="Q233" s="19">
        <v>3</v>
      </c>
      <c r="R233" s="19" t="s">
        <v>48</v>
      </c>
      <c r="S233" s="19" t="s">
        <v>49</v>
      </c>
      <c r="T233" s="19" t="s">
        <v>144</v>
      </c>
      <c r="U233" s="21" t="s">
        <v>1136</v>
      </c>
      <c r="V233" s="19" t="s">
        <v>64</v>
      </c>
      <c r="W233" s="19">
        <f t="shared" ca="1" si="6"/>
        <v>22</v>
      </c>
      <c r="X233" s="19">
        <f t="shared" si="7"/>
        <v>8</v>
      </c>
      <c r="Y233" s="19" t="str" cm="1">
        <f t="array" ref="Y233">_xlfn.IFS(ISERROR(X233), "Pending", X233&lt;=5, "On Time", X233&gt;5, "Delayed")</f>
        <v>Delayed</v>
      </c>
    </row>
    <row r="234" spans="1:25" x14ac:dyDescent="0.3">
      <c r="A234" s="15" t="s">
        <v>1137</v>
      </c>
      <c r="B234" s="15" t="s">
        <v>251</v>
      </c>
      <c r="C234" s="15" t="s">
        <v>222</v>
      </c>
      <c r="D234" s="16">
        <v>46038</v>
      </c>
      <c r="E234" s="16">
        <v>46046</v>
      </c>
      <c r="F234" s="15" t="s">
        <v>254</v>
      </c>
      <c r="G234" s="15" t="s">
        <v>28</v>
      </c>
      <c r="H234" s="16">
        <v>28240</v>
      </c>
      <c r="I234" s="15" t="s">
        <v>294</v>
      </c>
      <c r="J234" s="15" t="s">
        <v>295</v>
      </c>
      <c r="K234" s="15" t="s">
        <v>122</v>
      </c>
      <c r="L234" s="15" t="s">
        <v>227</v>
      </c>
      <c r="M234" s="15">
        <v>7</v>
      </c>
      <c r="N234" s="15">
        <v>20</v>
      </c>
      <c r="O234" s="15">
        <v>5</v>
      </c>
      <c r="P234" s="15">
        <v>133</v>
      </c>
      <c r="Q234" s="15">
        <v>2</v>
      </c>
      <c r="R234" s="15" t="s">
        <v>88</v>
      </c>
      <c r="S234" s="15" t="s">
        <v>151</v>
      </c>
      <c r="T234" s="15" t="s">
        <v>256</v>
      </c>
      <c r="U234" s="18" t="s">
        <v>1139</v>
      </c>
      <c r="V234" s="15" t="s">
        <v>38</v>
      </c>
      <c r="W234" s="15">
        <f t="shared" ca="1" si="6"/>
        <v>49</v>
      </c>
      <c r="X234" s="15">
        <f t="shared" si="7"/>
        <v>8</v>
      </c>
      <c r="Y234" s="15" t="str" cm="1">
        <f t="array" ref="Y234">_xlfn.IFS(ISERROR(X234), "Pending", X234&lt;=5, "On Time", X234&gt;5, "Delayed")</f>
        <v>Delayed</v>
      </c>
    </row>
    <row r="235" spans="1:25" x14ac:dyDescent="0.3">
      <c r="A235" s="19" t="s">
        <v>1140</v>
      </c>
      <c r="B235" s="19" t="s">
        <v>23</v>
      </c>
      <c r="C235" s="19" t="s">
        <v>24</v>
      </c>
      <c r="D235" s="20">
        <v>46073</v>
      </c>
      <c r="E235" s="20">
        <v>46085</v>
      </c>
      <c r="F235" s="19" t="s">
        <v>27</v>
      </c>
      <c r="G235" s="19" t="s">
        <v>28</v>
      </c>
      <c r="H235" s="20">
        <v>34537</v>
      </c>
      <c r="I235" s="19" t="s">
        <v>59</v>
      </c>
      <c r="J235" s="19" t="s">
        <v>31</v>
      </c>
      <c r="K235" s="19" t="s">
        <v>32</v>
      </c>
      <c r="L235" s="19" t="s">
        <v>33</v>
      </c>
      <c r="M235" s="19">
        <v>15</v>
      </c>
      <c r="N235" s="19">
        <v>2200</v>
      </c>
      <c r="O235" s="19">
        <v>20</v>
      </c>
      <c r="P235" s="19">
        <v>26400</v>
      </c>
      <c r="Q235" s="19">
        <v>2</v>
      </c>
      <c r="R235" s="19" t="s">
        <v>34</v>
      </c>
      <c r="S235" s="19" t="s">
        <v>61</v>
      </c>
      <c r="T235" s="19" t="s">
        <v>50</v>
      </c>
      <c r="U235" s="21" t="s">
        <v>1144</v>
      </c>
      <c r="V235" s="19" t="s">
        <v>38</v>
      </c>
      <c r="W235" s="19">
        <f t="shared" ca="1" si="6"/>
        <v>32</v>
      </c>
      <c r="X235" s="19">
        <f t="shared" si="7"/>
        <v>12</v>
      </c>
      <c r="Y235" s="19" t="str" cm="1">
        <f t="array" ref="Y235">_xlfn.IFS(ISERROR(X235), "Pending", X235&lt;=5, "On Time", X235&gt;5, "Delayed")</f>
        <v>Delayed</v>
      </c>
    </row>
    <row r="236" spans="1:25" x14ac:dyDescent="0.3">
      <c r="A236" s="15" t="s">
        <v>1145</v>
      </c>
      <c r="B236" s="15" t="s">
        <v>71</v>
      </c>
      <c r="C236" s="15" t="s">
        <v>222</v>
      </c>
      <c r="D236" s="16">
        <v>46070</v>
      </c>
      <c r="E236" s="16">
        <v>46078</v>
      </c>
      <c r="F236" s="15" t="s">
        <v>217</v>
      </c>
      <c r="G236" s="15" t="s">
        <v>76</v>
      </c>
      <c r="H236" s="16">
        <v>29170</v>
      </c>
      <c r="I236" s="15" t="s">
        <v>105</v>
      </c>
      <c r="J236" s="15" t="s">
        <v>106</v>
      </c>
      <c r="K236" s="15" t="s">
        <v>122</v>
      </c>
      <c r="L236" s="15" t="s">
        <v>227</v>
      </c>
      <c r="M236" s="15">
        <v>5</v>
      </c>
      <c r="N236" s="15">
        <v>20</v>
      </c>
      <c r="O236" s="15">
        <v>0</v>
      </c>
      <c r="P236" s="15">
        <v>100</v>
      </c>
      <c r="Q236" s="15">
        <v>3</v>
      </c>
      <c r="R236" s="15" t="s">
        <v>34</v>
      </c>
      <c r="S236" s="15" t="s">
        <v>151</v>
      </c>
      <c r="T236" s="15" t="s">
        <v>80</v>
      </c>
      <c r="U236" s="18" t="s">
        <v>1147</v>
      </c>
      <c r="V236" s="15" t="s">
        <v>38</v>
      </c>
      <c r="W236" s="15">
        <f t="shared" ca="1" si="6"/>
        <v>46</v>
      </c>
      <c r="X236" s="15">
        <f t="shared" si="7"/>
        <v>8</v>
      </c>
      <c r="Y236" s="15" t="str" cm="1">
        <f t="array" ref="Y236">_xlfn.IFS(ISERROR(X236), "Pending", X236&lt;=5, "On Time", X236&gt;5, "Delayed")</f>
        <v>Delayed</v>
      </c>
    </row>
    <row r="237" spans="1:25" x14ac:dyDescent="0.3">
      <c r="A237" s="19" t="s">
        <v>1148</v>
      </c>
      <c r="B237" s="19" t="s">
        <v>127</v>
      </c>
      <c r="C237" s="19" t="s">
        <v>40</v>
      </c>
      <c r="D237" s="20">
        <v>45847</v>
      </c>
      <c r="E237" s="20">
        <v>45852</v>
      </c>
      <c r="F237" s="19" t="s">
        <v>200</v>
      </c>
      <c r="G237" s="19" t="s">
        <v>76</v>
      </c>
      <c r="H237" s="20">
        <v>34846</v>
      </c>
      <c r="I237" s="19" t="s">
        <v>44</v>
      </c>
      <c r="J237" s="19" t="s">
        <v>45</v>
      </c>
      <c r="K237" s="19" t="s">
        <v>46</v>
      </c>
      <c r="L237" s="19" t="s">
        <v>47</v>
      </c>
      <c r="M237" s="19">
        <v>8</v>
      </c>
      <c r="N237" s="19">
        <v>12000</v>
      </c>
      <c r="O237" s="19">
        <v>20</v>
      </c>
      <c r="P237" s="19">
        <v>76800</v>
      </c>
      <c r="Q237" s="19">
        <v>3</v>
      </c>
      <c r="R237" s="19" t="s">
        <v>79</v>
      </c>
      <c r="S237" s="19" t="s">
        <v>61</v>
      </c>
      <c r="T237" s="19" t="s">
        <v>132</v>
      </c>
      <c r="U237" s="21" t="s">
        <v>1151</v>
      </c>
      <c r="V237" s="19" t="s">
        <v>64</v>
      </c>
      <c r="W237" s="19">
        <f t="shared" ca="1" si="6"/>
        <v>31</v>
      </c>
      <c r="X237" s="19">
        <f t="shared" si="7"/>
        <v>5</v>
      </c>
      <c r="Y237" s="19" t="str" cm="1">
        <f t="array" ref="Y237">_xlfn.IFS(ISERROR(X237), "Pending", X237&lt;=5, "On Time", X237&gt;5, "Delayed")</f>
        <v>On Time</v>
      </c>
    </row>
    <row r="238" spans="1:25" x14ac:dyDescent="0.3">
      <c r="A238" s="15" t="s">
        <v>1152</v>
      </c>
      <c r="B238" s="15" t="s">
        <v>127</v>
      </c>
      <c r="C238" s="15" t="s">
        <v>92</v>
      </c>
      <c r="D238" s="16">
        <v>45696</v>
      </c>
      <c r="E238" s="16">
        <v>45704</v>
      </c>
      <c r="F238" s="15" t="s">
        <v>200</v>
      </c>
      <c r="G238" s="15" t="s">
        <v>76</v>
      </c>
      <c r="H238" s="16">
        <v>35964</v>
      </c>
      <c r="I238" s="15" t="s">
        <v>105</v>
      </c>
      <c r="J238" s="15" t="s">
        <v>106</v>
      </c>
      <c r="K238" s="15" t="s">
        <v>32</v>
      </c>
      <c r="L238" s="15" t="s">
        <v>97</v>
      </c>
      <c r="M238" s="15">
        <v>4</v>
      </c>
      <c r="N238" s="15">
        <v>3500</v>
      </c>
      <c r="O238" s="15">
        <v>20</v>
      </c>
      <c r="P238" s="15">
        <v>11200</v>
      </c>
      <c r="Q238" s="15">
        <v>1</v>
      </c>
      <c r="R238" s="15" t="s">
        <v>79</v>
      </c>
      <c r="S238" s="15" t="s">
        <v>115</v>
      </c>
      <c r="T238" s="15" t="s">
        <v>132</v>
      </c>
      <c r="U238" s="18" t="s">
        <v>1155</v>
      </c>
      <c r="V238" s="15" t="s">
        <v>38</v>
      </c>
      <c r="W238" s="15">
        <f t="shared" ca="1" si="6"/>
        <v>28</v>
      </c>
      <c r="X238" s="15">
        <f t="shared" si="7"/>
        <v>8</v>
      </c>
      <c r="Y238" s="15" t="str" cm="1">
        <f t="array" ref="Y238">_xlfn.IFS(ISERROR(X238), "Pending", X238&lt;=5, "On Time", X238&gt;5, "Delayed")</f>
        <v>Delayed</v>
      </c>
    </row>
    <row r="239" spans="1:25" x14ac:dyDescent="0.3">
      <c r="A239" s="19" t="s">
        <v>1156</v>
      </c>
      <c r="B239" s="19" t="s">
        <v>221</v>
      </c>
      <c r="C239" s="19" t="s">
        <v>259</v>
      </c>
      <c r="D239" s="20">
        <v>45713</v>
      </c>
      <c r="E239" s="20">
        <v>45720</v>
      </c>
      <c r="F239" s="19" t="s">
        <v>225</v>
      </c>
      <c r="G239" s="19" t="s">
        <v>76</v>
      </c>
      <c r="H239" s="20">
        <v>30337</v>
      </c>
      <c r="I239" s="19" t="s">
        <v>30</v>
      </c>
      <c r="J239" s="19" t="s">
        <v>31</v>
      </c>
      <c r="K239" s="19" t="s">
        <v>122</v>
      </c>
      <c r="L239" s="19" t="s">
        <v>263</v>
      </c>
      <c r="M239" s="19">
        <v>19</v>
      </c>
      <c r="N239" s="19">
        <v>45</v>
      </c>
      <c r="O239" s="19">
        <v>10</v>
      </c>
      <c r="P239" s="19">
        <v>769.5</v>
      </c>
      <c r="Q239" s="19">
        <v>1</v>
      </c>
      <c r="R239" s="19" t="s">
        <v>34</v>
      </c>
      <c r="S239" s="19" t="s">
        <v>115</v>
      </c>
      <c r="T239" s="19" t="s">
        <v>228</v>
      </c>
      <c r="U239" s="21" t="s">
        <v>1159</v>
      </c>
      <c r="V239" s="19" t="s">
        <v>38</v>
      </c>
      <c r="W239" s="19">
        <f t="shared" ca="1" si="6"/>
        <v>43</v>
      </c>
      <c r="X239" s="19">
        <f t="shared" si="7"/>
        <v>7</v>
      </c>
      <c r="Y239" s="19" t="str" cm="1">
        <f t="array" ref="Y239">_xlfn.IFS(ISERROR(X239), "Pending", X239&lt;=5, "On Time", X239&gt;5, "Delayed")</f>
        <v>Delayed</v>
      </c>
    </row>
    <row r="240" spans="1:25" x14ac:dyDescent="0.3">
      <c r="A240" s="15" t="s">
        <v>1160</v>
      </c>
      <c r="B240" s="15" t="s">
        <v>53</v>
      </c>
      <c r="C240" s="15" t="s">
        <v>259</v>
      </c>
      <c r="D240" s="16">
        <v>46049</v>
      </c>
      <c r="E240" s="16">
        <v>46059</v>
      </c>
      <c r="F240" s="15" t="s">
        <v>163</v>
      </c>
      <c r="G240" s="15" t="s">
        <v>28</v>
      </c>
      <c r="H240" s="16">
        <v>28552</v>
      </c>
      <c r="I240" s="15" t="s">
        <v>114</v>
      </c>
      <c r="J240" s="15" t="s">
        <v>106</v>
      </c>
      <c r="K240" s="15" t="s">
        <v>122</v>
      </c>
      <c r="L240" s="15" t="s">
        <v>263</v>
      </c>
      <c r="M240" s="15">
        <v>10</v>
      </c>
      <c r="N240" s="15">
        <v>45</v>
      </c>
      <c r="O240" s="15">
        <v>0</v>
      </c>
      <c r="P240" s="15">
        <v>450</v>
      </c>
      <c r="Q240" s="15">
        <v>4</v>
      </c>
      <c r="R240" s="15" t="s">
        <v>88</v>
      </c>
      <c r="S240" s="15" t="s">
        <v>61</v>
      </c>
      <c r="T240" s="15" t="s">
        <v>62</v>
      </c>
      <c r="U240" s="18" t="s">
        <v>1163</v>
      </c>
      <c r="V240" s="15" t="s">
        <v>38</v>
      </c>
      <c r="W240" s="15">
        <f t="shared" ca="1" si="6"/>
        <v>48</v>
      </c>
      <c r="X240" s="15">
        <f t="shared" si="7"/>
        <v>10</v>
      </c>
      <c r="Y240" s="15" t="str" cm="1">
        <f t="array" ref="Y240">_xlfn.IFS(ISERROR(X240), "Pending", X240&lt;=5, "On Time", X240&gt;5, "Delayed")</f>
        <v>Delayed</v>
      </c>
    </row>
    <row r="241" spans="1:25" x14ac:dyDescent="0.3">
      <c r="A241" s="19" t="s">
        <v>1164</v>
      </c>
      <c r="B241" s="19" t="s">
        <v>53</v>
      </c>
      <c r="C241" s="19" t="s">
        <v>259</v>
      </c>
      <c r="D241" s="20">
        <v>46030</v>
      </c>
      <c r="E241" s="20">
        <v>46039</v>
      </c>
      <c r="F241" s="19" t="s">
        <v>163</v>
      </c>
      <c r="G241" s="19" t="s">
        <v>28</v>
      </c>
      <c r="H241" s="20">
        <v>35605</v>
      </c>
      <c r="I241" s="19" t="s">
        <v>30</v>
      </c>
      <c r="J241" s="19" t="s">
        <v>31</v>
      </c>
      <c r="K241" s="19" t="s">
        <v>122</v>
      </c>
      <c r="L241" s="19" t="s">
        <v>263</v>
      </c>
      <c r="M241" s="19">
        <v>16</v>
      </c>
      <c r="N241" s="19">
        <v>45</v>
      </c>
      <c r="O241" s="19">
        <v>15</v>
      </c>
      <c r="P241" s="19">
        <v>612</v>
      </c>
      <c r="Q241" s="19">
        <v>3</v>
      </c>
      <c r="R241" s="19" t="s">
        <v>34</v>
      </c>
      <c r="S241" s="19" t="s">
        <v>115</v>
      </c>
      <c r="T241" s="19" t="s">
        <v>62</v>
      </c>
      <c r="U241" s="21" t="s">
        <v>1167</v>
      </c>
      <c r="V241" s="19" t="s">
        <v>69</v>
      </c>
      <c r="W241" s="19">
        <f t="shared" ca="1" si="6"/>
        <v>29</v>
      </c>
      <c r="X241" s="19">
        <f t="shared" si="7"/>
        <v>9</v>
      </c>
      <c r="Y241" s="19" t="str" cm="1">
        <f t="array" ref="Y241">_xlfn.IFS(ISERROR(X241), "Pending", X241&lt;=5, "On Time", X241&gt;5, "Delayed")</f>
        <v>Delayed</v>
      </c>
    </row>
    <row r="242" spans="1:25" x14ac:dyDescent="0.3">
      <c r="A242" s="15" t="s">
        <v>1168</v>
      </c>
      <c r="B242" s="15" t="s">
        <v>168</v>
      </c>
      <c r="C242" s="15" t="s">
        <v>169</v>
      </c>
      <c r="D242" s="16">
        <v>45741</v>
      </c>
      <c r="E242" s="16">
        <v>45743</v>
      </c>
      <c r="F242" s="15" t="s">
        <v>361</v>
      </c>
      <c r="G242" s="15" t="s">
        <v>28</v>
      </c>
      <c r="H242" s="16">
        <v>27997</v>
      </c>
      <c r="I242" s="15" t="s">
        <v>114</v>
      </c>
      <c r="J242" s="15" t="s">
        <v>106</v>
      </c>
      <c r="K242" s="15" t="s">
        <v>32</v>
      </c>
      <c r="L242" s="15" t="s">
        <v>174</v>
      </c>
      <c r="M242" s="15">
        <v>16</v>
      </c>
      <c r="N242" s="15">
        <v>8500</v>
      </c>
      <c r="O242" s="15">
        <v>15</v>
      </c>
      <c r="P242" s="15">
        <v>115600</v>
      </c>
      <c r="Q242" s="15">
        <v>4</v>
      </c>
      <c r="R242" s="15" t="s">
        <v>48</v>
      </c>
      <c r="S242" s="15" t="s">
        <v>35</v>
      </c>
      <c r="T242" s="15" t="s">
        <v>175</v>
      </c>
      <c r="U242" s="18" t="s">
        <v>1170</v>
      </c>
      <c r="V242" s="15" t="s">
        <v>69</v>
      </c>
      <c r="W242" s="15">
        <f t="shared" ca="1" si="6"/>
        <v>50</v>
      </c>
      <c r="X242" s="15">
        <f t="shared" si="7"/>
        <v>2</v>
      </c>
      <c r="Y242" s="15" t="str" cm="1">
        <f t="array" ref="Y242">_xlfn.IFS(ISERROR(X242), "Pending", X242&lt;=5, "On Time", X242&gt;5, "Delayed")</f>
        <v>On Time</v>
      </c>
    </row>
    <row r="243" spans="1:25" x14ac:dyDescent="0.3">
      <c r="A243" s="19" t="s">
        <v>1171</v>
      </c>
      <c r="B243" s="19" t="s">
        <v>168</v>
      </c>
      <c r="C243" s="19" t="s">
        <v>222</v>
      </c>
      <c r="D243" s="20">
        <v>45901</v>
      </c>
      <c r="E243" s="20">
        <v>45912</v>
      </c>
      <c r="F243" s="19" t="s">
        <v>361</v>
      </c>
      <c r="G243" s="19" t="s">
        <v>28</v>
      </c>
      <c r="H243" s="20">
        <v>35159</v>
      </c>
      <c r="I243" s="19" t="s">
        <v>294</v>
      </c>
      <c r="J243" s="19" t="s">
        <v>295</v>
      </c>
      <c r="K243" s="19" t="s">
        <v>122</v>
      </c>
      <c r="L243" s="19" t="s">
        <v>227</v>
      </c>
      <c r="M243" s="19">
        <v>15</v>
      </c>
      <c r="N243" s="19">
        <v>20</v>
      </c>
      <c r="O243" s="19">
        <v>20</v>
      </c>
      <c r="P243" s="19">
        <v>240</v>
      </c>
      <c r="Q243" s="19">
        <v>3</v>
      </c>
      <c r="R243" s="19" t="s">
        <v>48</v>
      </c>
      <c r="S243" s="19" t="s">
        <v>49</v>
      </c>
      <c r="T243" s="19" t="s">
        <v>175</v>
      </c>
      <c r="U243" s="21" t="s">
        <v>1174</v>
      </c>
      <c r="V243" s="19" t="s">
        <v>69</v>
      </c>
      <c r="W243" s="19">
        <f t="shared" ca="1" si="6"/>
        <v>30</v>
      </c>
      <c r="X243" s="19">
        <f t="shared" si="7"/>
        <v>11</v>
      </c>
      <c r="Y243" s="19" t="str" cm="1">
        <f t="array" ref="Y243">_xlfn.IFS(ISERROR(X243), "Pending", X243&lt;=5, "On Time", X243&gt;5, "Delayed")</f>
        <v>Delayed</v>
      </c>
    </row>
    <row r="244" spans="1:25" x14ac:dyDescent="0.3">
      <c r="A244" s="15" t="s">
        <v>1175</v>
      </c>
      <c r="B244" s="15" t="s">
        <v>83</v>
      </c>
      <c r="C244" s="15" t="s">
        <v>118</v>
      </c>
      <c r="D244" s="16">
        <v>46031</v>
      </c>
      <c r="E244" s="16">
        <v>46035</v>
      </c>
      <c r="F244" s="15" t="s">
        <v>180</v>
      </c>
      <c r="G244" s="15" t="s">
        <v>76</v>
      </c>
      <c r="H244" s="16">
        <v>37144</v>
      </c>
      <c r="I244" s="15" t="s">
        <v>59</v>
      </c>
      <c r="J244" s="15" t="s">
        <v>31</v>
      </c>
      <c r="K244" s="15" t="s">
        <v>122</v>
      </c>
      <c r="L244" s="15" t="s">
        <v>123</v>
      </c>
      <c r="M244" s="15">
        <v>14</v>
      </c>
      <c r="N244" s="15">
        <v>60</v>
      </c>
      <c r="O244" s="15">
        <v>5</v>
      </c>
      <c r="P244" s="15">
        <v>798</v>
      </c>
      <c r="Q244" s="15">
        <v>4</v>
      </c>
      <c r="R244" s="15" t="s">
        <v>34</v>
      </c>
      <c r="S244" s="15" t="s">
        <v>49</v>
      </c>
      <c r="T244" s="15" t="s">
        <v>89</v>
      </c>
      <c r="U244" s="18" t="s">
        <v>1178</v>
      </c>
      <c r="V244" s="15" t="s">
        <v>38</v>
      </c>
      <c r="W244" s="15">
        <f t="shared" ca="1" si="6"/>
        <v>24</v>
      </c>
      <c r="X244" s="15">
        <f t="shared" si="7"/>
        <v>4</v>
      </c>
      <c r="Y244" s="15" t="str" cm="1">
        <f t="array" ref="Y244">_xlfn.IFS(ISERROR(X244), "Pending", X244&lt;=5, "On Time", X244&gt;5, "Delayed")</f>
        <v>On Time</v>
      </c>
    </row>
    <row r="245" spans="1:25" x14ac:dyDescent="0.3">
      <c r="A245" s="19" t="s">
        <v>1179</v>
      </c>
      <c r="B245" s="19" t="s">
        <v>53</v>
      </c>
      <c r="C245" s="19" t="s">
        <v>72</v>
      </c>
      <c r="D245" s="20">
        <v>46158</v>
      </c>
      <c r="E245" s="20">
        <v>46161</v>
      </c>
      <c r="F245" s="19" t="s">
        <v>163</v>
      </c>
      <c r="G245" s="19" t="s">
        <v>28</v>
      </c>
      <c r="H245" s="20">
        <v>35007</v>
      </c>
      <c r="I245" s="19" t="s">
        <v>105</v>
      </c>
      <c r="J245" s="19" t="s">
        <v>106</v>
      </c>
      <c r="K245" s="19" t="s">
        <v>46</v>
      </c>
      <c r="L245" s="19" t="s">
        <v>78</v>
      </c>
      <c r="M245" s="19">
        <v>19</v>
      </c>
      <c r="N245" s="19">
        <v>1200</v>
      </c>
      <c r="O245" s="19">
        <v>20</v>
      </c>
      <c r="P245" s="19">
        <v>18240</v>
      </c>
      <c r="Q245" s="19">
        <v>2</v>
      </c>
      <c r="R245" s="19" t="s">
        <v>34</v>
      </c>
      <c r="S245" s="19" t="s">
        <v>115</v>
      </c>
      <c r="T245" s="19" t="s">
        <v>62</v>
      </c>
      <c r="U245" s="21" t="s">
        <v>1183</v>
      </c>
      <c r="V245" s="19" t="s">
        <v>69</v>
      </c>
      <c r="W245" s="19">
        <f t="shared" ca="1" si="6"/>
        <v>30</v>
      </c>
      <c r="X245" s="19">
        <f t="shared" si="7"/>
        <v>3</v>
      </c>
      <c r="Y245" s="19" t="str" cm="1">
        <f t="array" ref="Y245">_xlfn.IFS(ISERROR(X245), "Pending", X245&lt;=5, "On Time", X245&gt;5, "Delayed")</f>
        <v>On Time</v>
      </c>
    </row>
    <row r="246" spans="1:25" x14ac:dyDescent="0.3">
      <c r="A246" s="15" t="s">
        <v>1184</v>
      </c>
      <c r="B246" s="15" t="s">
        <v>23</v>
      </c>
      <c r="C246" s="15" t="s">
        <v>259</v>
      </c>
      <c r="D246" s="16">
        <v>45943</v>
      </c>
      <c r="E246" s="16">
        <v>45944</v>
      </c>
      <c r="F246" s="15" t="s">
        <v>27</v>
      </c>
      <c r="G246" s="15" t="s">
        <v>28</v>
      </c>
      <c r="H246" s="16">
        <v>36621</v>
      </c>
      <c r="I246" s="15" t="s">
        <v>59</v>
      </c>
      <c r="J246" s="15" t="s">
        <v>31</v>
      </c>
      <c r="K246" s="15" t="s">
        <v>122</v>
      </c>
      <c r="L246" s="15" t="s">
        <v>263</v>
      </c>
      <c r="M246" s="15">
        <v>5</v>
      </c>
      <c r="N246" s="15">
        <v>45</v>
      </c>
      <c r="O246" s="15">
        <v>15</v>
      </c>
      <c r="P246" s="15">
        <v>191.25</v>
      </c>
      <c r="Q246" s="15">
        <v>2</v>
      </c>
      <c r="R246" s="15" t="s">
        <v>34</v>
      </c>
      <c r="S246" s="15" t="s">
        <v>61</v>
      </c>
      <c r="T246" s="15" t="s">
        <v>50</v>
      </c>
      <c r="U246" s="18" t="s">
        <v>1186</v>
      </c>
      <c r="V246" s="15" t="s">
        <v>69</v>
      </c>
      <c r="W246" s="15">
        <f t="shared" ca="1" si="6"/>
        <v>26</v>
      </c>
      <c r="X246" s="15">
        <f t="shared" si="7"/>
        <v>1</v>
      </c>
      <c r="Y246" s="15" t="str" cm="1">
        <f t="array" ref="Y246">_xlfn.IFS(ISERROR(X246), "Pending", X246&lt;=5, "On Time", X246&gt;5, "Delayed")</f>
        <v>On Time</v>
      </c>
    </row>
    <row r="247" spans="1:25" x14ac:dyDescent="0.3">
      <c r="A247" s="19" t="s">
        <v>1187</v>
      </c>
      <c r="B247" s="19" t="s">
        <v>327</v>
      </c>
      <c r="C247" s="19" t="s">
        <v>184</v>
      </c>
      <c r="D247" s="20">
        <v>45802</v>
      </c>
      <c r="E247" s="20">
        <v>45809</v>
      </c>
      <c r="F247" s="19" t="s">
        <v>394</v>
      </c>
      <c r="G247" s="19" t="s">
        <v>76</v>
      </c>
      <c r="H247" s="20">
        <v>37259</v>
      </c>
      <c r="I247" s="19" t="s">
        <v>30</v>
      </c>
      <c r="J247" s="19" t="s">
        <v>31</v>
      </c>
      <c r="K247" s="19" t="s">
        <v>46</v>
      </c>
      <c r="L247" s="19" t="s">
        <v>189</v>
      </c>
      <c r="M247" s="19">
        <v>19</v>
      </c>
      <c r="N247" s="19">
        <v>700</v>
      </c>
      <c r="O247" s="19">
        <v>5</v>
      </c>
      <c r="P247" s="19">
        <v>12635</v>
      </c>
      <c r="Q247" s="19">
        <v>5</v>
      </c>
      <c r="R247" s="19" t="s">
        <v>88</v>
      </c>
      <c r="S247" s="19" t="s">
        <v>151</v>
      </c>
      <c r="T247" s="19" t="s">
        <v>332</v>
      </c>
      <c r="U247" s="21" t="s">
        <v>1190</v>
      </c>
      <c r="V247" s="19" t="s">
        <v>38</v>
      </c>
      <c r="W247" s="19">
        <f t="shared" ca="1" si="6"/>
        <v>24</v>
      </c>
      <c r="X247" s="19">
        <f t="shared" si="7"/>
        <v>7</v>
      </c>
      <c r="Y247" s="19" t="str" cm="1">
        <f t="array" ref="Y247">_xlfn.IFS(ISERROR(X247), "Pending", X247&lt;=5, "On Time", X247&gt;5, "Delayed")</f>
        <v>Delayed</v>
      </c>
    </row>
    <row r="248" spans="1:25" x14ac:dyDescent="0.3">
      <c r="A248" s="15" t="s">
        <v>1191</v>
      </c>
      <c r="B248" s="15" t="s">
        <v>127</v>
      </c>
      <c r="C248" s="15" t="s">
        <v>118</v>
      </c>
      <c r="D248" s="16">
        <v>46025</v>
      </c>
      <c r="E248" s="16">
        <v>46026</v>
      </c>
      <c r="F248" s="15" t="s">
        <v>200</v>
      </c>
      <c r="G248" s="15" t="s">
        <v>76</v>
      </c>
      <c r="H248" s="16">
        <v>27541</v>
      </c>
      <c r="I248" s="15" t="s">
        <v>294</v>
      </c>
      <c r="J248" s="15" t="s">
        <v>295</v>
      </c>
      <c r="K248" s="15" t="s">
        <v>122</v>
      </c>
      <c r="L248" s="15" t="s">
        <v>123</v>
      </c>
      <c r="M248" s="15">
        <v>7</v>
      </c>
      <c r="N248" s="15">
        <v>60</v>
      </c>
      <c r="O248" s="15">
        <v>0</v>
      </c>
      <c r="P248" s="15">
        <v>420</v>
      </c>
      <c r="Q248" s="15">
        <v>4</v>
      </c>
      <c r="R248" s="15" t="s">
        <v>34</v>
      </c>
      <c r="S248" s="15" t="s">
        <v>115</v>
      </c>
      <c r="T248" s="15" t="s">
        <v>132</v>
      </c>
      <c r="U248" s="18" t="s">
        <v>1193</v>
      </c>
      <c r="V248" s="15" t="s">
        <v>64</v>
      </c>
      <c r="W248" s="15">
        <f t="shared" ca="1" si="6"/>
        <v>51</v>
      </c>
      <c r="X248" s="15">
        <f t="shared" si="7"/>
        <v>1</v>
      </c>
      <c r="Y248" s="15" t="str" cm="1">
        <f t="array" ref="Y248">_xlfn.IFS(ISERROR(X248), "Pending", X248&lt;=5, "On Time", X248&gt;5, "Delayed")</f>
        <v>On Time</v>
      </c>
    </row>
    <row r="249" spans="1:25" x14ac:dyDescent="0.3">
      <c r="A249" s="19" t="s">
        <v>1194</v>
      </c>
      <c r="B249" s="19" t="s">
        <v>71</v>
      </c>
      <c r="C249" s="19" t="s">
        <v>24</v>
      </c>
      <c r="D249" s="20">
        <v>46013</v>
      </c>
      <c r="E249" s="20">
        <v>46024</v>
      </c>
      <c r="F249" s="19" t="s">
        <v>217</v>
      </c>
      <c r="G249" s="19" t="s">
        <v>76</v>
      </c>
      <c r="H249" s="20">
        <v>32185</v>
      </c>
      <c r="I249" s="19" t="s">
        <v>105</v>
      </c>
      <c r="J249" s="19" t="s">
        <v>106</v>
      </c>
      <c r="K249" s="19" t="s">
        <v>32</v>
      </c>
      <c r="L249" s="19" t="s">
        <v>33</v>
      </c>
      <c r="M249" s="19">
        <v>13</v>
      </c>
      <c r="N249" s="19">
        <v>2200</v>
      </c>
      <c r="O249" s="19">
        <v>10</v>
      </c>
      <c r="P249" s="19">
        <v>25740</v>
      </c>
      <c r="Q249" s="19">
        <v>1</v>
      </c>
      <c r="R249" s="19" t="s">
        <v>79</v>
      </c>
      <c r="S249" s="19" t="s">
        <v>151</v>
      </c>
      <c r="T249" s="19" t="s">
        <v>80</v>
      </c>
      <c r="U249" s="21" t="s">
        <v>1196</v>
      </c>
      <c r="V249" s="19" t="s">
        <v>38</v>
      </c>
      <c r="W249" s="19">
        <f t="shared" ca="1" si="6"/>
        <v>38</v>
      </c>
      <c r="X249" s="19">
        <f t="shared" si="7"/>
        <v>11</v>
      </c>
      <c r="Y249" s="19" t="str" cm="1">
        <f t="array" ref="Y249">_xlfn.IFS(ISERROR(X249), "Pending", X249&lt;=5, "On Time", X249&gt;5, "Delayed")</f>
        <v>Delayed</v>
      </c>
    </row>
    <row r="250" spans="1:25" x14ac:dyDescent="0.3">
      <c r="A250" s="15" t="s">
        <v>1197</v>
      </c>
      <c r="B250" s="15" t="s">
        <v>71</v>
      </c>
      <c r="C250" s="15" t="s">
        <v>24</v>
      </c>
      <c r="D250" s="16">
        <v>46019</v>
      </c>
      <c r="E250" s="16">
        <v>46027</v>
      </c>
      <c r="F250" s="15" t="s">
        <v>217</v>
      </c>
      <c r="G250" s="15" t="s">
        <v>76</v>
      </c>
      <c r="H250" s="16">
        <v>30845</v>
      </c>
      <c r="I250" s="15" t="s">
        <v>59</v>
      </c>
      <c r="J250" s="15" t="s">
        <v>31</v>
      </c>
      <c r="K250" s="15" t="s">
        <v>32</v>
      </c>
      <c r="L250" s="15" t="s">
        <v>33</v>
      </c>
      <c r="M250" s="15">
        <v>9</v>
      </c>
      <c r="N250" s="15">
        <v>2200</v>
      </c>
      <c r="O250" s="15">
        <v>10</v>
      </c>
      <c r="P250" s="15">
        <v>17820</v>
      </c>
      <c r="Q250" s="15">
        <v>2</v>
      </c>
      <c r="R250" s="15" t="s">
        <v>1201</v>
      </c>
      <c r="S250" s="15" t="s">
        <v>61</v>
      </c>
      <c r="T250" s="15" t="s">
        <v>80</v>
      </c>
      <c r="U250" s="18" t="s">
        <v>1202</v>
      </c>
      <c r="V250" s="15" t="s">
        <v>69</v>
      </c>
      <c r="W250" s="15">
        <f t="shared" ca="1" si="6"/>
        <v>42</v>
      </c>
      <c r="X250" s="15">
        <f t="shared" si="7"/>
        <v>8</v>
      </c>
      <c r="Y250" s="15" t="str" cm="1">
        <f t="array" ref="Y250">_xlfn.IFS(ISERROR(X250), "Pending", X250&lt;=5, "On Time", X250&gt;5, "Delayed")</f>
        <v>Delayed</v>
      </c>
    </row>
    <row r="251" spans="1:25" x14ac:dyDescent="0.3">
      <c r="A251" s="19" t="s">
        <v>1203</v>
      </c>
      <c r="B251" s="19" t="s">
        <v>327</v>
      </c>
      <c r="C251" s="19" t="s">
        <v>169</v>
      </c>
      <c r="D251" s="20">
        <v>45792</v>
      </c>
      <c r="E251" s="20">
        <v>45794</v>
      </c>
      <c r="F251" s="19" t="s">
        <v>394</v>
      </c>
      <c r="G251" s="19" t="s">
        <v>76</v>
      </c>
      <c r="H251" s="20">
        <v>32878</v>
      </c>
      <c r="I251" s="19" t="s">
        <v>59</v>
      </c>
      <c r="J251" s="19" t="s">
        <v>31</v>
      </c>
      <c r="K251" s="19" t="s">
        <v>32</v>
      </c>
      <c r="L251" s="19" t="s">
        <v>174</v>
      </c>
      <c r="M251" s="19">
        <v>6</v>
      </c>
      <c r="N251" s="19">
        <v>8500</v>
      </c>
      <c r="O251" s="19">
        <v>15</v>
      </c>
      <c r="P251" s="19">
        <v>43350</v>
      </c>
      <c r="Q251" s="19">
        <v>2</v>
      </c>
      <c r="R251" s="19" t="s">
        <v>34</v>
      </c>
      <c r="S251" s="19" t="s">
        <v>151</v>
      </c>
      <c r="T251" s="19" t="s">
        <v>332</v>
      </c>
      <c r="U251" s="21" t="s">
        <v>1206</v>
      </c>
      <c r="V251" s="19" t="s">
        <v>69</v>
      </c>
      <c r="W251" s="19">
        <f t="shared" ca="1" si="6"/>
        <v>36</v>
      </c>
      <c r="X251" s="19">
        <f t="shared" si="7"/>
        <v>2</v>
      </c>
      <c r="Y251" s="19" t="str" cm="1">
        <f t="array" ref="Y251">_xlfn.IFS(ISERROR(X251), "Pending", X251&lt;=5, "On Time", X251&gt;5, "Delayed")</f>
        <v>On Time</v>
      </c>
    </row>
    <row r="252" spans="1:25" x14ac:dyDescent="0.3">
      <c r="A252" s="15" t="s">
        <v>1207</v>
      </c>
      <c r="B252" s="15" t="s">
        <v>221</v>
      </c>
      <c r="C252" s="15" t="s">
        <v>24</v>
      </c>
      <c r="D252" s="16">
        <v>46070</v>
      </c>
      <c r="E252" s="16">
        <v>46078</v>
      </c>
      <c r="F252" s="15" t="s">
        <v>225</v>
      </c>
      <c r="G252" s="15" t="s">
        <v>76</v>
      </c>
      <c r="H252" s="16">
        <v>32388</v>
      </c>
      <c r="I252" s="15" t="s">
        <v>44</v>
      </c>
      <c r="J252" s="15" t="s">
        <v>45</v>
      </c>
      <c r="K252" s="15" t="s">
        <v>32</v>
      </c>
      <c r="L252" s="15" t="s">
        <v>33</v>
      </c>
      <c r="M252" s="15">
        <v>9</v>
      </c>
      <c r="N252" s="15">
        <v>2200</v>
      </c>
      <c r="O252" s="15">
        <v>10</v>
      </c>
      <c r="P252" s="15">
        <v>17820</v>
      </c>
      <c r="Q252" s="15">
        <v>3</v>
      </c>
      <c r="R252" s="15" t="s">
        <v>79</v>
      </c>
      <c r="S252" s="15" t="s">
        <v>35</v>
      </c>
      <c r="T252" s="15" t="s">
        <v>228</v>
      </c>
      <c r="U252" s="18" t="s">
        <v>1209</v>
      </c>
      <c r="V252" s="15" t="s">
        <v>64</v>
      </c>
      <c r="W252" s="15">
        <f t="shared" ca="1" si="6"/>
        <v>38</v>
      </c>
      <c r="X252" s="15">
        <f t="shared" si="7"/>
        <v>8</v>
      </c>
      <c r="Y252" s="15" t="str" cm="1">
        <f t="array" ref="Y252">_xlfn.IFS(ISERROR(X252), "Pending", X252&lt;=5, "On Time", X252&gt;5, "Delayed")</f>
        <v>Delayed</v>
      </c>
    </row>
    <row r="253" spans="1:25" x14ac:dyDescent="0.3">
      <c r="A253" s="19" t="s">
        <v>1210</v>
      </c>
      <c r="B253" s="19" t="s">
        <v>23</v>
      </c>
      <c r="C253" s="19" t="s">
        <v>169</v>
      </c>
      <c r="D253" s="20">
        <v>45739</v>
      </c>
      <c r="E253" s="20">
        <v>45742</v>
      </c>
      <c r="F253" s="19" t="s">
        <v>27</v>
      </c>
      <c r="G253" s="19" t="s">
        <v>28</v>
      </c>
      <c r="H253" s="20">
        <v>30038</v>
      </c>
      <c r="I253" s="19" t="s">
        <v>294</v>
      </c>
      <c r="J253" s="19" t="s">
        <v>295</v>
      </c>
      <c r="K253" s="19" t="s">
        <v>32</v>
      </c>
      <c r="L253" s="19" t="s">
        <v>174</v>
      </c>
      <c r="M253" s="19">
        <v>16</v>
      </c>
      <c r="N253" s="19">
        <v>8500</v>
      </c>
      <c r="O253" s="19">
        <v>0</v>
      </c>
      <c r="P253" s="19">
        <v>136000</v>
      </c>
      <c r="Q253" s="19">
        <v>5</v>
      </c>
      <c r="R253" s="19" t="s">
        <v>88</v>
      </c>
      <c r="S253" s="19" t="s">
        <v>115</v>
      </c>
      <c r="T253" s="19" t="s">
        <v>50</v>
      </c>
      <c r="U253" s="21" t="s">
        <v>1212</v>
      </c>
      <c r="V253" s="19" t="s">
        <v>69</v>
      </c>
      <c r="W253" s="19">
        <f t="shared" ca="1" si="6"/>
        <v>44</v>
      </c>
      <c r="X253" s="19">
        <f t="shared" si="7"/>
        <v>3</v>
      </c>
      <c r="Y253" s="19" t="str" cm="1">
        <f t="array" ref="Y253">_xlfn.IFS(ISERROR(X253), "Pending", X253&lt;=5, "On Time", X253&gt;5, "Delayed")</f>
        <v>On Time</v>
      </c>
    </row>
    <row r="254" spans="1:25" x14ac:dyDescent="0.3">
      <c r="A254" s="15" t="s">
        <v>1213</v>
      </c>
      <c r="B254" s="15" t="s">
        <v>327</v>
      </c>
      <c r="C254" s="15" t="s">
        <v>72</v>
      </c>
      <c r="D254" s="16">
        <v>46006</v>
      </c>
      <c r="E254" s="16">
        <v>46007</v>
      </c>
      <c r="F254" s="15" t="s">
        <v>394</v>
      </c>
      <c r="G254" s="15" t="s">
        <v>76</v>
      </c>
      <c r="H254" s="16">
        <v>28122</v>
      </c>
      <c r="I254" s="15" t="s">
        <v>44</v>
      </c>
      <c r="J254" s="15" t="s">
        <v>45</v>
      </c>
      <c r="K254" s="15" t="s">
        <v>46</v>
      </c>
      <c r="L254" s="15" t="s">
        <v>78</v>
      </c>
      <c r="M254" s="15">
        <v>10</v>
      </c>
      <c r="N254" s="15">
        <v>1200</v>
      </c>
      <c r="O254" s="15">
        <v>15</v>
      </c>
      <c r="P254" s="15">
        <v>10200</v>
      </c>
      <c r="Q254" s="15">
        <v>5</v>
      </c>
      <c r="R254" s="15" t="s">
        <v>34</v>
      </c>
      <c r="S254" s="15" t="s">
        <v>49</v>
      </c>
      <c r="T254" s="15" t="s">
        <v>332</v>
      </c>
      <c r="U254" s="18" t="s">
        <v>1216</v>
      </c>
      <c r="V254" s="15" t="s">
        <v>38</v>
      </c>
      <c r="W254" s="15">
        <f t="shared" ca="1" si="6"/>
        <v>49</v>
      </c>
      <c r="X254" s="15">
        <f t="shared" si="7"/>
        <v>1</v>
      </c>
      <c r="Y254" s="15" t="str" cm="1">
        <f t="array" ref="Y254">_xlfn.IFS(ISERROR(X254), "Pending", X254&lt;=5, "On Time", X254&gt;5, "Delayed")</f>
        <v>On Time</v>
      </c>
    </row>
    <row r="255" spans="1:25" x14ac:dyDescent="0.3">
      <c r="A255" s="19" t="s">
        <v>1217</v>
      </c>
      <c r="B255" s="19" t="s">
        <v>127</v>
      </c>
      <c r="C255" s="19" t="s">
        <v>40</v>
      </c>
      <c r="D255" s="20">
        <v>45721</v>
      </c>
      <c r="E255" s="20">
        <v>45731</v>
      </c>
      <c r="F255" s="19" t="s">
        <v>200</v>
      </c>
      <c r="G255" s="19" t="s">
        <v>76</v>
      </c>
      <c r="H255" s="20">
        <v>37688</v>
      </c>
      <c r="I255" s="19" t="s">
        <v>294</v>
      </c>
      <c r="J255" s="19" t="s">
        <v>295</v>
      </c>
      <c r="K255" s="19" t="s">
        <v>46</v>
      </c>
      <c r="L255" s="19" t="s">
        <v>47</v>
      </c>
      <c r="M255" s="19">
        <v>7</v>
      </c>
      <c r="N255" s="19">
        <v>12000</v>
      </c>
      <c r="O255" s="19">
        <v>0</v>
      </c>
      <c r="P255" s="19">
        <v>84000</v>
      </c>
      <c r="Q255" s="19">
        <v>1</v>
      </c>
      <c r="R255" s="19" t="s">
        <v>88</v>
      </c>
      <c r="S255" s="19" t="s">
        <v>151</v>
      </c>
      <c r="T255" s="19" t="s">
        <v>132</v>
      </c>
      <c r="U255" s="21" t="s">
        <v>1219</v>
      </c>
      <c r="V255" s="19" t="s">
        <v>64</v>
      </c>
      <c r="W255" s="19">
        <f t="shared" ca="1" si="6"/>
        <v>23</v>
      </c>
      <c r="X255" s="19">
        <f t="shared" si="7"/>
        <v>10</v>
      </c>
      <c r="Y255" s="19" t="str" cm="1">
        <f t="array" ref="Y255">_xlfn.IFS(ISERROR(X255), "Pending", X255&lt;=5, "On Time", X255&gt;5, "Delayed")</f>
        <v>Delayed</v>
      </c>
    </row>
    <row r="256" spans="1:25" x14ac:dyDescent="0.3">
      <c r="A256" s="15" t="s">
        <v>1220</v>
      </c>
      <c r="B256" s="15" t="s">
        <v>221</v>
      </c>
      <c r="C256" s="15" t="s">
        <v>40</v>
      </c>
      <c r="D256" s="16">
        <v>45919</v>
      </c>
      <c r="E256" s="16">
        <v>45931</v>
      </c>
      <c r="F256" s="15" t="s">
        <v>225</v>
      </c>
      <c r="G256" s="15" t="s">
        <v>76</v>
      </c>
      <c r="H256" s="16">
        <v>31568</v>
      </c>
      <c r="I256" s="15" t="s">
        <v>114</v>
      </c>
      <c r="J256" s="15" t="s">
        <v>106</v>
      </c>
      <c r="K256" s="15" t="s">
        <v>46</v>
      </c>
      <c r="L256" s="15" t="s">
        <v>47</v>
      </c>
      <c r="M256" s="15">
        <v>3</v>
      </c>
      <c r="N256" s="15">
        <v>12000</v>
      </c>
      <c r="O256" s="15">
        <v>10</v>
      </c>
      <c r="P256" s="15">
        <v>32400</v>
      </c>
      <c r="Q256" s="15">
        <v>4</v>
      </c>
      <c r="R256" s="15" t="s">
        <v>79</v>
      </c>
      <c r="S256" s="15" t="s">
        <v>151</v>
      </c>
      <c r="T256" s="15" t="s">
        <v>228</v>
      </c>
      <c r="U256" s="18" t="s">
        <v>1223</v>
      </c>
      <c r="V256" s="15" t="s">
        <v>38</v>
      </c>
      <c r="W256" s="15">
        <f t="shared" ca="1" si="6"/>
        <v>40</v>
      </c>
      <c r="X256" s="15">
        <f t="shared" si="7"/>
        <v>12</v>
      </c>
      <c r="Y256" s="15" t="str" cm="1">
        <f t="array" ref="Y256">_xlfn.IFS(ISERROR(X256), "Pending", X256&lt;=5, "On Time", X256&gt;5, "Delayed")</f>
        <v>Delayed</v>
      </c>
    </row>
    <row r="257" spans="1:25" x14ac:dyDescent="0.3">
      <c r="A257" s="19" t="s">
        <v>1224</v>
      </c>
      <c r="B257" s="19" t="s">
        <v>221</v>
      </c>
      <c r="C257" s="19" t="s">
        <v>40</v>
      </c>
      <c r="D257" s="20">
        <v>45964</v>
      </c>
      <c r="E257" s="20">
        <v>45970</v>
      </c>
      <c r="F257" s="19" t="s">
        <v>225</v>
      </c>
      <c r="G257" s="19" t="s">
        <v>76</v>
      </c>
      <c r="H257" s="20">
        <v>32600</v>
      </c>
      <c r="I257" s="19" t="s">
        <v>30</v>
      </c>
      <c r="J257" s="19" t="s">
        <v>31</v>
      </c>
      <c r="K257" s="19" t="s">
        <v>46</v>
      </c>
      <c r="L257" s="19" t="s">
        <v>47</v>
      </c>
      <c r="M257" s="19">
        <v>4</v>
      </c>
      <c r="N257" s="19">
        <v>12000</v>
      </c>
      <c r="O257" s="19">
        <v>15</v>
      </c>
      <c r="P257" s="19">
        <v>40800</v>
      </c>
      <c r="Q257" s="19">
        <v>3</v>
      </c>
      <c r="R257" s="19" t="s">
        <v>79</v>
      </c>
      <c r="S257" s="19" t="s">
        <v>35</v>
      </c>
      <c r="T257" s="19" t="s">
        <v>228</v>
      </c>
      <c r="U257" s="21" t="s">
        <v>1227</v>
      </c>
      <c r="V257" s="19" t="s">
        <v>64</v>
      </c>
      <c r="W257" s="19">
        <f t="shared" ca="1" si="6"/>
        <v>37</v>
      </c>
      <c r="X257" s="19">
        <f t="shared" si="7"/>
        <v>6</v>
      </c>
      <c r="Y257" s="19" t="str" cm="1">
        <f t="array" ref="Y257">_xlfn.IFS(ISERROR(X257), "Pending", X257&lt;=5, "On Time", X257&gt;5, "Delayed")</f>
        <v>Delayed</v>
      </c>
    </row>
    <row r="258" spans="1:25" x14ac:dyDescent="0.3">
      <c r="A258" s="15" t="s">
        <v>1228</v>
      </c>
      <c r="B258" s="15" t="s">
        <v>127</v>
      </c>
      <c r="C258" s="15" t="s">
        <v>40</v>
      </c>
      <c r="D258" s="16">
        <v>45824</v>
      </c>
      <c r="E258" s="16">
        <v>45826</v>
      </c>
      <c r="F258" s="15" t="s">
        <v>200</v>
      </c>
      <c r="G258" s="15" t="s">
        <v>76</v>
      </c>
      <c r="H258" s="16">
        <v>29435</v>
      </c>
      <c r="I258" s="15" t="s">
        <v>30</v>
      </c>
      <c r="J258" s="15" t="s">
        <v>31</v>
      </c>
      <c r="K258" s="15" t="s">
        <v>46</v>
      </c>
      <c r="L258" s="15" t="s">
        <v>47</v>
      </c>
      <c r="M258" s="15">
        <v>13</v>
      </c>
      <c r="N258" s="15">
        <v>12000</v>
      </c>
      <c r="O258" s="15">
        <v>10</v>
      </c>
      <c r="P258" s="15">
        <v>140400</v>
      </c>
      <c r="Q258" s="15">
        <v>2</v>
      </c>
      <c r="R258" s="15" t="s">
        <v>34</v>
      </c>
      <c r="S258" s="15" t="s">
        <v>151</v>
      </c>
      <c r="T258" s="15" t="s">
        <v>132</v>
      </c>
      <c r="U258" s="18" t="s">
        <v>1230</v>
      </c>
      <c r="V258" s="15" t="s">
        <v>69</v>
      </c>
      <c r="W258" s="15">
        <f t="shared" ca="1" si="6"/>
        <v>46</v>
      </c>
      <c r="X258" s="15">
        <f t="shared" si="7"/>
        <v>2</v>
      </c>
      <c r="Y258" s="15" t="str" cm="1">
        <f t="array" ref="Y258">_xlfn.IFS(ISERROR(X258), "Pending", X258&lt;=5, "On Time", X258&gt;5, "Delayed")</f>
        <v>On Time</v>
      </c>
    </row>
    <row r="259" spans="1:25" x14ac:dyDescent="0.3">
      <c r="A259" s="19" t="s">
        <v>1231</v>
      </c>
      <c r="B259" s="19" t="s">
        <v>23</v>
      </c>
      <c r="C259" s="19" t="s">
        <v>92</v>
      </c>
      <c r="D259" s="20">
        <v>45812</v>
      </c>
      <c r="E259" s="20">
        <v>45819</v>
      </c>
      <c r="F259" s="19" t="s">
        <v>27</v>
      </c>
      <c r="G259" s="19" t="s">
        <v>28</v>
      </c>
      <c r="H259" s="20">
        <v>31060</v>
      </c>
      <c r="I259" s="19" t="s">
        <v>59</v>
      </c>
      <c r="J259" s="19" t="s">
        <v>31</v>
      </c>
      <c r="K259" s="19" t="s">
        <v>32</v>
      </c>
      <c r="L259" s="19" t="s">
        <v>97</v>
      </c>
      <c r="M259" s="19">
        <v>19</v>
      </c>
      <c r="N259" s="19">
        <v>3500</v>
      </c>
      <c r="O259" s="19">
        <v>20</v>
      </c>
      <c r="P259" s="19">
        <v>53200</v>
      </c>
      <c r="Q259" s="19">
        <v>1</v>
      </c>
      <c r="R259" s="19" t="s">
        <v>34</v>
      </c>
      <c r="S259" s="19" t="s">
        <v>61</v>
      </c>
      <c r="T259" s="19" t="s">
        <v>50</v>
      </c>
      <c r="U259" s="21" t="s">
        <v>1233</v>
      </c>
      <c r="V259" s="19" t="s">
        <v>69</v>
      </c>
      <c r="W259" s="19">
        <f t="shared" ref="W259:W322" ca="1" si="8">DATEDIF(H259,TODAY(),"Y")</f>
        <v>41</v>
      </c>
      <c r="X259" s="19">
        <f t="shared" ref="X259:X322" si="9">DATEDIF(D259,E259,"D")</f>
        <v>7</v>
      </c>
      <c r="Y259" s="19" t="str" cm="1">
        <f t="array" ref="Y259">_xlfn.IFS(ISERROR(X259), "Pending", X259&lt;=5, "On Time", X259&gt;5, "Delayed")</f>
        <v>Delayed</v>
      </c>
    </row>
    <row r="260" spans="1:25" x14ac:dyDescent="0.3">
      <c r="A260" s="15" t="s">
        <v>1234</v>
      </c>
      <c r="B260" s="15" t="s">
        <v>23</v>
      </c>
      <c r="C260" s="15" t="s">
        <v>24</v>
      </c>
      <c r="D260" s="16">
        <v>45695</v>
      </c>
      <c r="E260" s="16">
        <v>45700</v>
      </c>
      <c r="F260" s="15" t="s">
        <v>27</v>
      </c>
      <c r="G260" s="15" t="s">
        <v>28</v>
      </c>
      <c r="H260" s="16">
        <v>29060</v>
      </c>
      <c r="I260" s="15" t="s">
        <v>105</v>
      </c>
      <c r="J260" s="15" t="s">
        <v>106</v>
      </c>
      <c r="K260" s="15" t="s">
        <v>32</v>
      </c>
      <c r="L260" s="15" t="s">
        <v>33</v>
      </c>
      <c r="M260" s="15">
        <v>7</v>
      </c>
      <c r="N260" s="15">
        <v>2200</v>
      </c>
      <c r="O260" s="15">
        <v>5</v>
      </c>
      <c r="P260" s="15">
        <v>14630</v>
      </c>
      <c r="Q260" s="15">
        <v>3</v>
      </c>
      <c r="R260" s="15" t="s">
        <v>88</v>
      </c>
      <c r="S260" s="15" t="s">
        <v>61</v>
      </c>
      <c r="T260" s="15" t="s">
        <v>50</v>
      </c>
      <c r="U260" s="18" t="s">
        <v>1236</v>
      </c>
      <c r="V260" s="15" t="s">
        <v>69</v>
      </c>
      <c r="W260" s="15">
        <f t="shared" ca="1" si="8"/>
        <v>47</v>
      </c>
      <c r="X260" s="15">
        <f t="shared" si="9"/>
        <v>5</v>
      </c>
      <c r="Y260" s="15" t="str" cm="1">
        <f t="array" ref="Y260">_xlfn.IFS(ISERROR(X260), "Pending", X260&lt;=5, "On Time", X260&gt;5, "Delayed")</f>
        <v>On Time</v>
      </c>
    </row>
    <row r="261" spans="1:25" x14ac:dyDescent="0.3">
      <c r="A261" s="19" t="s">
        <v>1237</v>
      </c>
      <c r="B261" s="19" t="s">
        <v>83</v>
      </c>
      <c r="C261" s="19" t="s">
        <v>184</v>
      </c>
      <c r="D261" s="20">
        <v>46151</v>
      </c>
      <c r="E261" s="20">
        <v>46155</v>
      </c>
      <c r="F261" s="19" t="s">
        <v>180</v>
      </c>
      <c r="G261" s="19" t="s">
        <v>76</v>
      </c>
      <c r="H261" s="20">
        <v>34036</v>
      </c>
      <c r="I261" s="19" t="s">
        <v>212</v>
      </c>
      <c r="J261" s="19" t="s">
        <v>45</v>
      </c>
      <c r="K261" s="19" t="s">
        <v>46</v>
      </c>
      <c r="L261" s="19" t="s">
        <v>189</v>
      </c>
      <c r="M261" s="19">
        <v>18</v>
      </c>
      <c r="N261" s="19">
        <v>700</v>
      </c>
      <c r="O261" s="19">
        <v>5</v>
      </c>
      <c r="P261" s="19">
        <v>11970</v>
      </c>
      <c r="Q261" s="19">
        <v>2</v>
      </c>
      <c r="R261" s="19" t="s">
        <v>88</v>
      </c>
      <c r="S261" s="19" t="s">
        <v>61</v>
      </c>
      <c r="T261" s="19" t="s">
        <v>89</v>
      </c>
      <c r="U261" s="21" t="s">
        <v>1240</v>
      </c>
      <c r="V261" s="19" t="s">
        <v>69</v>
      </c>
      <c r="W261" s="19">
        <f t="shared" ca="1" si="8"/>
        <v>33</v>
      </c>
      <c r="X261" s="19">
        <f t="shared" si="9"/>
        <v>4</v>
      </c>
      <c r="Y261" s="19" t="str" cm="1">
        <f t="array" ref="Y261">_xlfn.IFS(ISERROR(X261), "Pending", X261&lt;=5, "On Time", X261&gt;5, "Delayed")</f>
        <v>On Time</v>
      </c>
    </row>
    <row r="262" spans="1:25" x14ac:dyDescent="0.3">
      <c r="A262" s="15" t="s">
        <v>1241</v>
      </c>
      <c r="B262" s="15" t="s">
        <v>23</v>
      </c>
      <c r="C262" s="15" t="s">
        <v>222</v>
      </c>
      <c r="D262" s="16">
        <v>45858</v>
      </c>
      <c r="E262" s="16">
        <v>45868</v>
      </c>
      <c r="F262" s="15" t="s">
        <v>27</v>
      </c>
      <c r="G262" s="15" t="s">
        <v>28</v>
      </c>
      <c r="H262" s="16">
        <v>27629</v>
      </c>
      <c r="I262" s="15" t="s">
        <v>294</v>
      </c>
      <c r="J262" s="15" t="s">
        <v>295</v>
      </c>
      <c r="K262" s="15" t="s">
        <v>122</v>
      </c>
      <c r="L262" s="15" t="s">
        <v>227</v>
      </c>
      <c r="M262" s="15">
        <v>11</v>
      </c>
      <c r="N262" s="15">
        <v>20</v>
      </c>
      <c r="O262" s="15">
        <v>0</v>
      </c>
      <c r="P262" s="15">
        <v>220</v>
      </c>
      <c r="Q262" s="15">
        <v>2</v>
      </c>
      <c r="R262" s="15" t="s">
        <v>48</v>
      </c>
      <c r="S262" s="15" t="s">
        <v>115</v>
      </c>
      <c r="T262" s="15" t="s">
        <v>50</v>
      </c>
      <c r="U262" s="18" t="s">
        <v>1244</v>
      </c>
      <c r="V262" s="15" t="s">
        <v>69</v>
      </c>
      <c r="W262" s="15">
        <f t="shared" ca="1" si="8"/>
        <v>51</v>
      </c>
      <c r="X262" s="15">
        <f t="shared" si="9"/>
        <v>10</v>
      </c>
      <c r="Y262" s="15" t="str" cm="1">
        <f t="array" ref="Y262">_xlfn.IFS(ISERROR(X262), "Pending", X262&lt;=5, "On Time", X262&gt;5, "Delayed")</f>
        <v>Delayed</v>
      </c>
    </row>
    <row r="263" spans="1:25" x14ac:dyDescent="0.3">
      <c r="A263" s="19" t="s">
        <v>1245</v>
      </c>
      <c r="B263" s="19" t="s">
        <v>327</v>
      </c>
      <c r="C263" s="19" t="s">
        <v>40</v>
      </c>
      <c r="D263" s="20">
        <v>45716</v>
      </c>
      <c r="E263" s="20">
        <v>45723</v>
      </c>
      <c r="F263" s="19" t="s">
        <v>394</v>
      </c>
      <c r="G263" s="19" t="s">
        <v>76</v>
      </c>
      <c r="H263" s="20">
        <v>28603</v>
      </c>
      <c r="I263" s="19" t="s">
        <v>114</v>
      </c>
      <c r="J263" s="19" t="s">
        <v>106</v>
      </c>
      <c r="K263" s="19" t="s">
        <v>46</v>
      </c>
      <c r="L263" s="19" t="s">
        <v>47</v>
      </c>
      <c r="M263" s="19">
        <v>17</v>
      </c>
      <c r="N263" s="19">
        <v>12000</v>
      </c>
      <c r="O263" s="19">
        <v>20</v>
      </c>
      <c r="P263" s="19">
        <v>163200</v>
      </c>
      <c r="Q263" s="19">
        <v>4</v>
      </c>
      <c r="R263" s="19" t="s">
        <v>88</v>
      </c>
      <c r="S263" s="19" t="s">
        <v>151</v>
      </c>
      <c r="T263" s="19" t="s">
        <v>332</v>
      </c>
      <c r="U263" s="21" t="s">
        <v>1247</v>
      </c>
      <c r="V263" s="19" t="s">
        <v>38</v>
      </c>
      <c r="W263" s="19">
        <f t="shared" ca="1" si="8"/>
        <v>48</v>
      </c>
      <c r="X263" s="19">
        <f t="shared" si="9"/>
        <v>7</v>
      </c>
      <c r="Y263" s="19" t="str" cm="1">
        <f t="array" ref="Y263">_xlfn.IFS(ISERROR(X263), "Pending", X263&lt;=5, "On Time", X263&gt;5, "Delayed")</f>
        <v>Delayed</v>
      </c>
    </row>
    <row r="264" spans="1:25" x14ac:dyDescent="0.3">
      <c r="A264" s="15" t="s">
        <v>1248</v>
      </c>
      <c r="B264" s="15" t="s">
        <v>251</v>
      </c>
      <c r="C264" s="15" t="s">
        <v>24</v>
      </c>
      <c r="D264" s="16">
        <v>45846</v>
      </c>
      <c r="E264" s="16">
        <v>45851</v>
      </c>
      <c r="F264" s="15" t="s">
        <v>254</v>
      </c>
      <c r="G264" s="15" t="s">
        <v>28</v>
      </c>
      <c r="H264" s="16">
        <v>37889</v>
      </c>
      <c r="I264" s="15" t="s">
        <v>294</v>
      </c>
      <c r="J264" s="15" t="s">
        <v>295</v>
      </c>
      <c r="K264" s="15" t="s">
        <v>32</v>
      </c>
      <c r="L264" s="15" t="s">
        <v>33</v>
      </c>
      <c r="M264" s="15">
        <v>4</v>
      </c>
      <c r="N264" s="15">
        <v>2200</v>
      </c>
      <c r="O264" s="15">
        <v>5</v>
      </c>
      <c r="P264" s="15">
        <v>8360</v>
      </c>
      <c r="Q264" s="15">
        <v>2</v>
      </c>
      <c r="R264" s="15" t="s">
        <v>34</v>
      </c>
      <c r="S264" s="15" t="s">
        <v>35</v>
      </c>
      <c r="T264" s="15" t="s">
        <v>256</v>
      </c>
      <c r="U264" s="18" t="s">
        <v>1251</v>
      </c>
      <c r="V264" s="15" t="s">
        <v>38</v>
      </c>
      <c r="W264" s="15">
        <f t="shared" ca="1" si="8"/>
        <v>22</v>
      </c>
      <c r="X264" s="15">
        <f t="shared" si="9"/>
        <v>5</v>
      </c>
      <c r="Y264" s="15" t="str" cm="1">
        <f t="array" ref="Y264">_xlfn.IFS(ISERROR(X264), "Pending", X264&lt;=5, "On Time", X264&gt;5, "Delayed")</f>
        <v>On Time</v>
      </c>
    </row>
    <row r="265" spans="1:25" x14ac:dyDescent="0.3">
      <c r="A265" s="19" t="s">
        <v>1252</v>
      </c>
      <c r="B265" s="19" t="s">
        <v>23</v>
      </c>
      <c r="C265" s="19" t="s">
        <v>54</v>
      </c>
      <c r="D265" s="20">
        <v>46003</v>
      </c>
      <c r="E265" s="20">
        <v>46010</v>
      </c>
      <c r="F265" s="19" t="s">
        <v>27</v>
      </c>
      <c r="G265" s="19" t="s">
        <v>28</v>
      </c>
      <c r="H265" s="20">
        <v>37503</v>
      </c>
      <c r="I265" s="19" t="s">
        <v>138</v>
      </c>
      <c r="J265" s="19" t="s">
        <v>106</v>
      </c>
      <c r="K265" s="19" t="s">
        <v>46</v>
      </c>
      <c r="L265" s="19" t="s">
        <v>60</v>
      </c>
      <c r="M265" s="19">
        <v>6</v>
      </c>
      <c r="N265" s="19">
        <v>55000</v>
      </c>
      <c r="O265" s="19">
        <v>20</v>
      </c>
      <c r="P265" s="19">
        <v>264000</v>
      </c>
      <c r="Q265" s="19">
        <v>2</v>
      </c>
      <c r="R265" s="19" t="s">
        <v>88</v>
      </c>
      <c r="S265" s="19" t="s">
        <v>151</v>
      </c>
      <c r="T265" s="19" t="s">
        <v>50</v>
      </c>
      <c r="U265" s="21" t="s">
        <v>1255</v>
      </c>
      <c r="V265" s="19" t="s">
        <v>69</v>
      </c>
      <c r="W265" s="19">
        <f t="shared" ca="1" si="8"/>
        <v>24</v>
      </c>
      <c r="X265" s="19">
        <f t="shared" si="9"/>
        <v>7</v>
      </c>
      <c r="Y265" s="19" t="str" cm="1">
        <f t="array" ref="Y265">_xlfn.IFS(ISERROR(X265), "Pending", X265&lt;=5, "On Time", X265&gt;5, "Delayed")</f>
        <v>Delayed</v>
      </c>
    </row>
    <row r="266" spans="1:25" x14ac:dyDescent="0.3">
      <c r="A266" s="15" t="s">
        <v>1256</v>
      </c>
      <c r="B266" s="15" t="s">
        <v>71</v>
      </c>
      <c r="C266" s="15" t="s">
        <v>169</v>
      </c>
      <c r="D266" s="16">
        <v>46026</v>
      </c>
      <c r="E266" s="16">
        <v>46036</v>
      </c>
      <c r="F266" s="15" t="s">
        <v>217</v>
      </c>
      <c r="G266" s="15" t="s">
        <v>76</v>
      </c>
      <c r="H266" s="16">
        <v>31314</v>
      </c>
      <c r="I266" s="15" t="s">
        <v>44</v>
      </c>
      <c r="J266" s="15" t="s">
        <v>45</v>
      </c>
      <c r="K266" s="15" t="s">
        <v>32</v>
      </c>
      <c r="L266" s="15" t="s">
        <v>174</v>
      </c>
      <c r="M266" s="15">
        <v>6</v>
      </c>
      <c r="N266" s="15">
        <v>8500</v>
      </c>
      <c r="O266" s="15">
        <v>10</v>
      </c>
      <c r="P266" s="15">
        <v>45900</v>
      </c>
      <c r="Q266" s="15">
        <v>5</v>
      </c>
      <c r="R266" s="15" t="s">
        <v>88</v>
      </c>
      <c r="S266" s="15" t="s">
        <v>61</v>
      </c>
      <c r="T266" s="15" t="s">
        <v>80</v>
      </c>
      <c r="U266" s="18" t="s">
        <v>1258</v>
      </c>
      <c r="V266" s="15" t="s">
        <v>38</v>
      </c>
      <c r="W266" s="15">
        <f t="shared" ca="1" si="8"/>
        <v>40</v>
      </c>
      <c r="X266" s="15">
        <f t="shared" si="9"/>
        <v>10</v>
      </c>
      <c r="Y266" s="15" t="str" cm="1">
        <f t="array" ref="Y266">_xlfn.IFS(ISERROR(X266), "Pending", X266&lt;=5, "On Time", X266&gt;5, "Delayed")</f>
        <v>Delayed</v>
      </c>
    </row>
    <row r="267" spans="1:25" x14ac:dyDescent="0.3">
      <c r="A267" s="19" t="s">
        <v>1259</v>
      </c>
      <c r="B267" s="19" t="s">
        <v>23</v>
      </c>
      <c r="C267" s="19" t="s">
        <v>222</v>
      </c>
      <c r="D267" s="20">
        <v>45889</v>
      </c>
      <c r="E267" s="20">
        <v>45894</v>
      </c>
      <c r="F267" s="19" t="s">
        <v>27</v>
      </c>
      <c r="G267" s="19" t="s">
        <v>28</v>
      </c>
      <c r="H267" s="20">
        <v>31028</v>
      </c>
      <c r="I267" s="19" t="s">
        <v>212</v>
      </c>
      <c r="J267" s="19" t="s">
        <v>45</v>
      </c>
      <c r="K267" s="19" t="s">
        <v>122</v>
      </c>
      <c r="L267" s="19" t="s">
        <v>227</v>
      </c>
      <c r="M267" s="19">
        <v>6</v>
      </c>
      <c r="N267" s="19">
        <v>20</v>
      </c>
      <c r="O267" s="19">
        <v>15</v>
      </c>
      <c r="P267" s="19">
        <v>102</v>
      </c>
      <c r="Q267" s="19">
        <v>2</v>
      </c>
      <c r="R267" s="19" t="s">
        <v>88</v>
      </c>
      <c r="S267" s="19" t="s">
        <v>49</v>
      </c>
      <c r="T267" s="19" t="s">
        <v>50</v>
      </c>
      <c r="U267" s="21" t="s">
        <v>1261</v>
      </c>
      <c r="V267" s="19" t="s">
        <v>69</v>
      </c>
      <c r="W267" s="19">
        <f t="shared" ca="1" si="8"/>
        <v>41</v>
      </c>
      <c r="X267" s="19">
        <f t="shared" si="9"/>
        <v>5</v>
      </c>
      <c r="Y267" s="19" t="str" cm="1">
        <f t="array" ref="Y267">_xlfn.IFS(ISERROR(X267), "Pending", X267&lt;=5, "On Time", X267&gt;5, "Delayed")</f>
        <v>On Time</v>
      </c>
    </row>
    <row r="268" spans="1:25" x14ac:dyDescent="0.3">
      <c r="A268" s="15" t="s">
        <v>1262</v>
      </c>
      <c r="B268" s="15" t="s">
        <v>53</v>
      </c>
      <c r="C268" s="15" t="s">
        <v>118</v>
      </c>
      <c r="D268" s="16">
        <v>45780</v>
      </c>
      <c r="E268" s="16">
        <v>45788</v>
      </c>
      <c r="F268" s="15" t="s">
        <v>163</v>
      </c>
      <c r="G268" s="15" t="s">
        <v>28</v>
      </c>
      <c r="H268" s="16">
        <v>30883</v>
      </c>
      <c r="I268" s="15" t="s">
        <v>105</v>
      </c>
      <c r="J268" s="15" t="s">
        <v>106</v>
      </c>
      <c r="K268" s="15" t="s">
        <v>122</v>
      </c>
      <c r="L268" s="15" t="s">
        <v>123</v>
      </c>
      <c r="M268" s="15">
        <v>6</v>
      </c>
      <c r="N268" s="15">
        <v>60</v>
      </c>
      <c r="O268" s="15">
        <v>5</v>
      </c>
      <c r="P268" s="15">
        <v>342</v>
      </c>
      <c r="Q268" s="15">
        <v>1</v>
      </c>
      <c r="R268" s="15" t="s">
        <v>48</v>
      </c>
      <c r="S268" s="15" t="s">
        <v>61</v>
      </c>
      <c r="T268" s="15" t="s">
        <v>62</v>
      </c>
      <c r="U268" s="18" t="s">
        <v>1265</v>
      </c>
      <c r="V268" s="15" t="s">
        <v>38</v>
      </c>
      <c r="W268" s="15">
        <f t="shared" ca="1" si="8"/>
        <v>42</v>
      </c>
      <c r="X268" s="15">
        <f t="shared" si="9"/>
        <v>8</v>
      </c>
      <c r="Y268" s="15" t="str" cm="1">
        <f t="array" ref="Y268">_xlfn.IFS(ISERROR(X268), "Pending", X268&lt;=5, "On Time", X268&gt;5, "Delayed")</f>
        <v>Delayed</v>
      </c>
    </row>
    <row r="269" spans="1:25" x14ac:dyDescent="0.3">
      <c r="A269" s="19" t="s">
        <v>1266</v>
      </c>
      <c r="B269" s="19" t="s">
        <v>127</v>
      </c>
      <c r="C269" s="19" t="s">
        <v>169</v>
      </c>
      <c r="D269" s="20">
        <v>45666</v>
      </c>
      <c r="E269" s="20">
        <v>45669</v>
      </c>
      <c r="F269" s="19" t="s">
        <v>200</v>
      </c>
      <c r="G269" s="19" t="s">
        <v>76</v>
      </c>
      <c r="H269" s="20">
        <v>32217</v>
      </c>
      <c r="I269" s="19" t="s">
        <v>30</v>
      </c>
      <c r="J269" s="19" t="s">
        <v>31</v>
      </c>
      <c r="K269" s="19" t="s">
        <v>32</v>
      </c>
      <c r="L269" s="19" t="s">
        <v>174</v>
      </c>
      <c r="M269" s="19">
        <v>19</v>
      </c>
      <c r="N269" s="19">
        <v>8500</v>
      </c>
      <c r="O269" s="19">
        <v>0</v>
      </c>
      <c r="P269" s="19">
        <v>161500</v>
      </c>
      <c r="Q269" s="19">
        <v>5</v>
      </c>
      <c r="R269" s="19" t="s">
        <v>88</v>
      </c>
      <c r="S269" s="19" t="s">
        <v>151</v>
      </c>
      <c r="T269" s="19" t="s">
        <v>132</v>
      </c>
      <c r="U269" s="21" t="s">
        <v>1270</v>
      </c>
      <c r="V269" s="19" t="s">
        <v>38</v>
      </c>
      <c r="W269" s="19">
        <f t="shared" ca="1" si="8"/>
        <v>38</v>
      </c>
      <c r="X269" s="19">
        <f t="shared" si="9"/>
        <v>3</v>
      </c>
      <c r="Y269" s="19" t="str" cm="1">
        <f t="array" ref="Y269">_xlfn.IFS(ISERROR(X269), "Pending", X269&lt;=5, "On Time", X269&gt;5, "Delayed")</f>
        <v>On Time</v>
      </c>
    </row>
    <row r="270" spans="1:25" x14ac:dyDescent="0.3">
      <c r="A270" s="15" t="s">
        <v>1271</v>
      </c>
      <c r="B270" s="15" t="s">
        <v>251</v>
      </c>
      <c r="C270" s="15" t="s">
        <v>54</v>
      </c>
      <c r="D270" s="16">
        <v>45901</v>
      </c>
      <c r="E270" s="16">
        <v>45910</v>
      </c>
      <c r="F270" s="15" t="s">
        <v>254</v>
      </c>
      <c r="G270" s="15" t="s">
        <v>28</v>
      </c>
      <c r="H270" s="16">
        <v>31924</v>
      </c>
      <c r="I270" s="15" t="s">
        <v>212</v>
      </c>
      <c r="J270" s="15" t="s">
        <v>45</v>
      </c>
      <c r="K270" s="15" t="s">
        <v>46</v>
      </c>
      <c r="L270" s="15" t="s">
        <v>60</v>
      </c>
      <c r="M270" s="15">
        <v>8</v>
      </c>
      <c r="N270" s="15">
        <v>55000</v>
      </c>
      <c r="O270" s="15">
        <v>0</v>
      </c>
      <c r="P270" s="15">
        <v>440000</v>
      </c>
      <c r="Q270" s="15">
        <v>3</v>
      </c>
      <c r="R270" s="15" t="s">
        <v>79</v>
      </c>
      <c r="S270" s="15" t="s">
        <v>115</v>
      </c>
      <c r="T270" s="15" t="s">
        <v>256</v>
      </c>
      <c r="U270" s="18" t="s">
        <v>1273</v>
      </c>
      <c r="V270" s="15" t="s">
        <v>64</v>
      </c>
      <c r="W270" s="15">
        <f t="shared" ca="1" si="8"/>
        <v>39</v>
      </c>
      <c r="X270" s="15">
        <f t="shared" si="9"/>
        <v>9</v>
      </c>
      <c r="Y270" s="15" t="str" cm="1">
        <f t="array" ref="Y270">_xlfn.IFS(ISERROR(X270), "Pending", X270&lt;=5, "On Time", X270&gt;5, "Delayed")</f>
        <v>Delayed</v>
      </c>
    </row>
    <row r="271" spans="1:25" x14ac:dyDescent="0.3">
      <c r="A271" s="19" t="s">
        <v>1274</v>
      </c>
      <c r="B271" s="19" t="s">
        <v>71</v>
      </c>
      <c r="C271" s="19" t="s">
        <v>40</v>
      </c>
      <c r="D271" s="20">
        <v>46144</v>
      </c>
      <c r="E271" s="20">
        <v>46149</v>
      </c>
      <c r="F271" s="19" t="s">
        <v>217</v>
      </c>
      <c r="G271" s="19" t="s">
        <v>76</v>
      </c>
      <c r="H271" s="20">
        <v>32441</v>
      </c>
      <c r="I271" s="19" t="s">
        <v>294</v>
      </c>
      <c r="J271" s="19" t="s">
        <v>295</v>
      </c>
      <c r="K271" s="19" t="s">
        <v>46</v>
      </c>
      <c r="L271" s="19" t="s">
        <v>47</v>
      </c>
      <c r="M271" s="19">
        <v>18</v>
      </c>
      <c r="N271" s="19">
        <v>12000</v>
      </c>
      <c r="O271" s="19">
        <v>20</v>
      </c>
      <c r="P271" s="19">
        <v>172800</v>
      </c>
      <c r="Q271" s="19">
        <v>5</v>
      </c>
      <c r="R271" s="19" t="s">
        <v>88</v>
      </c>
      <c r="S271" s="19" t="s">
        <v>61</v>
      </c>
      <c r="T271" s="19" t="s">
        <v>80</v>
      </c>
      <c r="U271" s="21" t="s">
        <v>1276</v>
      </c>
      <c r="V271" s="19" t="s">
        <v>69</v>
      </c>
      <c r="W271" s="19">
        <f t="shared" ca="1" si="8"/>
        <v>37</v>
      </c>
      <c r="X271" s="19">
        <f t="shared" si="9"/>
        <v>5</v>
      </c>
      <c r="Y271" s="19" t="str" cm="1">
        <f t="array" ref="Y271">_xlfn.IFS(ISERROR(X271), "Pending", X271&lt;=5, "On Time", X271&gt;5, "Delayed")</f>
        <v>On Time</v>
      </c>
    </row>
    <row r="272" spans="1:25" x14ac:dyDescent="0.3">
      <c r="A272" s="15" t="s">
        <v>1277</v>
      </c>
      <c r="B272" s="15" t="s">
        <v>127</v>
      </c>
      <c r="C272" s="15" t="s">
        <v>169</v>
      </c>
      <c r="D272" s="16">
        <v>45764</v>
      </c>
      <c r="E272" s="16">
        <v>45773</v>
      </c>
      <c r="F272" s="15" t="s">
        <v>200</v>
      </c>
      <c r="G272" s="15" t="s">
        <v>76</v>
      </c>
      <c r="H272" s="16">
        <v>33219</v>
      </c>
      <c r="I272" s="15" t="s">
        <v>138</v>
      </c>
      <c r="J272" s="15" t="s">
        <v>106</v>
      </c>
      <c r="K272" s="15" t="s">
        <v>32</v>
      </c>
      <c r="L272" s="15" t="s">
        <v>174</v>
      </c>
      <c r="M272" s="15">
        <v>8</v>
      </c>
      <c r="N272" s="15">
        <v>8500</v>
      </c>
      <c r="O272" s="15">
        <v>5</v>
      </c>
      <c r="P272" s="15">
        <v>64600</v>
      </c>
      <c r="Q272" s="15">
        <v>2</v>
      </c>
      <c r="R272" s="15" t="s">
        <v>79</v>
      </c>
      <c r="S272" s="15" t="s">
        <v>61</v>
      </c>
      <c r="T272" s="15" t="s">
        <v>132</v>
      </c>
      <c r="U272" s="18" t="s">
        <v>1280</v>
      </c>
      <c r="V272" s="15" t="s">
        <v>69</v>
      </c>
      <c r="W272" s="15">
        <f t="shared" ca="1" si="8"/>
        <v>35</v>
      </c>
      <c r="X272" s="15">
        <f t="shared" si="9"/>
        <v>9</v>
      </c>
      <c r="Y272" s="15" t="str" cm="1">
        <f t="array" ref="Y272">_xlfn.IFS(ISERROR(X272), "Pending", X272&lt;=5, "On Time", X272&gt;5, "Delayed")</f>
        <v>Delayed</v>
      </c>
    </row>
    <row r="273" spans="1:25" x14ac:dyDescent="0.3">
      <c r="A273" s="19" t="s">
        <v>1281</v>
      </c>
      <c r="B273" s="19" t="s">
        <v>23</v>
      </c>
      <c r="C273" s="19" t="s">
        <v>222</v>
      </c>
      <c r="D273" s="20">
        <v>45878</v>
      </c>
      <c r="E273" s="20">
        <v>45887</v>
      </c>
      <c r="F273" s="19" t="s">
        <v>27</v>
      </c>
      <c r="G273" s="19" t="s">
        <v>28</v>
      </c>
      <c r="H273" s="20">
        <v>29640</v>
      </c>
      <c r="I273" s="19" t="s">
        <v>105</v>
      </c>
      <c r="J273" s="19" t="s">
        <v>106</v>
      </c>
      <c r="K273" s="19" t="s">
        <v>122</v>
      </c>
      <c r="L273" s="19" t="s">
        <v>227</v>
      </c>
      <c r="M273" s="19">
        <v>13</v>
      </c>
      <c r="N273" s="19">
        <v>20</v>
      </c>
      <c r="O273" s="19">
        <v>5</v>
      </c>
      <c r="P273" s="19">
        <v>247</v>
      </c>
      <c r="Q273" s="19">
        <v>3</v>
      </c>
      <c r="R273" s="19" t="s">
        <v>48</v>
      </c>
      <c r="S273" s="19" t="s">
        <v>115</v>
      </c>
      <c r="T273" s="19" t="s">
        <v>50</v>
      </c>
      <c r="U273" s="21" t="s">
        <v>1284</v>
      </c>
      <c r="V273" s="19" t="s">
        <v>64</v>
      </c>
      <c r="W273" s="19">
        <f t="shared" ca="1" si="8"/>
        <v>45</v>
      </c>
      <c r="X273" s="19">
        <f t="shared" si="9"/>
        <v>9</v>
      </c>
      <c r="Y273" s="19" t="str" cm="1">
        <f t="array" ref="Y273">_xlfn.IFS(ISERROR(X273), "Pending", X273&lt;=5, "On Time", X273&gt;5, "Delayed")</f>
        <v>Delayed</v>
      </c>
    </row>
    <row r="274" spans="1:25" x14ac:dyDescent="0.3">
      <c r="A274" s="15" t="s">
        <v>1285</v>
      </c>
      <c r="B274" s="15" t="s">
        <v>83</v>
      </c>
      <c r="C274" s="15" t="s">
        <v>118</v>
      </c>
      <c r="D274" s="16">
        <v>46116</v>
      </c>
      <c r="E274" s="16">
        <v>46128</v>
      </c>
      <c r="F274" s="15" t="s">
        <v>180</v>
      </c>
      <c r="G274" s="15" t="s">
        <v>76</v>
      </c>
      <c r="H274" s="16">
        <v>31110</v>
      </c>
      <c r="I274" s="15" t="s">
        <v>212</v>
      </c>
      <c r="J274" s="15" t="s">
        <v>45</v>
      </c>
      <c r="K274" s="15" t="s">
        <v>122</v>
      </c>
      <c r="L274" s="15" t="s">
        <v>123</v>
      </c>
      <c r="M274" s="15">
        <v>1</v>
      </c>
      <c r="N274" s="15">
        <v>60</v>
      </c>
      <c r="O274" s="15">
        <v>15</v>
      </c>
      <c r="P274" s="15">
        <v>51</v>
      </c>
      <c r="Q274" s="15">
        <v>2</v>
      </c>
      <c r="R274" s="15" t="s">
        <v>79</v>
      </c>
      <c r="S274" s="15" t="s">
        <v>61</v>
      </c>
      <c r="T274" s="15" t="s">
        <v>89</v>
      </c>
      <c r="U274" s="18" t="s">
        <v>1288</v>
      </c>
      <c r="V274" s="15" t="s">
        <v>69</v>
      </c>
      <c r="W274" s="15">
        <f t="shared" ca="1" si="8"/>
        <v>41</v>
      </c>
      <c r="X274" s="15">
        <f t="shared" si="9"/>
        <v>12</v>
      </c>
      <c r="Y274" s="15" t="str" cm="1">
        <f t="array" ref="Y274">_xlfn.IFS(ISERROR(X274), "Pending", X274&lt;=5, "On Time", X274&gt;5, "Delayed")</f>
        <v>Delayed</v>
      </c>
    </row>
    <row r="275" spans="1:25" x14ac:dyDescent="0.3">
      <c r="A275" s="19" t="s">
        <v>1289</v>
      </c>
      <c r="B275" s="19" t="s">
        <v>53</v>
      </c>
      <c r="C275" s="19" t="s">
        <v>222</v>
      </c>
      <c r="D275" s="20">
        <v>45830</v>
      </c>
      <c r="E275" s="20">
        <v>45836</v>
      </c>
      <c r="F275" s="19" t="s">
        <v>163</v>
      </c>
      <c r="G275" s="19" t="s">
        <v>28</v>
      </c>
      <c r="H275" s="20">
        <v>27919</v>
      </c>
      <c r="I275" s="19" t="s">
        <v>114</v>
      </c>
      <c r="J275" s="19" t="s">
        <v>106</v>
      </c>
      <c r="K275" s="19" t="s">
        <v>122</v>
      </c>
      <c r="L275" s="19" t="s">
        <v>227</v>
      </c>
      <c r="M275" s="19">
        <v>5</v>
      </c>
      <c r="N275" s="19">
        <v>20</v>
      </c>
      <c r="O275" s="19">
        <v>5</v>
      </c>
      <c r="P275" s="19">
        <v>95</v>
      </c>
      <c r="Q275" s="19">
        <v>2</v>
      </c>
      <c r="R275" s="19" t="s">
        <v>48</v>
      </c>
      <c r="S275" s="19" t="s">
        <v>49</v>
      </c>
      <c r="T275" s="19" t="s">
        <v>62</v>
      </c>
      <c r="U275" s="21" t="s">
        <v>1292</v>
      </c>
      <c r="V275" s="19" t="s">
        <v>64</v>
      </c>
      <c r="W275" s="19">
        <f t="shared" ca="1" si="8"/>
        <v>50</v>
      </c>
      <c r="X275" s="19">
        <f t="shared" si="9"/>
        <v>6</v>
      </c>
      <c r="Y275" s="19" t="str" cm="1">
        <f t="array" ref="Y275">_xlfn.IFS(ISERROR(X275), "Pending", X275&lt;=5, "On Time", X275&gt;5, "Delayed")</f>
        <v>Delayed</v>
      </c>
    </row>
    <row r="276" spans="1:25" x14ac:dyDescent="0.3">
      <c r="A276" s="15" t="s">
        <v>1293</v>
      </c>
      <c r="B276" s="15" t="s">
        <v>221</v>
      </c>
      <c r="C276" s="15" t="s">
        <v>222</v>
      </c>
      <c r="D276" s="16">
        <v>45796</v>
      </c>
      <c r="E276" s="16">
        <v>45801</v>
      </c>
      <c r="F276" s="15" t="s">
        <v>225</v>
      </c>
      <c r="G276" s="15" t="s">
        <v>76</v>
      </c>
      <c r="H276" s="16">
        <v>28623</v>
      </c>
      <c r="I276" s="15" t="s">
        <v>294</v>
      </c>
      <c r="J276" s="15" t="s">
        <v>295</v>
      </c>
      <c r="K276" s="15" t="s">
        <v>122</v>
      </c>
      <c r="L276" s="15" t="s">
        <v>227</v>
      </c>
      <c r="M276" s="15">
        <v>19</v>
      </c>
      <c r="N276" s="15">
        <v>20</v>
      </c>
      <c r="O276" s="15">
        <v>20</v>
      </c>
      <c r="P276" s="15">
        <v>304</v>
      </c>
      <c r="Q276" s="15">
        <v>3</v>
      </c>
      <c r="R276" s="15" t="s">
        <v>34</v>
      </c>
      <c r="S276" s="15" t="s">
        <v>35</v>
      </c>
      <c r="T276" s="15" t="s">
        <v>228</v>
      </c>
      <c r="U276" s="18" t="s">
        <v>1296</v>
      </c>
      <c r="V276" s="15" t="s">
        <v>69</v>
      </c>
      <c r="W276" s="15">
        <f t="shared" ca="1" si="8"/>
        <v>48</v>
      </c>
      <c r="X276" s="15">
        <f t="shared" si="9"/>
        <v>5</v>
      </c>
      <c r="Y276" s="15" t="str" cm="1">
        <f t="array" ref="Y276">_xlfn.IFS(ISERROR(X276), "Pending", X276&lt;=5, "On Time", X276&gt;5, "Delayed")</f>
        <v>On Time</v>
      </c>
    </row>
    <row r="277" spans="1:25" x14ac:dyDescent="0.3">
      <c r="A277" s="19" t="s">
        <v>1297</v>
      </c>
      <c r="B277" s="19" t="s">
        <v>100</v>
      </c>
      <c r="C277" s="19" t="s">
        <v>259</v>
      </c>
      <c r="D277" s="20">
        <v>45745</v>
      </c>
      <c r="E277" s="20">
        <v>45754</v>
      </c>
      <c r="F277" s="19" t="s">
        <v>103</v>
      </c>
      <c r="G277" s="19" t="s">
        <v>28</v>
      </c>
      <c r="H277" s="20">
        <v>36026</v>
      </c>
      <c r="I277" s="19" t="s">
        <v>138</v>
      </c>
      <c r="J277" s="19" t="s">
        <v>106</v>
      </c>
      <c r="K277" s="19" t="s">
        <v>122</v>
      </c>
      <c r="L277" s="19" t="s">
        <v>263</v>
      </c>
      <c r="M277" s="19">
        <v>17</v>
      </c>
      <c r="N277" s="19">
        <v>45</v>
      </c>
      <c r="O277" s="19">
        <v>5</v>
      </c>
      <c r="P277" s="19">
        <v>726.75</v>
      </c>
      <c r="Q277" s="19">
        <v>4</v>
      </c>
      <c r="R277" s="19" t="s">
        <v>34</v>
      </c>
      <c r="S277" s="19" t="s">
        <v>115</v>
      </c>
      <c r="T277" s="19" t="s">
        <v>144</v>
      </c>
      <c r="U277" s="21" t="s">
        <v>1300</v>
      </c>
      <c r="V277" s="19" t="s">
        <v>64</v>
      </c>
      <c r="W277" s="19">
        <f t="shared" ca="1" si="8"/>
        <v>28</v>
      </c>
      <c r="X277" s="19">
        <f t="shared" si="9"/>
        <v>9</v>
      </c>
      <c r="Y277" s="19" t="str" cm="1">
        <f t="array" ref="Y277">_xlfn.IFS(ISERROR(X277), "Pending", X277&lt;=5, "On Time", X277&gt;5, "Delayed")</f>
        <v>Delayed</v>
      </c>
    </row>
    <row r="278" spans="1:25" x14ac:dyDescent="0.3">
      <c r="A278" s="15" t="s">
        <v>1301</v>
      </c>
      <c r="B278" s="15" t="s">
        <v>83</v>
      </c>
      <c r="C278" s="15" t="s">
        <v>184</v>
      </c>
      <c r="D278" s="16">
        <v>46071</v>
      </c>
      <c r="E278" s="16">
        <v>46075</v>
      </c>
      <c r="F278" s="15" t="s">
        <v>180</v>
      </c>
      <c r="G278" s="15" t="s">
        <v>76</v>
      </c>
      <c r="H278" s="16">
        <v>27687</v>
      </c>
      <c r="I278" s="15" t="s">
        <v>59</v>
      </c>
      <c r="J278" s="15" t="s">
        <v>31</v>
      </c>
      <c r="K278" s="15" t="s">
        <v>46</v>
      </c>
      <c r="L278" s="15" t="s">
        <v>189</v>
      </c>
      <c r="M278" s="15">
        <v>8</v>
      </c>
      <c r="N278" s="15">
        <v>700</v>
      </c>
      <c r="O278" s="15">
        <v>15</v>
      </c>
      <c r="P278" s="15">
        <v>4760</v>
      </c>
      <c r="Q278" s="15">
        <v>4</v>
      </c>
      <c r="R278" s="15" t="s">
        <v>48</v>
      </c>
      <c r="S278" s="15" t="s">
        <v>35</v>
      </c>
      <c r="T278" s="15" t="s">
        <v>89</v>
      </c>
      <c r="U278" s="18" t="s">
        <v>1304</v>
      </c>
      <c r="V278" s="15" t="s">
        <v>64</v>
      </c>
      <c r="W278" s="15">
        <f t="shared" ca="1" si="8"/>
        <v>50</v>
      </c>
      <c r="X278" s="15">
        <f t="shared" si="9"/>
        <v>4</v>
      </c>
      <c r="Y278" s="15" t="str" cm="1">
        <f t="array" ref="Y278">_xlfn.IFS(ISERROR(X278), "Pending", X278&lt;=5, "On Time", X278&gt;5, "Delayed")</f>
        <v>On Time</v>
      </c>
    </row>
    <row r="279" spans="1:25" x14ac:dyDescent="0.3">
      <c r="A279" s="19" t="s">
        <v>1305</v>
      </c>
      <c r="B279" s="19" t="s">
        <v>168</v>
      </c>
      <c r="C279" s="19" t="s">
        <v>24</v>
      </c>
      <c r="D279" s="20">
        <v>46043</v>
      </c>
      <c r="E279" s="20">
        <v>46051</v>
      </c>
      <c r="F279" s="19" t="s">
        <v>361</v>
      </c>
      <c r="G279" s="19" t="s">
        <v>28</v>
      </c>
      <c r="H279" s="20">
        <v>27665</v>
      </c>
      <c r="I279" s="19" t="s">
        <v>105</v>
      </c>
      <c r="J279" s="19" t="s">
        <v>106</v>
      </c>
      <c r="K279" s="19" t="s">
        <v>32</v>
      </c>
      <c r="L279" s="19" t="s">
        <v>33</v>
      </c>
      <c r="M279" s="19">
        <v>15</v>
      </c>
      <c r="N279" s="19">
        <v>2200</v>
      </c>
      <c r="O279" s="19">
        <v>10</v>
      </c>
      <c r="P279" s="19">
        <v>29700</v>
      </c>
      <c r="Q279" s="19">
        <v>5</v>
      </c>
      <c r="R279" s="19" t="s">
        <v>88</v>
      </c>
      <c r="S279" s="19" t="s">
        <v>151</v>
      </c>
      <c r="T279" s="19" t="s">
        <v>175</v>
      </c>
      <c r="U279" s="21" t="s">
        <v>1309</v>
      </c>
      <c r="V279" s="19" t="s">
        <v>38</v>
      </c>
      <c r="W279" s="19">
        <f t="shared" ca="1" si="8"/>
        <v>50</v>
      </c>
      <c r="X279" s="19">
        <f t="shared" si="9"/>
        <v>8</v>
      </c>
      <c r="Y279" s="19" t="str" cm="1">
        <f t="array" ref="Y279">_xlfn.IFS(ISERROR(X279), "Pending", X279&lt;=5, "On Time", X279&gt;5, "Delayed")</f>
        <v>Delayed</v>
      </c>
    </row>
    <row r="280" spans="1:25" x14ac:dyDescent="0.3">
      <c r="A280" s="15" t="s">
        <v>1310</v>
      </c>
      <c r="B280" s="15" t="s">
        <v>100</v>
      </c>
      <c r="C280" s="15" t="s">
        <v>24</v>
      </c>
      <c r="D280" s="16">
        <v>45917</v>
      </c>
      <c r="E280" s="16">
        <v>45929</v>
      </c>
      <c r="F280" s="15" t="s">
        <v>103</v>
      </c>
      <c r="G280" s="15" t="s">
        <v>28</v>
      </c>
      <c r="H280" s="16">
        <v>37522</v>
      </c>
      <c r="I280" s="15" t="s">
        <v>105</v>
      </c>
      <c r="J280" s="15" t="s">
        <v>106</v>
      </c>
      <c r="K280" s="15" t="s">
        <v>32</v>
      </c>
      <c r="L280" s="15" t="s">
        <v>33</v>
      </c>
      <c r="M280" s="15">
        <v>1</v>
      </c>
      <c r="N280" s="15">
        <v>2200</v>
      </c>
      <c r="O280" s="15">
        <v>0</v>
      </c>
      <c r="P280" s="15">
        <v>2200</v>
      </c>
      <c r="Q280" s="15">
        <v>4</v>
      </c>
      <c r="R280" s="15" t="s">
        <v>34</v>
      </c>
      <c r="S280" s="15" t="s">
        <v>49</v>
      </c>
      <c r="T280" s="15" t="s">
        <v>144</v>
      </c>
      <c r="U280" s="18" t="s">
        <v>1313</v>
      </c>
      <c r="V280" s="15" t="s">
        <v>69</v>
      </c>
      <c r="W280" s="15">
        <f t="shared" ca="1" si="8"/>
        <v>23</v>
      </c>
      <c r="X280" s="15">
        <f t="shared" si="9"/>
        <v>12</v>
      </c>
      <c r="Y280" s="15" t="str" cm="1">
        <f t="array" ref="Y280">_xlfn.IFS(ISERROR(X280), "Pending", X280&lt;=5, "On Time", X280&gt;5, "Delayed")</f>
        <v>Delayed</v>
      </c>
    </row>
    <row r="281" spans="1:25" x14ac:dyDescent="0.3">
      <c r="A281" s="19" t="s">
        <v>1314</v>
      </c>
      <c r="B281" s="19" t="s">
        <v>251</v>
      </c>
      <c r="C281" s="19" t="s">
        <v>92</v>
      </c>
      <c r="D281" s="20">
        <v>45827</v>
      </c>
      <c r="E281" s="20">
        <v>45838</v>
      </c>
      <c r="F281" s="19" t="s">
        <v>254</v>
      </c>
      <c r="G281" s="19" t="s">
        <v>28</v>
      </c>
      <c r="H281" s="20">
        <v>32311</v>
      </c>
      <c r="I281" s="19" t="s">
        <v>138</v>
      </c>
      <c r="J281" s="19" t="s">
        <v>106</v>
      </c>
      <c r="K281" s="19" t="s">
        <v>32</v>
      </c>
      <c r="L281" s="19" t="s">
        <v>97</v>
      </c>
      <c r="M281" s="19">
        <v>10</v>
      </c>
      <c r="N281" s="19">
        <v>3500</v>
      </c>
      <c r="O281" s="19">
        <v>10</v>
      </c>
      <c r="P281" s="19">
        <v>31500</v>
      </c>
      <c r="Q281" s="19">
        <v>4</v>
      </c>
      <c r="R281" s="19" t="s">
        <v>48</v>
      </c>
      <c r="S281" s="19" t="s">
        <v>35</v>
      </c>
      <c r="T281" s="19" t="s">
        <v>256</v>
      </c>
      <c r="U281" s="21" t="s">
        <v>1317</v>
      </c>
      <c r="V281" s="19" t="s">
        <v>69</v>
      </c>
      <c r="W281" s="19">
        <f t="shared" ca="1" si="8"/>
        <v>38</v>
      </c>
      <c r="X281" s="19">
        <f t="shared" si="9"/>
        <v>11</v>
      </c>
      <c r="Y281" s="19" t="str" cm="1">
        <f t="array" ref="Y281">_xlfn.IFS(ISERROR(X281), "Pending", X281&lt;=5, "On Time", X281&gt;5, "Delayed")</f>
        <v>Delayed</v>
      </c>
    </row>
    <row r="282" spans="1:25" x14ac:dyDescent="0.3">
      <c r="A282" s="15" t="s">
        <v>1318</v>
      </c>
      <c r="B282" s="15" t="s">
        <v>71</v>
      </c>
      <c r="C282" s="15" t="s">
        <v>92</v>
      </c>
      <c r="D282" s="16">
        <v>45789</v>
      </c>
      <c r="E282" s="16">
        <v>45793</v>
      </c>
      <c r="F282" s="15" t="s">
        <v>217</v>
      </c>
      <c r="G282" s="15" t="s">
        <v>76</v>
      </c>
      <c r="H282" s="16">
        <v>33271</v>
      </c>
      <c r="I282" s="15" t="s">
        <v>212</v>
      </c>
      <c r="J282" s="15" t="s">
        <v>45</v>
      </c>
      <c r="K282" s="15" t="s">
        <v>32</v>
      </c>
      <c r="L282" s="15" t="s">
        <v>97</v>
      </c>
      <c r="M282" s="15">
        <v>16</v>
      </c>
      <c r="N282" s="15">
        <v>3500</v>
      </c>
      <c r="O282" s="15">
        <v>15</v>
      </c>
      <c r="P282" s="15">
        <v>47600</v>
      </c>
      <c r="Q282" s="15">
        <v>1</v>
      </c>
      <c r="R282" s="15" t="s">
        <v>79</v>
      </c>
      <c r="S282" s="15" t="s">
        <v>115</v>
      </c>
      <c r="T282" s="15" t="s">
        <v>80</v>
      </c>
      <c r="U282" s="18" t="s">
        <v>1322</v>
      </c>
      <c r="V282" s="15" t="s">
        <v>64</v>
      </c>
      <c r="W282" s="15">
        <f t="shared" ca="1" si="8"/>
        <v>35</v>
      </c>
      <c r="X282" s="15">
        <f t="shared" si="9"/>
        <v>4</v>
      </c>
      <c r="Y282" s="15" t="str" cm="1">
        <f t="array" ref="Y282">_xlfn.IFS(ISERROR(X282), "Pending", X282&lt;=5, "On Time", X282&gt;5, "Delayed")</f>
        <v>On Time</v>
      </c>
    </row>
    <row r="283" spans="1:25" x14ac:dyDescent="0.3">
      <c r="A283" s="19" t="s">
        <v>1323</v>
      </c>
      <c r="B283" s="19" t="s">
        <v>251</v>
      </c>
      <c r="C283" s="19" t="s">
        <v>40</v>
      </c>
      <c r="D283" s="20">
        <v>45906</v>
      </c>
      <c r="E283" s="20">
        <v>45918</v>
      </c>
      <c r="F283" s="19" t="s">
        <v>254</v>
      </c>
      <c r="G283" s="19" t="s">
        <v>28</v>
      </c>
      <c r="H283" s="20">
        <v>28741</v>
      </c>
      <c r="I283" s="19" t="s">
        <v>212</v>
      </c>
      <c r="J283" s="19" t="s">
        <v>45</v>
      </c>
      <c r="K283" s="19" t="s">
        <v>46</v>
      </c>
      <c r="L283" s="19" t="s">
        <v>47</v>
      </c>
      <c r="M283" s="19">
        <v>1</v>
      </c>
      <c r="N283" s="19">
        <v>12000</v>
      </c>
      <c r="O283" s="19">
        <v>0</v>
      </c>
      <c r="P283" s="19">
        <v>12000</v>
      </c>
      <c r="Q283" s="19">
        <v>4</v>
      </c>
      <c r="R283" s="19" t="s">
        <v>48</v>
      </c>
      <c r="S283" s="19" t="s">
        <v>115</v>
      </c>
      <c r="T283" s="19" t="s">
        <v>256</v>
      </c>
      <c r="U283" s="21" t="s">
        <v>1326</v>
      </c>
      <c r="V283" s="19" t="s">
        <v>69</v>
      </c>
      <c r="W283" s="19">
        <f t="shared" ca="1" si="8"/>
        <v>47</v>
      </c>
      <c r="X283" s="19">
        <f t="shared" si="9"/>
        <v>12</v>
      </c>
      <c r="Y283" s="19" t="str" cm="1">
        <f t="array" ref="Y283">_xlfn.IFS(ISERROR(X283), "Pending", X283&lt;=5, "On Time", X283&gt;5, "Delayed")</f>
        <v>Delayed</v>
      </c>
    </row>
    <row r="284" spans="1:25" x14ac:dyDescent="0.3">
      <c r="A284" s="15" t="s">
        <v>1327</v>
      </c>
      <c r="B284" s="15" t="s">
        <v>83</v>
      </c>
      <c r="C284" s="15" t="s">
        <v>184</v>
      </c>
      <c r="D284" s="16">
        <v>45770</v>
      </c>
      <c r="E284" s="16">
        <v>45776</v>
      </c>
      <c r="F284" s="15" t="s">
        <v>180</v>
      </c>
      <c r="G284" s="15" t="s">
        <v>76</v>
      </c>
      <c r="H284" s="16">
        <v>34367</v>
      </c>
      <c r="I284" s="15" t="s">
        <v>105</v>
      </c>
      <c r="J284" s="15" t="s">
        <v>106</v>
      </c>
      <c r="K284" s="15" t="s">
        <v>46</v>
      </c>
      <c r="L284" s="15" t="s">
        <v>189</v>
      </c>
      <c r="M284" s="15">
        <v>6</v>
      </c>
      <c r="N284" s="15">
        <v>700</v>
      </c>
      <c r="O284" s="15">
        <v>20</v>
      </c>
      <c r="P284" s="15">
        <v>3360</v>
      </c>
      <c r="Q284" s="15">
        <v>2</v>
      </c>
      <c r="R284" s="15" t="s">
        <v>48</v>
      </c>
      <c r="S284" s="15" t="s">
        <v>115</v>
      </c>
      <c r="T284" s="15" t="s">
        <v>89</v>
      </c>
      <c r="U284" s="18" t="s">
        <v>1330</v>
      </c>
      <c r="V284" s="15" t="s">
        <v>64</v>
      </c>
      <c r="W284" s="15">
        <f t="shared" ca="1" si="8"/>
        <v>32</v>
      </c>
      <c r="X284" s="15">
        <f t="shared" si="9"/>
        <v>6</v>
      </c>
      <c r="Y284" s="15" t="str" cm="1">
        <f t="array" ref="Y284">_xlfn.IFS(ISERROR(X284), "Pending", X284&lt;=5, "On Time", X284&gt;5, "Delayed")</f>
        <v>Delayed</v>
      </c>
    </row>
    <row r="285" spans="1:25" x14ac:dyDescent="0.3">
      <c r="A285" s="19" t="s">
        <v>1331</v>
      </c>
      <c r="B285" s="19" t="s">
        <v>71</v>
      </c>
      <c r="C285" s="19" t="s">
        <v>24</v>
      </c>
      <c r="D285" s="20">
        <v>46074</v>
      </c>
      <c r="E285" s="20">
        <v>46080</v>
      </c>
      <c r="F285" s="19" t="s">
        <v>217</v>
      </c>
      <c r="G285" s="19" t="s">
        <v>76</v>
      </c>
      <c r="H285" s="20">
        <v>34786</v>
      </c>
      <c r="I285" s="19" t="s">
        <v>138</v>
      </c>
      <c r="J285" s="19" t="s">
        <v>106</v>
      </c>
      <c r="K285" s="19" t="s">
        <v>32</v>
      </c>
      <c r="L285" s="19" t="s">
        <v>33</v>
      </c>
      <c r="M285" s="19">
        <v>3</v>
      </c>
      <c r="N285" s="19">
        <v>2200</v>
      </c>
      <c r="O285" s="19">
        <v>0</v>
      </c>
      <c r="P285" s="19">
        <v>6600</v>
      </c>
      <c r="Q285" s="19">
        <v>4</v>
      </c>
      <c r="R285" s="19" t="s">
        <v>79</v>
      </c>
      <c r="S285" s="19" t="s">
        <v>35</v>
      </c>
      <c r="T285" s="19" t="s">
        <v>80</v>
      </c>
      <c r="U285" s="21" t="s">
        <v>1334</v>
      </c>
      <c r="V285" s="19" t="s">
        <v>38</v>
      </c>
      <c r="W285" s="19">
        <f t="shared" ca="1" si="8"/>
        <v>31</v>
      </c>
      <c r="X285" s="19">
        <f t="shared" si="9"/>
        <v>6</v>
      </c>
      <c r="Y285" s="19" t="str" cm="1">
        <f t="array" ref="Y285">_xlfn.IFS(ISERROR(X285), "Pending", X285&lt;=5, "On Time", X285&gt;5, "Delayed")</f>
        <v>Delayed</v>
      </c>
    </row>
    <row r="286" spans="1:25" x14ac:dyDescent="0.3">
      <c r="A286" s="15" t="s">
        <v>1335</v>
      </c>
      <c r="B286" s="15" t="s">
        <v>251</v>
      </c>
      <c r="C286" s="15" t="s">
        <v>259</v>
      </c>
      <c r="D286" s="16">
        <v>46019</v>
      </c>
      <c r="E286" s="16">
        <v>46023</v>
      </c>
      <c r="F286" s="15" t="s">
        <v>254</v>
      </c>
      <c r="G286" s="15" t="s">
        <v>28</v>
      </c>
      <c r="H286" s="16">
        <v>33941</v>
      </c>
      <c r="I286" s="15" t="s">
        <v>30</v>
      </c>
      <c r="J286" s="15" t="s">
        <v>31</v>
      </c>
      <c r="K286" s="15" t="s">
        <v>122</v>
      </c>
      <c r="L286" s="15" t="s">
        <v>263</v>
      </c>
      <c r="M286" s="15">
        <v>6</v>
      </c>
      <c r="N286" s="15">
        <v>45</v>
      </c>
      <c r="O286" s="15">
        <v>15</v>
      </c>
      <c r="P286" s="15">
        <v>229.5</v>
      </c>
      <c r="Q286" s="15">
        <v>1</v>
      </c>
      <c r="R286" s="15" t="s">
        <v>88</v>
      </c>
      <c r="S286" s="15" t="s">
        <v>49</v>
      </c>
      <c r="T286" s="15" t="s">
        <v>256</v>
      </c>
      <c r="U286" s="18" t="s">
        <v>1337</v>
      </c>
      <c r="V286" s="15" t="s">
        <v>38</v>
      </c>
      <c r="W286" s="15">
        <f t="shared" ca="1" si="8"/>
        <v>33</v>
      </c>
      <c r="X286" s="15">
        <f t="shared" si="9"/>
        <v>4</v>
      </c>
      <c r="Y286" s="15" t="str" cm="1">
        <f t="array" ref="Y286">_xlfn.IFS(ISERROR(X286), "Pending", X286&lt;=5, "On Time", X286&gt;5, "Delayed")</f>
        <v>On Time</v>
      </c>
    </row>
    <row r="287" spans="1:25" x14ac:dyDescent="0.3">
      <c r="A287" s="19" t="s">
        <v>1338</v>
      </c>
      <c r="B287" s="19" t="s">
        <v>251</v>
      </c>
      <c r="C287" s="19" t="s">
        <v>72</v>
      </c>
      <c r="D287" s="20">
        <v>45922</v>
      </c>
      <c r="E287" s="20">
        <v>45930</v>
      </c>
      <c r="F287" s="19" t="s">
        <v>254</v>
      </c>
      <c r="G287" s="19" t="s">
        <v>28</v>
      </c>
      <c r="H287" s="20">
        <v>29609</v>
      </c>
      <c r="I287" s="19" t="s">
        <v>59</v>
      </c>
      <c r="J287" s="19" t="s">
        <v>31</v>
      </c>
      <c r="K287" s="19" t="s">
        <v>46</v>
      </c>
      <c r="L287" s="19" t="s">
        <v>78</v>
      </c>
      <c r="M287" s="19">
        <v>2</v>
      </c>
      <c r="N287" s="19">
        <v>1200</v>
      </c>
      <c r="O287" s="19">
        <v>0</v>
      </c>
      <c r="P287" s="19">
        <v>2400</v>
      </c>
      <c r="Q287" s="19">
        <v>1</v>
      </c>
      <c r="R287" s="19" t="s">
        <v>34</v>
      </c>
      <c r="S287" s="19" t="s">
        <v>151</v>
      </c>
      <c r="T287" s="19" t="s">
        <v>256</v>
      </c>
      <c r="U287" s="21" t="s">
        <v>1341</v>
      </c>
      <c r="V287" s="19" t="s">
        <v>69</v>
      </c>
      <c r="W287" s="19">
        <f t="shared" ca="1" si="8"/>
        <v>45</v>
      </c>
      <c r="X287" s="19">
        <f t="shared" si="9"/>
        <v>8</v>
      </c>
      <c r="Y287" s="19" t="str" cm="1">
        <f t="array" ref="Y287">_xlfn.IFS(ISERROR(X287), "Pending", X287&lt;=5, "On Time", X287&gt;5, "Delayed")</f>
        <v>Delayed</v>
      </c>
    </row>
    <row r="288" spans="1:25" x14ac:dyDescent="0.3">
      <c r="A288" s="15" t="s">
        <v>1342</v>
      </c>
      <c r="B288" s="15" t="s">
        <v>168</v>
      </c>
      <c r="C288" s="15" t="s">
        <v>184</v>
      </c>
      <c r="D288" s="16">
        <v>46150</v>
      </c>
      <c r="E288" s="16">
        <v>46153</v>
      </c>
      <c r="F288" s="15" t="s">
        <v>361</v>
      </c>
      <c r="G288" s="15" t="s">
        <v>28</v>
      </c>
      <c r="H288" s="16">
        <v>30953</v>
      </c>
      <c r="I288" s="15" t="s">
        <v>30</v>
      </c>
      <c r="J288" s="15" t="s">
        <v>31</v>
      </c>
      <c r="K288" s="15" t="s">
        <v>46</v>
      </c>
      <c r="L288" s="15" t="s">
        <v>189</v>
      </c>
      <c r="M288" s="15">
        <v>14</v>
      </c>
      <c r="N288" s="15">
        <v>700</v>
      </c>
      <c r="O288" s="15">
        <v>15</v>
      </c>
      <c r="P288" s="15">
        <v>8330</v>
      </c>
      <c r="Q288" s="15">
        <v>5</v>
      </c>
      <c r="R288" s="15" t="s">
        <v>34</v>
      </c>
      <c r="S288" s="15" t="s">
        <v>115</v>
      </c>
      <c r="T288" s="15" t="s">
        <v>175</v>
      </c>
      <c r="U288" s="18" t="s">
        <v>1346</v>
      </c>
      <c r="V288" s="15" t="s">
        <v>64</v>
      </c>
      <c r="W288" s="15">
        <f t="shared" ca="1" si="8"/>
        <v>41</v>
      </c>
      <c r="X288" s="15">
        <f t="shared" si="9"/>
        <v>3</v>
      </c>
      <c r="Y288" s="15" t="str" cm="1">
        <f t="array" ref="Y288">_xlfn.IFS(ISERROR(X288), "Pending", X288&lt;=5, "On Time", X288&gt;5, "Delayed")</f>
        <v>On Time</v>
      </c>
    </row>
    <row r="289" spans="1:25" x14ac:dyDescent="0.3">
      <c r="A289" s="19" t="s">
        <v>1347</v>
      </c>
      <c r="B289" s="19" t="s">
        <v>100</v>
      </c>
      <c r="C289" s="19" t="s">
        <v>222</v>
      </c>
      <c r="D289" s="20">
        <v>45966</v>
      </c>
      <c r="E289" s="20">
        <v>45967</v>
      </c>
      <c r="F289" s="19" t="s">
        <v>103</v>
      </c>
      <c r="G289" s="19" t="s">
        <v>28</v>
      </c>
      <c r="H289" s="20">
        <v>27556</v>
      </c>
      <c r="I289" s="19" t="s">
        <v>105</v>
      </c>
      <c r="J289" s="19" t="s">
        <v>106</v>
      </c>
      <c r="K289" s="19" t="s">
        <v>122</v>
      </c>
      <c r="L289" s="19" t="s">
        <v>227</v>
      </c>
      <c r="M289" s="19">
        <v>13</v>
      </c>
      <c r="N289" s="19">
        <v>20</v>
      </c>
      <c r="O289" s="19">
        <v>5</v>
      </c>
      <c r="P289" s="19">
        <v>247</v>
      </c>
      <c r="Q289" s="19">
        <v>1</v>
      </c>
      <c r="R289" s="19" t="s">
        <v>79</v>
      </c>
      <c r="S289" s="19" t="s">
        <v>35</v>
      </c>
      <c r="T289" s="19" t="s">
        <v>1349</v>
      </c>
      <c r="U289" s="21" t="s">
        <v>1350</v>
      </c>
      <c r="V289" s="19" t="s">
        <v>64</v>
      </c>
      <c r="W289" s="19">
        <f t="shared" ca="1" si="8"/>
        <v>51</v>
      </c>
      <c r="X289" s="19">
        <f t="shared" si="9"/>
        <v>1</v>
      </c>
      <c r="Y289" s="19" t="str" cm="1">
        <f t="array" ref="Y289">_xlfn.IFS(ISERROR(X289), "Pending", X289&lt;=5, "On Time", X289&gt;5, "Delayed")</f>
        <v>On Time</v>
      </c>
    </row>
    <row r="290" spans="1:25" x14ac:dyDescent="0.3">
      <c r="A290" s="15" t="s">
        <v>1351</v>
      </c>
      <c r="B290" s="15" t="s">
        <v>71</v>
      </c>
      <c r="C290" s="15" t="s">
        <v>24</v>
      </c>
      <c r="D290" s="16">
        <v>45724</v>
      </c>
      <c r="E290" s="16">
        <v>45731</v>
      </c>
      <c r="F290" s="15" t="s">
        <v>217</v>
      </c>
      <c r="G290" s="15" t="s">
        <v>76</v>
      </c>
      <c r="H290" s="16">
        <v>34876</v>
      </c>
      <c r="I290" s="15" t="s">
        <v>114</v>
      </c>
      <c r="J290" s="15" t="s">
        <v>106</v>
      </c>
      <c r="K290" s="15" t="s">
        <v>32</v>
      </c>
      <c r="L290" s="15" t="s">
        <v>33</v>
      </c>
      <c r="M290" s="15">
        <v>3</v>
      </c>
      <c r="N290" s="15">
        <v>2200</v>
      </c>
      <c r="O290" s="15">
        <v>0</v>
      </c>
      <c r="P290" s="15">
        <v>6600</v>
      </c>
      <c r="Q290" s="15">
        <v>4</v>
      </c>
      <c r="R290" s="15" t="s">
        <v>48</v>
      </c>
      <c r="S290" s="15" t="s">
        <v>61</v>
      </c>
      <c r="T290" s="15" t="s">
        <v>80</v>
      </c>
      <c r="U290" s="18" t="s">
        <v>1353</v>
      </c>
      <c r="V290" s="15" t="s">
        <v>69</v>
      </c>
      <c r="W290" s="15">
        <f t="shared" ca="1" si="8"/>
        <v>31</v>
      </c>
      <c r="X290" s="15">
        <f t="shared" si="9"/>
        <v>7</v>
      </c>
      <c r="Y290" s="15" t="str" cm="1">
        <f t="array" ref="Y290">_xlfn.IFS(ISERROR(X290), "Pending", X290&lt;=5, "On Time", X290&gt;5, "Delayed")</f>
        <v>Delayed</v>
      </c>
    </row>
    <row r="291" spans="1:25" x14ac:dyDescent="0.3">
      <c r="A291" s="19" t="s">
        <v>1354</v>
      </c>
      <c r="B291" s="19" t="s">
        <v>71</v>
      </c>
      <c r="C291" s="19" t="s">
        <v>118</v>
      </c>
      <c r="D291" s="20">
        <v>46062</v>
      </c>
      <c r="E291" s="20">
        <v>46074</v>
      </c>
      <c r="F291" s="19" t="s">
        <v>217</v>
      </c>
      <c r="G291" s="19" t="s">
        <v>76</v>
      </c>
      <c r="H291" s="20">
        <v>29180</v>
      </c>
      <c r="I291" s="19" t="s">
        <v>114</v>
      </c>
      <c r="J291" s="19" t="s">
        <v>106</v>
      </c>
      <c r="K291" s="19" t="s">
        <v>122</v>
      </c>
      <c r="L291" s="19" t="s">
        <v>123</v>
      </c>
      <c r="M291" s="19">
        <v>3</v>
      </c>
      <c r="N291" s="19">
        <v>60</v>
      </c>
      <c r="O291" s="19">
        <v>15</v>
      </c>
      <c r="P291" s="19">
        <v>153</v>
      </c>
      <c r="Q291" s="19">
        <v>4</v>
      </c>
      <c r="R291" s="19" t="s">
        <v>88</v>
      </c>
      <c r="S291" s="19" t="s">
        <v>115</v>
      </c>
      <c r="T291" s="19" t="s">
        <v>80</v>
      </c>
      <c r="U291" s="21" t="s">
        <v>1356</v>
      </c>
      <c r="V291" s="19" t="s">
        <v>38</v>
      </c>
      <c r="W291" s="19">
        <f t="shared" ca="1" si="8"/>
        <v>46</v>
      </c>
      <c r="X291" s="19">
        <f t="shared" si="9"/>
        <v>12</v>
      </c>
      <c r="Y291" s="19" t="str" cm="1">
        <f t="array" ref="Y291">_xlfn.IFS(ISERROR(X291), "Pending", X291&lt;=5, "On Time", X291&gt;5, "Delayed")</f>
        <v>Delayed</v>
      </c>
    </row>
    <row r="292" spans="1:25" x14ac:dyDescent="0.3">
      <c r="A292" s="15" t="s">
        <v>1357</v>
      </c>
      <c r="B292" s="15" t="s">
        <v>127</v>
      </c>
      <c r="C292" s="15" t="s">
        <v>92</v>
      </c>
      <c r="D292" s="16">
        <v>45733</v>
      </c>
      <c r="E292" s="16">
        <v>45739</v>
      </c>
      <c r="F292" s="15" t="s">
        <v>200</v>
      </c>
      <c r="G292" s="15" t="s">
        <v>76</v>
      </c>
      <c r="H292" s="16">
        <v>31805</v>
      </c>
      <c r="I292" s="15" t="s">
        <v>105</v>
      </c>
      <c r="J292" s="15" t="s">
        <v>106</v>
      </c>
      <c r="K292" s="15" t="s">
        <v>32</v>
      </c>
      <c r="L292" s="15" t="s">
        <v>97</v>
      </c>
      <c r="M292" s="15">
        <v>9</v>
      </c>
      <c r="N292" s="15">
        <v>3500</v>
      </c>
      <c r="O292" s="15">
        <v>5</v>
      </c>
      <c r="P292" s="15">
        <v>29925</v>
      </c>
      <c r="Q292" s="15">
        <v>1</v>
      </c>
      <c r="R292" s="15" t="s">
        <v>34</v>
      </c>
      <c r="S292" s="15" t="s">
        <v>61</v>
      </c>
      <c r="T292" s="15" t="s">
        <v>132</v>
      </c>
      <c r="U292" s="18" t="s">
        <v>1358</v>
      </c>
      <c r="V292" s="15" t="s">
        <v>64</v>
      </c>
      <c r="W292" s="15">
        <f t="shared" ca="1" si="8"/>
        <v>39</v>
      </c>
      <c r="X292" s="15">
        <f t="shared" si="9"/>
        <v>6</v>
      </c>
      <c r="Y292" s="15" t="str" cm="1">
        <f t="array" ref="Y292">_xlfn.IFS(ISERROR(X292), "Pending", X292&lt;=5, "On Time", X292&gt;5, "Delayed")</f>
        <v>Delayed</v>
      </c>
    </row>
    <row r="293" spans="1:25" x14ac:dyDescent="0.3">
      <c r="A293" s="19" t="s">
        <v>1359</v>
      </c>
      <c r="B293" s="19" t="s">
        <v>327</v>
      </c>
      <c r="C293" s="19" t="s">
        <v>72</v>
      </c>
      <c r="D293" s="20">
        <v>45743</v>
      </c>
      <c r="E293" s="20">
        <v>45748</v>
      </c>
      <c r="F293" s="19" t="s">
        <v>394</v>
      </c>
      <c r="G293" s="19" t="s">
        <v>76</v>
      </c>
      <c r="H293" s="20">
        <v>37105</v>
      </c>
      <c r="I293" s="19" t="s">
        <v>212</v>
      </c>
      <c r="J293" s="19" t="s">
        <v>45</v>
      </c>
      <c r="K293" s="19" t="s">
        <v>46</v>
      </c>
      <c r="L293" s="19" t="s">
        <v>78</v>
      </c>
      <c r="M293" s="19">
        <v>5</v>
      </c>
      <c r="N293" s="19">
        <v>1200</v>
      </c>
      <c r="O293" s="19">
        <v>20</v>
      </c>
      <c r="P293" s="19">
        <v>4800</v>
      </c>
      <c r="Q293" s="19">
        <v>2</v>
      </c>
      <c r="R293" s="19" t="s">
        <v>88</v>
      </c>
      <c r="S293" s="19" t="s">
        <v>115</v>
      </c>
      <c r="T293" s="19" t="s">
        <v>332</v>
      </c>
      <c r="U293" s="21" t="s">
        <v>1362</v>
      </c>
      <c r="V293" s="19" t="s">
        <v>64</v>
      </c>
      <c r="W293" s="19">
        <f t="shared" ca="1" si="8"/>
        <v>25</v>
      </c>
      <c r="X293" s="19">
        <f t="shared" si="9"/>
        <v>5</v>
      </c>
      <c r="Y293" s="19" t="str" cm="1">
        <f t="array" ref="Y293">_xlfn.IFS(ISERROR(X293), "Pending", X293&lt;=5, "On Time", X293&gt;5, "Delayed")</f>
        <v>On Time</v>
      </c>
    </row>
    <row r="294" spans="1:25" x14ac:dyDescent="0.3">
      <c r="A294" s="15" t="s">
        <v>1363</v>
      </c>
      <c r="B294" s="15" t="s">
        <v>53</v>
      </c>
      <c r="C294" s="15" t="s">
        <v>72</v>
      </c>
      <c r="D294" s="16">
        <v>45728</v>
      </c>
      <c r="E294" s="16">
        <v>45730</v>
      </c>
      <c r="F294" s="15" t="s">
        <v>163</v>
      </c>
      <c r="G294" s="15" t="s">
        <v>28</v>
      </c>
      <c r="H294" s="16">
        <v>32856</v>
      </c>
      <c r="I294" s="15" t="s">
        <v>212</v>
      </c>
      <c r="J294" s="15" t="s">
        <v>45</v>
      </c>
      <c r="K294" s="15" t="s">
        <v>46</v>
      </c>
      <c r="L294" s="15" t="s">
        <v>78</v>
      </c>
      <c r="M294" s="15">
        <v>10</v>
      </c>
      <c r="N294" s="15">
        <v>1200</v>
      </c>
      <c r="O294" s="15">
        <v>20</v>
      </c>
      <c r="P294" s="15">
        <v>9600</v>
      </c>
      <c r="Q294" s="15">
        <v>4</v>
      </c>
      <c r="R294" s="15" t="s">
        <v>34</v>
      </c>
      <c r="S294" s="15" t="s">
        <v>49</v>
      </c>
      <c r="T294" s="17" t="s">
        <v>1365</v>
      </c>
      <c r="U294" s="18" t="s">
        <v>1366</v>
      </c>
      <c r="V294" s="15" t="s">
        <v>38</v>
      </c>
      <c r="W294" s="15">
        <f t="shared" ca="1" si="8"/>
        <v>36</v>
      </c>
      <c r="X294" s="15">
        <f t="shared" si="9"/>
        <v>2</v>
      </c>
      <c r="Y294" s="15" t="str" cm="1">
        <f t="array" ref="Y294">_xlfn.IFS(ISERROR(X294), "Pending", X294&lt;=5, "On Time", X294&gt;5, "Delayed")</f>
        <v>On Time</v>
      </c>
    </row>
    <row r="295" spans="1:25" x14ac:dyDescent="0.3">
      <c r="A295" s="19" t="s">
        <v>1367</v>
      </c>
      <c r="B295" s="19" t="s">
        <v>23</v>
      </c>
      <c r="C295" s="19" t="s">
        <v>72</v>
      </c>
      <c r="D295" s="20">
        <v>46066</v>
      </c>
      <c r="E295" s="20">
        <v>46077</v>
      </c>
      <c r="F295" s="19" t="s">
        <v>27</v>
      </c>
      <c r="G295" s="19" t="s">
        <v>28</v>
      </c>
      <c r="H295" s="20">
        <v>32492</v>
      </c>
      <c r="I295" s="19" t="s">
        <v>138</v>
      </c>
      <c r="J295" s="19" t="s">
        <v>106</v>
      </c>
      <c r="K295" s="19" t="s">
        <v>46</v>
      </c>
      <c r="L295" s="19" t="s">
        <v>78</v>
      </c>
      <c r="M295" s="19">
        <v>5</v>
      </c>
      <c r="N295" s="19">
        <v>1200</v>
      </c>
      <c r="O295" s="19">
        <v>20</v>
      </c>
      <c r="P295" s="19">
        <v>4800</v>
      </c>
      <c r="Q295" s="19">
        <v>3</v>
      </c>
      <c r="R295" s="19" t="s">
        <v>48</v>
      </c>
      <c r="S295" s="19" t="s">
        <v>151</v>
      </c>
      <c r="T295" s="19" t="s">
        <v>50</v>
      </c>
      <c r="U295" s="21" t="s">
        <v>1371</v>
      </c>
      <c r="V295" s="19" t="s">
        <v>38</v>
      </c>
      <c r="W295" s="19">
        <f t="shared" ca="1" si="8"/>
        <v>37</v>
      </c>
      <c r="X295" s="19">
        <f t="shared" si="9"/>
        <v>11</v>
      </c>
      <c r="Y295" s="19" t="str" cm="1">
        <f t="array" ref="Y295">_xlfn.IFS(ISERROR(X295), "Pending", X295&lt;=5, "On Time", X295&gt;5, "Delayed")</f>
        <v>Delayed</v>
      </c>
    </row>
    <row r="296" spans="1:25" x14ac:dyDescent="0.3">
      <c r="A296" s="15" t="s">
        <v>1372</v>
      </c>
      <c r="B296" s="15" t="s">
        <v>168</v>
      </c>
      <c r="C296" s="15" t="s">
        <v>222</v>
      </c>
      <c r="D296" s="16">
        <v>45699</v>
      </c>
      <c r="E296" s="16">
        <v>45702</v>
      </c>
      <c r="F296" s="15" t="s">
        <v>361</v>
      </c>
      <c r="G296" s="15" t="s">
        <v>28</v>
      </c>
      <c r="H296" s="16">
        <v>33166</v>
      </c>
      <c r="I296" s="15" t="s">
        <v>105</v>
      </c>
      <c r="J296" s="15" t="s">
        <v>106</v>
      </c>
      <c r="K296" s="15" t="s">
        <v>122</v>
      </c>
      <c r="L296" s="15" t="s">
        <v>227</v>
      </c>
      <c r="M296" s="15">
        <v>10</v>
      </c>
      <c r="N296" s="15">
        <v>20</v>
      </c>
      <c r="O296" s="15">
        <v>5</v>
      </c>
      <c r="P296" s="15">
        <v>190</v>
      </c>
      <c r="Q296" s="15">
        <v>4</v>
      </c>
      <c r="R296" s="15" t="s">
        <v>34</v>
      </c>
      <c r="S296" s="15" t="s">
        <v>151</v>
      </c>
      <c r="T296" s="15" t="s">
        <v>175</v>
      </c>
      <c r="U296" s="18" t="s">
        <v>1376</v>
      </c>
      <c r="V296" s="15" t="s">
        <v>64</v>
      </c>
      <c r="W296" s="15">
        <f t="shared" ca="1" si="8"/>
        <v>35</v>
      </c>
      <c r="X296" s="15">
        <f t="shared" si="9"/>
        <v>3</v>
      </c>
      <c r="Y296" s="15" t="str" cm="1">
        <f t="array" ref="Y296">_xlfn.IFS(ISERROR(X296), "Pending", X296&lt;=5, "On Time", X296&gt;5, "Delayed")</f>
        <v>On Time</v>
      </c>
    </row>
    <row r="297" spans="1:25" x14ac:dyDescent="0.3">
      <c r="A297" s="19" t="s">
        <v>1377</v>
      </c>
      <c r="B297" s="19" t="s">
        <v>100</v>
      </c>
      <c r="C297" s="19" t="s">
        <v>118</v>
      </c>
      <c r="D297" s="20">
        <v>45674</v>
      </c>
      <c r="E297" s="20">
        <v>45684</v>
      </c>
      <c r="F297" s="19" t="s">
        <v>103</v>
      </c>
      <c r="G297" s="19" t="s">
        <v>28</v>
      </c>
      <c r="H297" s="20">
        <v>28711</v>
      </c>
      <c r="I297" s="19" t="s">
        <v>44</v>
      </c>
      <c r="J297" s="19" t="s">
        <v>45</v>
      </c>
      <c r="K297" s="19" t="s">
        <v>122</v>
      </c>
      <c r="L297" s="19" t="s">
        <v>123</v>
      </c>
      <c r="M297" s="19">
        <v>20</v>
      </c>
      <c r="N297" s="19">
        <v>60</v>
      </c>
      <c r="O297" s="19">
        <v>15</v>
      </c>
      <c r="P297" s="19">
        <v>1020</v>
      </c>
      <c r="Q297" s="19">
        <v>5</v>
      </c>
      <c r="R297" s="19" t="s">
        <v>79</v>
      </c>
      <c r="S297" s="19" t="s">
        <v>35</v>
      </c>
      <c r="T297" s="19" t="s">
        <v>144</v>
      </c>
      <c r="U297" s="21" t="s">
        <v>1381</v>
      </c>
      <c r="V297" s="19" t="s">
        <v>64</v>
      </c>
      <c r="W297" s="19">
        <f t="shared" ca="1" si="8"/>
        <v>48</v>
      </c>
      <c r="X297" s="19">
        <f t="shared" si="9"/>
        <v>10</v>
      </c>
      <c r="Y297" s="19" t="str" cm="1">
        <f t="array" ref="Y297">_xlfn.IFS(ISERROR(X297), "Pending", X297&lt;=5, "On Time", X297&gt;5, "Delayed")</f>
        <v>Delayed</v>
      </c>
    </row>
    <row r="298" spans="1:25" x14ac:dyDescent="0.3">
      <c r="A298" s="15" t="s">
        <v>1382</v>
      </c>
      <c r="B298" s="15" t="s">
        <v>327</v>
      </c>
      <c r="C298" s="15" t="s">
        <v>24</v>
      </c>
      <c r="D298" s="16">
        <v>45748</v>
      </c>
      <c r="E298" s="16">
        <v>45759</v>
      </c>
      <c r="F298" s="15" t="s">
        <v>394</v>
      </c>
      <c r="G298" s="15" t="s">
        <v>76</v>
      </c>
      <c r="H298" s="16">
        <v>28735</v>
      </c>
      <c r="I298" s="15" t="s">
        <v>138</v>
      </c>
      <c r="J298" s="15" t="s">
        <v>106</v>
      </c>
      <c r="K298" s="15" t="s">
        <v>32</v>
      </c>
      <c r="L298" s="15" t="s">
        <v>33</v>
      </c>
      <c r="M298" s="15">
        <v>7</v>
      </c>
      <c r="N298" s="15">
        <v>2200</v>
      </c>
      <c r="O298" s="15">
        <v>15</v>
      </c>
      <c r="P298" s="15">
        <v>13090</v>
      </c>
      <c r="Q298" s="15">
        <v>4</v>
      </c>
      <c r="R298" s="15" t="s">
        <v>34</v>
      </c>
      <c r="S298" s="15" t="s">
        <v>61</v>
      </c>
      <c r="T298" s="15" t="s">
        <v>332</v>
      </c>
      <c r="U298" s="18" t="s">
        <v>1384</v>
      </c>
      <c r="V298" s="15" t="s">
        <v>69</v>
      </c>
      <c r="W298" s="15">
        <f t="shared" ca="1" si="8"/>
        <v>48</v>
      </c>
      <c r="X298" s="15">
        <f t="shared" si="9"/>
        <v>11</v>
      </c>
      <c r="Y298" s="15" t="str" cm="1">
        <f t="array" ref="Y298">_xlfn.IFS(ISERROR(X298), "Pending", X298&lt;=5, "On Time", X298&gt;5, "Delayed")</f>
        <v>Delayed</v>
      </c>
    </row>
    <row r="299" spans="1:25" x14ac:dyDescent="0.3">
      <c r="A299" s="19" t="s">
        <v>1385</v>
      </c>
      <c r="B299" s="19" t="s">
        <v>127</v>
      </c>
      <c r="C299" s="19" t="s">
        <v>54</v>
      </c>
      <c r="D299" s="20">
        <v>45670</v>
      </c>
      <c r="E299" s="20">
        <v>45673</v>
      </c>
      <c r="F299" s="19" t="s">
        <v>200</v>
      </c>
      <c r="G299" s="19" t="s">
        <v>76</v>
      </c>
      <c r="H299" s="20">
        <v>38047</v>
      </c>
      <c r="I299" s="19" t="s">
        <v>30</v>
      </c>
      <c r="J299" s="19" t="s">
        <v>31</v>
      </c>
      <c r="K299" s="19" t="s">
        <v>46</v>
      </c>
      <c r="L299" s="19" t="s">
        <v>60</v>
      </c>
      <c r="M299" s="19">
        <v>11</v>
      </c>
      <c r="N299" s="19">
        <v>55000</v>
      </c>
      <c r="O299" s="19">
        <v>5</v>
      </c>
      <c r="P299" s="19">
        <v>574750</v>
      </c>
      <c r="Q299" s="19">
        <v>1</v>
      </c>
      <c r="R299" s="19" t="s">
        <v>88</v>
      </c>
      <c r="S299" s="19" t="s">
        <v>35</v>
      </c>
      <c r="T299" s="19" t="s">
        <v>132</v>
      </c>
      <c r="U299" s="21" t="s">
        <v>1387</v>
      </c>
      <c r="V299" s="19" t="s">
        <v>69</v>
      </c>
      <c r="W299" s="19">
        <f t="shared" ca="1" si="8"/>
        <v>22</v>
      </c>
      <c r="X299" s="19">
        <f t="shared" si="9"/>
        <v>3</v>
      </c>
      <c r="Y299" s="19" t="str" cm="1">
        <f t="array" ref="Y299">_xlfn.IFS(ISERROR(X299), "Pending", X299&lt;=5, "On Time", X299&gt;5, "Delayed")</f>
        <v>On Time</v>
      </c>
    </row>
    <row r="300" spans="1:25" x14ac:dyDescent="0.3">
      <c r="A300" s="15" t="s">
        <v>1388</v>
      </c>
      <c r="B300" s="15" t="s">
        <v>83</v>
      </c>
      <c r="C300" s="15" t="s">
        <v>92</v>
      </c>
      <c r="D300" s="16">
        <v>45935</v>
      </c>
      <c r="E300" s="16">
        <v>45947</v>
      </c>
      <c r="F300" s="15" t="s">
        <v>180</v>
      </c>
      <c r="G300" s="15" t="s">
        <v>76</v>
      </c>
      <c r="H300" s="16">
        <v>33639</v>
      </c>
      <c r="I300" s="15" t="s">
        <v>212</v>
      </c>
      <c r="J300" s="15" t="s">
        <v>45</v>
      </c>
      <c r="K300" s="15" t="s">
        <v>32</v>
      </c>
      <c r="L300" s="15" t="s">
        <v>97</v>
      </c>
      <c r="M300" s="15">
        <v>12</v>
      </c>
      <c r="N300" s="15">
        <v>3500</v>
      </c>
      <c r="O300" s="15">
        <v>0</v>
      </c>
      <c r="P300" s="15">
        <v>42000</v>
      </c>
      <c r="Q300" s="15">
        <v>2</v>
      </c>
      <c r="R300" s="15" t="s">
        <v>48</v>
      </c>
      <c r="S300" s="15"/>
      <c r="T300" s="15" t="s">
        <v>89</v>
      </c>
      <c r="U300" s="18" t="s">
        <v>1391</v>
      </c>
      <c r="V300" s="15" t="s">
        <v>64</v>
      </c>
      <c r="W300" s="15">
        <f t="shared" ca="1" si="8"/>
        <v>34</v>
      </c>
      <c r="X300" s="15">
        <f t="shared" si="9"/>
        <v>12</v>
      </c>
      <c r="Y300" s="15" t="str" cm="1">
        <f t="array" ref="Y300">_xlfn.IFS(ISERROR(X300), "Pending", X300&lt;=5, "On Time", X300&gt;5, "Delayed")</f>
        <v>Delayed</v>
      </c>
    </row>
    <row r="301" spans="1:25" x14ac:dyDescent="0.3">
      <c r="A301" s="19" t="s">
        <v>1392</v>
      </c>
      <c r="B301" s="19" t="s">
        <v>71</v>
      </c>
      <c r="C301" s="19" t="s">
        <v>259</v>
      </c>
      <c r="D301" s="20">
        <v>46078</v>
      </c>
      <c r="E301" s="20">
        <v>46089</v>
      </c>
      <c r="F301" s="19" t="s">
        <v>217</v>
      </c>
      <c r="G301" s="19" t="s">
        <v>76</v>
      </c>
      <c r="H301" s="20">
        <v>37647</v>
      </c>
      <c r="I301" s="19" t="s">
        <v>30</v>
      </c>
      <c r="J301" s="19" t="s">
        <v>31</v>
      </c>
      <c r="K301" s="19" t="s">
        <v>122</v>
      </c>
      <c r="L301" s="19" t="s">
        <v>263</v>
      </c>
      <c r="M301" s="19">
        <v>15</v>
      </c>
      <c r="N301" s="19">
        <v>45</v>
      </c>
      <c r="O301" s="19">
        <v>10</v>
      </c>
      <c r="P301" s="19">
        <v>607.5</v>
      </c>
      <c r="Q301" s="19">
        <v>2</v>
      </c>
      <c r="R301" s="19" t="s">
        <v>34</v>
      </c>
      <c r="S301" s="19" t="s">
        <v>151</v>
      </c>
      <c r="T301" s="19" t="s">
        <v>80</v>
      </c>
      <c r="U301" s="21" t="s">
        <v>1394</v>
      </c>
      <c r="V301" s="19" t="s">
        <v>64</v>
      </c>
      <c r="W301" s="19">
        <f t="shared" ca="1" si="8"/>
        <v>23</v>
      </c>
      <c r="X301" s="19">
        <f t="shared" si="9"/>
        <v>11</v>
      </c>
      <c r="Y301" s="19" t="str" cm="1">
        <f t="array" ref="Y301">_xlfn.IFS(ISERROR(X301), "Pending", X301&lt;=5, "On Time", X301&gt;5, "Delayed")</f>
        <v>Delayed</v>
      </c>
    </row>
    <row r="302" spans="1:25" x14ac:dyDescent="0.3">
      <c r="A302" s="15" t="s">
        <v>1395</v>
      </c>
      <c r="B302" s="15" t="s">
        <v>327</v>
      </c>
      <c r="C302" s="15" t="s">
        <v>259</v>
      </c>
      <c r="D302" s="16">
        <v>45793</v>
      </c>
      <c r="E302" s="16">
        <v>45803</v>
      </c>
      <c r="F302" s="15" t="s">
        <v>394</v>
      </c>
      <c r="G302" s="15" t="s">
        <v>76</v>
      </c>
      <c r="H302" s="16">
        <v>31917</v>
      </c>
      <c r="I302" s="15" t="s">
        <v>59</v>
      </c>
      <c r="J302" s="15" t="s">
        <v>31</v>
      </c>
      <c r="K302" s="15" t="s">
        <v>122</v>
      </c>
      <c r="L302" s="15" t="s">
        <v>263</v>
      </c>
      <c r="M302" s="15">
        <v>13</v>
      </c>
      <c r="N302" s="15">
        <v>45</v>
      </c>
      <c r="O302" s="15">
        <v>0</v>
      </c>
      <c r="P302" s="15">
        <v>585</v>
      </c>
      <c r="Q302" s="15">
        <v>5</v>
      </c>
      <c r="R302" s="15" t="s">
        <v>48</v>
      </c>
      <c r="S302" s="15" t="s">
        <v>49</v>
      </c>
      <c r="T302" s="15" t="s">
        <v>332</v>
      </c>
      <c r="U302" s="18" t="s">
        <v>1397</v>
      </c>
      <c r="V302" s="15" t="s">
        <v>64</v>
      </c>
      <c r="W302" s="15">
        <f t="shared" ca="1" si="8"/>
        <v>39</v>
      </c>
      <c r="X302" s="15">
        <f t="shared" si="9"/>
        <v>10</v>
      </c>
      <c r="Y302" s="15" t="str" cm="1">
        <f t="array" ref="Y302">_xlfn.IFS(ISERROR(X302), "Pending", X302&lt;=5, "On Time", X302&gt;5, "Delayed")</f>
        <v>Delayed</v>
      </c>
    </row>
    <row r="303" spans="1:25" x14ac:dyDescent="0.3">
      <c r="A303" s="19" t="s">
        <v>1398</v>
      </c>
      <c r="B303" s="19" t="s">
        <v>127</v>
      </c>
      <c r="C303" s="19" t="s">
        <v>54</v>
      </c>
      <c r="D303" s="20">
        <v>46024</v>
      </c>
      <c r="E303" s="20">
        <v>46027</v>
      </c>
      <c r="F303" s="19" t="s">
        <v>200</v>
      </c>
      <c r="G303" s="19" t="s">
        <v>76</v>
      </c>
      <c r="H303" s="20">
        <v>27584</v>
      </c>
      <c r="I303" s="19" t="s">
        <v>59</v>
      </c>
      <c r="J303" s="19" t="s">
        <v>31</v>
      </c>
      <c r="K303" s="19" t="s">
        <v>46</v>
      </c>
      <c r="L303" s="19" t="s">
        <v>60</v>
      </c>
      <c r="M303" s="19">
        <v>8</v>
      </c>
      <c r="N303" s="19">
        <v>55000</v>
      </c>
      <c r="O303" s="19">
        <v>0</v>
      </c>
      <c r="P303" s="19">
        <v>440000</v>
      </c>
      <c r="Q303" s="19">
        <v>2</v>
      </c>
      <c r="R303" s="19" t="s">
        <v>88</v>
      </c>
      <c r="S303" s="19" t="s">
        <v>151</v>
      </c>
      <c r="T303" s="19" t="s">
        <v>132</v>
      </c>
      <c r="U303" s="21" t="s">
        <v>1400</v>
      </c>
      <c r="V303" s="19" t="s">
        <v>69</v>
      </c>
      <c r="W303" s="19">
        <f t="shared" ca="1" si="8"/>
        <v>51</v>
      </c>
      <c r="X303" s="19">
        <f t="shared" si="9"/>
        <v>3</v>
      </c>
      <c r="Y303" s="19" t="str" cm="1">
        <f t="array" ref="Y303">_xlfn.IFS(ISERROR(X303), "Pending", X303&lt;=5, "On Time", X303&gt;5, "Delayed")</f>
        <v>On Time</v>
      </c>
    </row>
    <row r="304" spans="1:25" x14ac:dyDescent="0.3">
      <c r="A304" s="15" t="s">
        <v>1401</v>
      </c>
      <c r="B304" s="15" t="s">
        <v>251</v>
      </c>
      <c r="C304" s="15" t="s">
        <v>54</v>
      </c>
      <c r="D304" s="16">
        <v>45861</v>
      </c>
      <c r="E304" s="16">
        <v>45865</v>
      </c>
      <c r="F304" s="15" t="s">
        <v>254</v>
      </c>
      <c r="G304" s="15" t="s">
        <v>28</v>
      </c>
      <c r="H304" s="16">
        <v>29502</v>
      </c>
      <c r="I304" s="15" t="s">
        <v>44</v>
      </c>
      <c r="J304" s="15" t="s">
        <v>45</v>
      </c>
      <c r="K304" s="15" t="s">
        <v>46</v>
      </c>
      <c r="L304" s="15" t="s">
        <v>60</v>
      </c>
      <c r="M304" s="15">
        <v>4</v>
      </c>
      <c r="N304" s="15">
        <v>55000</v>
      </c>
      <c r="O304" s="15">
        <v>20</v>
      </c>
      <c r="P304" s="15">
        <v>176000</v>
      </c>
      <c r="Q304" s="15">
        <v>5</v>
      </c>
      <c r="R304" s="15" t="s">
        <v>34</v>
      </c>
      <c r="S304" s="15" t="s">
        <v>49</v>
      </c>
      <c r="T304" s="15" t="s">
        <v>256</v>
      </c>
      <c r="U304" s="18" t="s">
        <v>1403</v>
      </c>
      <c r="V304" s="15" t="s">
        <v>64</v>
      </c>
      <c r="W304" s="15">
        <f t="shared" ca="1" si="8"/>
        <v>45</v>
      </c>
      <c r="X304" s="15">
        <f t="shared" si="9"/>
        <v>4</v>
      </c>
      <c r="Y304" s="15" t="str" cm="1">
        <f t="array" ref="Y304">_xlfn.IFS(ISERROR(X304), "Pending", X304&lt;=5, "On Time", X304&gt;5, "Delayed")</f>
        <v>On Time</v>
      </c>
    </row>
    <row r="305" spans="1:25" x14ac:dyDescent="0.3">
      <c r="A305" s="19" t="s">
        <v>1404</v>
      </c>
      <c r="B305" s="19" t="s">
        <v>23</v>
      </c>
      <c r="C305" s="19" t="s">
        <v>92</v>
      </c>
      <c r="D305" s="20">
        <v>46135</v>
      </c>
      <c r="E305" s="20">
        <v>46138</v>
      </c>
      <c r="F305" s="19" t="s">
        <v>27</v>
      </c>
      <c r="G305" s="19" t="s">
        <v>28</v>
      </c>
      <c r="H305" s="20">
        <v>32693</v>
      </c>
      <c r="I305" s="19" t="s">
        <v>138</v>
      </c>
      <c r="J305" s="19" t="s">
        <v>106</v>
      </c>
      <c r="K305" s="19" t="s">
        <v>32</v>
      </c>
      <c r="L305" s="19" t="s">
        <v>97</v>
      </c>
      <c r="M305" s="19">
        <v>19</v>
      </c>
      <c r="N305" s="19">
        <v>3500</v>
      </c>
      <c r="O305" s="19">
        <v>5</v>
      </c>
      <c r="P305" s="19">
        <v>63175</v>
      </c>
      <c r="Q305" s="19">
        <v>1</v>
      </c>
      <c r="R305" s="19" t="s">
        <v>79</v>
      </c>
      <c r="S305" s="19" t="s">
        <v>115</v>
      </c>
      <c r="T305" s="19" t="s">
        <v>50</v>
      </c>
      <c r="U305" s="21" t="s">
        <v>1407</v>
      </c>
      <c r="V305" s="19" t="s">
        <v>38</v>
      </c>
      <c r="W305" s="19">
        <f t="shared" ca="1" si="8"/>
        <v>37</v>
      </c>
      <c r="X305" s="19">
        <f t="shared" si="9"/>
        <v>3</v>
      </c>
      <c r="Y305" s="19" t="str" cm="1">
        <f t="array" ref="Y305">_xlfn.IFS(ISERROR(X305), "Pending", X305&lt;=5, "On Time", X305&gt;5, "Delayed")</f>
        <v>On Time</v>
      </c>
    </row>
    <row r="306" spans="1:25" x14ac:dyDescent="0.3">
      <c r="A306" s="15" t="s">
        <v>1408</v>
      </c>
      <c r="B306" s="15" t="s">
        <v>221</v>
      </c>
      <c r="C306" s="15" t="s">
        <v>72</v>
      </c>
      <c r="D306" s="16">
        <v>45718</v>
      </c>
      <c r="E306" s="16">
        <v>45722</v>
      </c>
      <c r="F306" s="15" t="s">
        <v>225</v>
      </c>
      <c r="G306" s="15" t="s">
        <v>76</v>
      </c>
      <c r="H306" s="16">
        <v>36027</v>
      </c>
      <c r="I306" s="15" t="s">
        <v>212</v>
      </c>
      <c r="J306" s="15" t="s">
        <v>45</v>
      </c>
      <c r="K306" s="15" t="s">
        <v>46</v>
      </c>
      <c r="L306" s="15" t="s">
        <v>78</v>
      </c>
      <c r="M306" s="15">
        <v>17</v>
      </c>
      <c r="N306" s="15">
        <v>1200</v>
      </c>
      <c r="O306" s="15">
        <v>15</v>
      </c>
      <c r="P306" s="15">
        <v>17340</v>
      </c>
      <c r="Q306" s="15">
        <v>2</v>
      </c>
      <c r="R306" s="15" t="s">
        <v>48</v>
      </c>
      <c r="S306" s="15" t="s">
        <v>49</v>
      </c>
      <c r="T306" s="15" t="s">
        <v>228</v>
      </c>
      <c r="U306" s="18" t="s">
        <v>1411</v>
      </c>
      <c r="V306" s="15" t="s">
        <v>38</v>
      </c>
      <c r="W306" s="15">
        <f t="shared" ca="1" si="8"/>
        <v>28</v>
      </c>
      <c r="X306" s="15">
        <f t="shared" si="9"/>
        <v>4</v>
      </c>
      <c r="Y306" s="15" t="str" cm="1">
        <f t="array" ref="Y306">_xlfn.IFS(ISERROR(X306), "Pending", X306&lt;=5, "On Time", X306&gt;5, "Delayed")</f>
        <v>On Time</v>
      </c>
    </row>
    <row r="307" spans="1:25" x14ac:dyDescent="0.3">
      <c r="A307" s="19" t="s">
        <v>1412</v>
      </c>
      <c r="B307" s="19" t="s">
        <v>23</v>
      </c>
      <c r="C307" s="19" t="s">
        <v>24</v>
      </c>
      <c r="D307" s="20">
        <v>46062</v>
      </c>
      <c r="E307" s="20">
        <v>46070</v>
      </c>
      <c r="F307" s="19" t="s">
        <v>27</v>
      </c>
      <c r="G307" s="19" t="s">
        <v>28</v>
      </c>
      <c r="H307" s="20">
        <v>36954</v>
      </c>
      <c r="I307" s="19" t="s">
        <v>30</v>
      </c>
      <c r="J307" s="19" t="s">
        <v>31</v>
      </c>
      <c r="K307" s="19" t="s">
        <v>32</v>
      </c>
      <c r="L307" s="19" t="s">
        <v>33</v>
      </c>
      <c r="M307" s="19">
        <v>8</v>
      </c>
      <c r="N307" s="19">
        <v>2200</v>
      </c>
      <c r="O307" s="19">
        <v>5</v>
      </c>
      <c r="P307" s="19">
        <v>16720</v>
      </c>
      <c r="Q307" s="19">
        <v>3</v>
      </c>
      <c r="R307" s="19" t="s">
        <v>79</v>
      </c>
      <c r="S307" s="19" t="s">
        <v>115</v>
      </c>
      <c r="T307" s="19" t="s">
        <v>50</v>
      </c>
      <c r="U307" s="21" t="s">
        <v>1414</v>
      </c>
      <c r="V307" s="19" t="s">
        <v>64</v>
      </c>
      <c r="W307" s="19">
        <f t="shared" ca="1" si="8"/>
        <v>25</v>
      </c>
      <c r="X307" s="19">
        <f t="shared" si="9"/>
        <v>8</v>
      </c>
      <c r="Y307" s="19" t="str" cm="1">
        <f t="array" ref="Y307">_xlfn.IFS(ISERROR(X307), "Pending", X307&lt;=5, "On Time", X307&gt;5, "Delayed")</f>
        <v>Delayed</v>
      </c>
    </row>
    <row r="308" spans="1:25" x14ac:dyDescent="0.3">
      <c r="A308" s="15" t="s">
        <v>1415</v>
      </c>
      <c r="B308" s="15" t="s">
        <v>251</v>
      </c>
      <c r="C308" s="15" t="s">
        <v>184</v>
      </c>
      <c r="D308" s="16">
        <v>45704</v>
      </c>
      <c r="E308" s="16">
        <v>45714</v>
      </c>
      <c r="F308" s="15" t="s">
        <v>254</v>
      </c>
      <c r="G308" s="15" t="s">
        <v>28</v>
      </c>
      <c r="H308" s="16">
        <v>33727</v>
      </c>
      <c r="I308" s="15" t="s">
        <v>105</v>
      </c>
      <c r="J308" s="15" t="s">
        <v>106</v>
      </c>
      <c r="K308" s="15" t="s">
        <v>46</v>
      </c>
      <c r="L308" s="15" t="s">
        <v>189</v>
      </c>
      <c r="M308" s="15">
        <v>17</v>
      </c>
      <c r="N308" s="15">
        <v>700</v>
      </c>
      <c r="O308" s="15">
        <v>20</v>
      </c>
      <c r="P308" s="15">
        <v>9520</v>
      </c>
      <c r="Q308" s="15">
        <v>4</v>
      </c>
      <c r="R308" s="15" t="s">
        <v>48</v>
      </c>
      <c r="S308" s="15" t="s">
        <v>115</v>
      </c>
      <c r="T308" s="15" t="s">
        <v>256</v>
      </c>
      <c r="U308" s="18" t="s">
        <v>1416</v>
      </c>
      <c r="V308" s="15" t="s">
        <v>38</v>
      </c>
      <c r="W308" s="15">
        <f t="shared" ca="1" si="8"/>
        <v>34</v>
      </c>
      <c r="X308" s="15">
        <f t="shared" si="9"/>
        <v>10</v>
      </c>
      <c r="Y308" s="15" t="str" cm="1">
        <f t="array" ref="Y308">_xlfn.IFS(ISERROR(X308), "Pending", X308&lt;=5, "On Time", X308&gt;5, "Delayed")</f>
        <v>Delayed</v>
      </c>
    </row>
    <row r="309" spans="1:25" x14ac:dyDescent="0.3">
      <c r="A309" s="19" t="s">
        <v>1417</v>
      </c>
      <c r="B309" s="19" t="s">
        <v>251</v>
      </c>
      <c r="C309" s="19" t="s">
        <v>169</v>
      </c>
      <c r="D309" s="20">
        <v>45897</v>
      </c>
      <c r="E309" s="20">
        <v>45908</v>
      </c>
      <c r="F309" s="19" t="s">
        <v>254</v>
      </c>
      <c r="G309" s="19" t="s">
        <v>28</v>
      </c>
      <c r="H309" s="20">
        <v>28122</v>
      </c>
      <c r="I309" s="19" t="s">
        <v>114</v>
      </c>
      <c r="J309" s="19" t="s">
        <v>106</v>
      </c>
      <c r="K309" s="19" t="s">
        <v>32</v>
      </c>
      <c r="L309" s="19" t="s">
        <v>174</v>
      </c>
      <c r="M309" s="19">
        <v>6</v>
      </c>
      <c r="N309" s="19">
        <v>8500</v>
      </c>
      <c r="O309" s="19">
        <v>15</v>
      </c>
      <c r="P309" s="19">
        <v>43350</v>
      </c>
      <c r="Q309" s="19">
        <v>1</v>
      </c>
      <c r="R309" s="19" t="s">
        <v>34</v>
      </c>
      <c r="S309" s="19" t="s">
        <v>61</v>
      </c>
      <c r="T309" s="19" t="s">
        <v>256</v>
      </c>
      <c r="U309" s="21" t="s">
        <v>1418</v>
      </c>
      <c r="V309" s="19" t="s">
        <v>38</v>
      </c>
      <c r="W309" s="19">
        <f t="shared" ca="1" si="8"/>
        <v>49</v>
      </c>
      <c r="X309" s="19">
        <f t="shared" si="9"/>
        <v>11</v>
      </c>
      <c r="Y309" s="19" t="str" cm="1">
        <f t="array" ref="Y309">_xlfn.IFS(ISERROR(X309), "Pending", X309&lt;=5, "On Time", X309&gt;5, "Delayed")</f>
        <v>Delayed</v>
      </c>
    </row>
    <row r="310" spans="1:25" x14ac:dyDescent="0.3">
      <c r="A310" s="15" t="s">
        <v>1419</v>
      </c>
      <c r="B310" s="15" t="s">
        <v>53</v>
      </c>
      <c r="C310" s="15" t="s">
        <v>92</v>
      </c>
      <c r="D310" s="16">
        <v>45936</v>
      </c>
      <c r="E310" s="16">
        <v>45941</v>
      </c>
      <c r="F310" s="15" t="s">
        <v>163</v>
      </c>
      <c r="G310" s="15" t="s">
        <v>28</v>
      </c>
      <c r="H310" s="16">
        <v>31511</v>
      </c>
      <c r="I310" s="15" t="s">
        <v>30</v>
      </c>
      <c r="J310" s="15" t="s">
        <v>31</v>
      </c>
      <c r="K310" s="15" t="s">
        <v>32</v>
      </c>
      <c r="L310" s="15" t="s">
        <v>97</v>
      </c>
      <c r="M310" s="15">
        <v>3</v>
      </c>
      <c r="N310" s="15">
        <v>3500</v>
      </c>
      <c r="O310" s="15">
        <v>10</v>
      </c>
      <c r="P310" s="15">
        <v>9450</v>
      </c>
      <c r="Q310" s="15">
        <v>1</v>
      </c>
      <c r="R310" s="15" t="s">
        <v>48</v>
      </c>
      <c r="S310" s="15" t="s">
        <v>49</v>
      </c>
      <c r="T310" s="15" t="s">
        <v>62</v>
      </c>
      <c r="U310" s="18" t="s">
        <v>1421</v>
      </c>
      <c r="V310" s="15" t="s">
        <v>38</v>
      </c>
      <c r="W310" s="15">
        <f t="shared" ca="1" si="8"/>
        <v>40</v>
      </c>
      <c r="X310" s="15">
        <f t="shared" si="9"/>
        <v>5</v>
      </c>
      <c r="Y310" s="15" t="str" cm="1">
        <f t="array" ref="Y310">_xlfn.IFS(ISERROR(X310), "Pending", X310&lt;=5, "On Time", X310&gt;5, "Delayed")</f>
        <v>On Time</v>
      </c>
    </row>
    <row r="311" spans="1:25" x14ac:dyDescent="0.3">
      <c r="A311" s="19" t="s">
        <v>1422</v>
      </c>
      <c r="B311" s="19" t="s">
        <v>71</v>
      </c>
      <c r="C311" s="19" t="s">
        <v>40</v>
      </c>
      <c r="D311" s="20">
        <v>45674</v>
      </c>
      <c r="E311" s="20">
        <v>45686</v>
      </c>
      <c r="F311" s="19" t="s">
        <v>217</v>
      </c>
      <c r="G311" s="19" t="s">
        <v>76</v>
      </c>
      <c r="H311" s="20">
        <v>32734</v>
      </c>
      <c r="I311" s="19" t="s">
        <v>138</v>
      </c>
      <c r="J311" s="19" t="s">
        <v>106</v>
      </c>
      <c r="K311" s="19" t="s">
        <v>46</v>
      </c>
      <c r="L311" s="19" t="s">
        <v>47</v>
      </c>
      <c r="M311" s="19">
        <v>2</v>
      </c>
      <c r="N311" s="19">
        <v>12000</v>
      </c>
      <c r="O311" s="19">
        <v>20</v>
      </c>
      <c r="P311" s="19">
        <v>19200</v>
      </c>
      <c r="Q311" s="19">
        <v>1</v>
      </c>
      <c r="R311" s="19" t="s">
        <v>79</v>
      </c>
      <c r="S311" s="19" t="s">
        <v>61</v>
      </c>
      <c r="T311" s="19" t="s">
        <v>80</v>
      </c>
      <c r="U311" s="21" t="s">
        <v>1424</v>
      </c>
      <c r="V311" s="19" t="s">
        <v>38</v>
      </c>
      <c r="W311" s="19">
        <f t="shared" ca="1" si="8"/>
        <v>37</v>
      </c>
      <c r="X311" s="19">
        <f t="shared" si="9"/>
        <v>12</v>
      </c>
      <c r="Y311" s="19" t="str" cm="1">
        <f t="array" ref="Y311">_xlfn.IFS(ISERROR(X311), "Pending", X311&lt;=5, "On Time", X311&gt;5, "Delayed")</f>
        <v>Delayed</v>
      </c>
    </row>
    <row r="312" spans="1:25" x14ac:dyDescent="0.3">
      <c r="A312" s="15" t="s">
        <v>1425</v>
      </c>
      <c r="B312" s="15" t="s">
        <v>221</v>
      </c>
      <c r="C312" s="15" t="s">
        <v>222</v>
      </c>
      <c r="D312" s="16">
        <v>45943</v>
      </c>
      <c r="E312" s="16">
        <v>45946</v>
      </c>
      <c r="F312" s="15" t="s">
        <v>225</v>
      </c>
      <c r="G312" s="15" t="s">
        <v>76</v>
      </c>
      <c r="H312" s="16">
        <v>33272</v>
      </c>
      <c r="I312" s="15" t="s">
        <v>44</v>
      </c>
      <c r="J312" s="15" t="s">
        <v>45</v>
      </c>
      <c r="K312" s="15" t="s">
        <v>122</v>
      </c>
      <c r="L312" s="15" t="s">
        <v>227</v>
      </c>
      <c r="M312" s="15">
        <v>12</v>
      </c>
      <c r="N312" s="15">
        <v>20</v>
      </c>
      <c r="O312" s="15">
        <v>20</v>
      </c>
      <c r="P312" s="15">
        <v>192</v>
      </c>
      <c r="Q312" s="15">
        <v>2</v>
      </c>
      <c r="R312" s="15" t="s">
        <v>79</v>
      </c>
      <c r="S312" s="15" t="s">
        <v>49</v>
      </c>
      <c r="T312" s="15" t="s">
        <v>228</v>
      </c>
      <c r="U312" s="18" t="s">
        <v>1428</v>
      </c>
      <c r="V312" s="15" t="s">
        <v>38</v>
      </c>
      <c r="W312" s="15">
        <f t="shared" ca="1" si="8"/>
        <v>35</v>
      </c>
      <c r="X312" s="15">
        <f t="shared" si="9"/>
        <v>3</v>
      </c>
      <c r="Y312" s="15" t="str" cm="1">
        <f t="array" ref="Y312">_xlfn.IFS(ISERROR(X312), "Pending", X312&lt;=5, "On Time", X312&gt;5, "Delayed")</f>
        <v>On Time</v>
      </c>
    </row>
    <row r="313" spans="1:25" x14ac:dyDescent="0.3">
      <c r="A313" s="19" t="s">
        <v>1429</v>
      </c>
      <c r="B313" s="19" t="s">
        <v>100</v>
      </c>
      <c r="C313" s="19" t="s">
        <v>40</v>
      </c>
      <c r="D313" s="20">
        <v>46138</v>
      </c>
      <c r="E313" s="20">
        <v>46140</v>
      </c>
      <c r="F313" s="19" t="s">
        <v>103</v>
      </c>
      <c r="G313" s="19" t="s">
        <v>28</v>
      </c>
      <c r="H313" s="20">
        <v>32733</v>
      </c>
      <c r="I313" s="19" t="s">
        <v>294</v>
      </c>
      <c r="J313" s="19" t="s">
        <v>295</v>
      </c>
      <c r="K313" s="19" t="s">
        <v>46</v>
      </c>
      <c r="L313" s="19" t="s">
        <v>47</v>
      </c>
      <c r="M313" s="19">
        <v>20</v>
      </c>
      <c r="N313" s="19">
        <v>12000</v>
      </c>
      <c r="O313" s="19">
        <v>15</v>
      </c>
      <c r="P313" s="19">
        <v>204000</v>
      </c>
      <c r="Q313" s="19">
        <v>3</v>
      </c>
      <c r="R313" s="19" t="s">
        <v>34</v>
      </c>
      <c r="S313" s="19" t="s">
        <v>35</v>
      </c>
      <c r="T313" s="19" t="s">
        <v>144</v>
      </c>
      <c r="U313" s="21" t="s">
        <v>1432</v>
      </c>
      <c r="V313" s="19" t="s">
        <v>64</v>
      </c>
      <c r="W313" s="19">
        <f t="shared" ca="1" si="8"/>
        <v>37</v>
      </c>
      <c r="X313" s="19">
        <f t="shared" si="9"/>
        <v>2</v>
      </c>
      <c r="Y313" s="19" t="str" cm="1">
        <f t="array" ref="Y313">_xlfn.IFS(ISERROR(X313), "Pending", X313&lt;=5, "On Time", X313&gt;5, "Delayed")</f>
        <v>On Time</v>
      </c>
    </row>
    <row r="314" spans="1:25" x14ac:dyDescent="0.3">
      <c r="A314" s="15" t="s">
        <v>1433</v>
      </c>
      <c r="B314" s="15" t="s">
        <v>53</v>
      </c>
      <c r="C314" s="15" t="s">
        <v>118</v>
      </c>
      <c r="D314" s="16">
        <v>46105</v>
      </c>
      <c r="E314" s="16">
        <v>46116</v>
      </c>
      <c r="F314" s="15" t="s">
        <v>163</v>
      </c>
      <c r="G314" s="15" t="s">
        <v>28</v>
      </c>
      <c r="H314" s="16">
        <v>37654</v>
      </c>
      <c r="I314" s="15" t="s">
        <v>212</v>
      </c>
      <c r="J314" s="15" t="s">
        <v>45</v>
      </c>
      <c r="K314" s="15" t="s">
        <v>122</v>
      </c>
      <c r="L314" s="15" t="s">
        <v>123</v>
      </c>
      <c r="M314" s="15">
        <v>13</v>
      </c>
      <c r="N314" s="15">
        <v>60</v>
      </c>
      <c r="O314" s="15">
        <v>10</v>
      </c>
      <c r="P314" s="15">
        <v>702</v>
      </c>
      <c r="Q314" s="15">
        <v>5</v>
      </c>
      <c r="R314" s="15" t="s">
        <v>34</v>
      </c>
      <c r="S314" s="15" t="s">
        <v>35</v>
      </c>
      <c r="T314" s="15" t="s">
        <v>62</v>
      </c>
      <c r="U314" s="18" t="s">
        <v>1435</v>
      </c>
      <c r="V314" s="15" t="s">
        <v>64</v>
      </c>
      <c r="W314" s="15">
        <f t="shared" ca="1" si="8"/>
        <v>23</v>
      </c>
      <c r="X314" s="15">
        <f t="shared" si="9"/>
        <v>11</v>
      </c>
      <c r="Y314" s="15" t="str" cm="1">
        <f t="array" ref="Y314">_xlfn.IFS(ISERROR(X314), "Pending", X314&lt;=5, "On Time", X314&gt;5, "Delayed")</f>
        <v>Delayed</v>
      </c>
    </row>
    <row r="315" spans="1:25" x14ac:dyDescent="0.3">
      <c r="A315" s="19" t="s">
        <v>1436</v>
      </c>
      <c r="B315" s="19" t="s">
        <v>71</v>
      </c>
      <c r="C315" s="19" t="s">
        <v>54</v>
      </c>
      <c r="D315" s="20">
        <v>45785</v>
      </c>
      <c r="E315" s="20">
        <v>45796</v>
      </c>
      <c r="F315" s="19" t="s">
        <v>217</v>
      </c>
      <c r="G315" s="19" t="s">
        <v>76</v>
      </c>
      <c r="H315" s="20">
        <v>35019</v>
      </c>
      <c r="I315" s="19" t="s">
        <v>114</v>
      </c>
      <c r="J315" s="19" t="s">
        <v>106</v>
      </c>
      <c r="K315" s="19" t="s">
        <v>46</v>
      </c>
      <c r="L315" s="19" t="s">
        <v>60</v>
      </c>
      <c r="M315" s="19">
        <v>13</v>
      </c>
      <c r="N315" s="19">
        <v>55000</v>
      </c>
      <c r="O315" s="19">
        <v>5</v>
      </c>
      <c r="P315" s="19">
        <v>679250</v>
      </c>
      <c r="Q315" s="19">
        <v>1</v>
      </c>
      <c r="R315" s="19" t="s">
        <v>88</v>
      </c>
      <c r="S315" s="19" t="s">
        <v>151</v>
      </c>
      <c r="T315" s="19" t="s">
        <v>80</v>
      </c>
      <c r="U315" s="21" t="s">
        <v>1439</v>
      </c>
      <c r="V315" s="19" t="s">
        <v>64</v>
      </c>
      <c r="W315" s="19">
        <f t="shared" ca="1" si="8"/>
        <v>30</v>
      </c>
      <c r="X315" s="19">
        <f t="shared" si="9"/>
        <v>11</v>
      </c>
      <c r="Y315" s="19" t="str" cm="1">
        <f t="array" ref="Y315">_xlfn.IFS(ISERROR(X315), "Pending", X315&lt;=5, "On Time", X315&gt;5, "Delayed")</f>
        <v>Delayed</v>
      </c>
    </row>
    <row r="316" spans="1:25" x14ac:dyDescent="0.3">
      <c r="A316" s="15" t="s">
        <v>1440</v>
      </c>
      <c r="B316" s="15" t="s">
        <v>100</v>
      </c>
      <c r="C316" s="15" t="s">
        <v>72</v>
      </c>
      <c r="D316" s="16">
        <v>46088</v>
      </c>
      <c r="E316" s="16">
        <v>46091</v>
      </c>
      <c r="F316" s="15" t="s">
        <v>103</v>
      </c>
      <c r="G316" s="15" t="s">
        <v>28</v>
      </c>
      <c r="H316" s="16">
        <v>32836</v>
      </c>
      <c r="I316" s="15" t="s">
        <v>59</v>
      </c>
      <c r="J316" s="15" t="s">
        <v>31</v>
      </c>
      <c r="K316" s="15" t="s">
        <v>46</v>
      </c>
      <c r="L316" s="15" t="s">
        <v>78</v>
      </c>
      <c r="M316" s="15">
        <v>7</v>
      </c>
      <c r="N316" s="15">
        <v>1200</v>
      </c>
      <c r="O316" s="15">
        <v>15</v>
      </c>
      <c r="P316" s="15">
        <v>7140</v>
      </c>
      <c r="Q316" s="15">
        <v>5</v>
      </c>
      <c r="R316" s="15" t="s">
        <v>88</v>
      </c>
      <c r="S316" s="15" t="s">
        <v>49</v>
      </c>
      <c r="T316" s="15" t="s">
        <v>144</v>
      </c>
      <c r="U316" s="18" t="s">
        <v>1442</v>
      </c>
      <c r="V316" s="15" t="s">
        <v>64</v>
      </c>
      <c r="W316" s="15">
        <f t="shared" ca="1" si="8"/>
        <v>36</v>
      </c>
      <c r="X316" s="15">
        <f t="shared" si="9"/>
        <v>3</v>
      </c>
      <c r="Y316" s="15" t="str" cm="1">
        <f t="array" ref="Y316">_xlfn.IFS(ISERROR(X316), "Pending", X316&lt;=5, "On Time", X316&gt;5, "Delayed")</f>
        <v>On Time</v>
      </c>
    </row>
    <row r="317" spans="1:25" x14ac:dyDescent="0.3">
      <c r="A317" s="19" t="s">
        <v>1443</v>
      </c>
      <c r="B317" s="19" t="s">
        <v>83</v>
      </c>
      <c r="C317" s="19" t="s">
        <v>40</v>
      </c>
      <c r="D317" s="20">
        <v>46017</v>
      </c>
      <c r="E317" s="20">
        <v>46021</v>
      </c>
      <c r="F317" s="19" t="s">
        <v>180</v>
      </c>
      <c r="G317" s="19" t="s">
        <v>76</v>
      </c>
      <c r="H317" s="20">
        <v>32253</v>
      </c>
      <c r="I317" s="19" t="s">
        <v>212</v>
      </c>
      <c r="J317" s="19" t="s">
        <v>45</v>
      </c>
      <c r="K317" s="19" t="s">
        <v>46</v>
      </c>
      <c r="L317" s="19" t="s">
        <v>47</v>
      </c>
      <c r="M317" s="19">
        <v>17</v>
      </c>
      <c r="N317" s="19">
        <v>12000</v>
      </c>
      <c r="O317" s="19">
        <v>5</v>
      </c>
      <c r="P317" s="19">
        <v>193800</v>
      </c>
      <c r="Q317" s="19">
        <v>1</v>
      </c>
      <c r="R317" s="19" t="s">
        <v>34</v>
      </c>
      <c r="S317" s="19" t="s">
        <v>61</v>
      </c>
      <c r="T317" s="19" t="s">
        <v>89</v>
      </c>
      <c r="U317" s="21" t="s">
        <v>1446</v>
      </c>
      <c r="V317" s="19" t="s">
        <v>69</v>
      </c>
      <c r="W317" s="19">
        <f t="shared" ca="1" si="8"/>
        <v>38</v>
      </c>
      <c r="X317" s="19">
        <f t="shared" si="9"/>
        <v>4</v>
      </c>
      <c r="Y317" s="19" t="str" cm="1">
        <f t="array" ref="Y317">_xlfn.IFS(ISERROR(X317), "Pending", X317&lt;=5, "On Time", X317&gt;5, "Delayed")</f>
        <v>On Time</v>
      </c>
    </row>
    <row r="318" spans="1:25" x14ac:dyDescent="0.3">
      <c r="A318" s="15" t="s">
        <v>1447</v>
      </c>
      <c r="B318" s="15" t="s">
        <v>83</v>
      </c>
      <c r="C318" s="15" t="s">
        <v>222</v>
      </c>
      <c r="D318" s="16">
        <v>46131</v>
      </c>
      <c r="E318" s="16">
        <v>46137</v>
      </c>
      <c r="F318" s="15" t="s">
        <v>180</v>
      </c>
      <c r="G318" s="15" t="s">
        <v>76</v>
      </c>
      <c r="H318" s="16">
        <v>28532</v>
      </c>
      <c r="I318" s="15" t="s">
        <v>59</v>
      </c>
      <c r="J318" s="15" t="s">
        <v>31</v>
      </c>
      <c r="K318" s="15" t="s">
        <v>122</v>
      </c>
      <c r="L318" s="15" t="s">
        <v>227</v>
      </c>
      <c r="M318" s="15">
        <v>10</v>
      </c>
      <c r="N318" s="15">
        <v>20</v>
      </c>
      <c r="O318" s="15">
        <v>5</v>
      </c>
      <c r="P318" s="15">
        <v>190</v>
      </c>
      <c r="Q318" s="15">
        <v>2</v>
      </c>
      <c r="R318" s="15" t="s">
        <v>34</v>
      </c>
      <c r="S318" s="15" t="s">
        <v>61</v>
      </c>
      <c r="T318" s="15" t="s">
        <v>89</v>
      </c>
      <c r="U318" s="18" t="s">
        <v>1449</v>
      </c>
      <c r="V318" s="15" t="s">
        <v>69</v>
      </c>
      <c r="W318" s="15">
        <f t="shared" ca="1" si="8"/>
        <v>48</v>
      </c>
      <c r="X318" s="15">
        <f t="shared" si="9"/>
        <v>6</v>
      </c>
      <c r="Y318" s="15" t="str" cm="1">
        <f t="array" ref="Y318">_xlfn.IFS(ISERROR(X318), "Pending", X318&lt;=5, "On Time", X318&gt;5, "Delayed")</f>
        <v>Delayed</v>
      </c>
    </row>
    <row r="319" spans="1:25" x14ac:dyDescent="0.3">
      <c r="A319" s="19" t="s">
        <v>1450</v>
      </c>
      <c r="B319" s="19" t="s">
        <v>168</v>
      </c>
      <c r="C319" s="19" t="s">
        <v>24</v>
      </c>
      <c r="D319" s="20">
        <v>45966</v>
      </c>
      <c r="E319" s="20">
        <v>45969</v>
      </c>
      <c r="F319" s="19" t="s">
        <v>361</v>
      </c>
      <c r="G319" s="19" t="s">
        <v>28</v>
      </c>
      <c r="H319" s="20">
        <v>32855</v>
      </c>
      <c r="I319" s="19" t="s">
        <v>44</v>
      </c>
      <c r="J319" s="19" t="s">
        <v>45</v>
      </c>
      <c r="K319" s="19" t="s">
        <v>32</v>
      </c>
      <c r="L319" s="19" t="s">
        <v>33</v>
      </c>
      <c r="M319" s="19">
        <v>11</v>
      </c>
      <c r="N319" s="19">
        <v>2200</v>
      </c>
      <c r="O319" s="19">
        <v>5</v>
      </c>
      <c r="P319" s="19">
        <v>22990</v>
      </c>
      <c r="Q319" s="19">
        <v>5</v>
      </c>
      <c r="R319" s="19" t="s">
        <v>79</v>
      </c>
      <c r="S319" s="19" t="s">
        <v>49</v>
      </c>
      <c r="T319" s="19" t="s">
        <v>175</v>
      </c>
      <c r="U319" s="21" t="s">
        <v>1453</v>
      </c>
      <c r="V319" s="19" t="s">
        <v>64</v>
      </c>
      <c r="W319" s="19">
        <f t="shared" ca="1" si="8"/>
        <v>36</v>
      </c>
      <c r="X319" s="19">
        <f t="shared" si="9"/>
        <v>3</v>
      </c>
      <c r="Y319" s="19" t="str" cm="1">
        <f t="array" ref="Y319">_xlfn.IFS(ISERROR(X319), "Pending", X319&lt;=5, "On Time", X319&gt;5, "Delayed")</f>
        <v>On Time</v>
      </c>
    </row>
    <row r="320" spans="1:25" x14ac:dyDescent="0.3">
      <c r="A320" s="15" t="s">
        <v>1454</v>
      </c>
      <c r="B320" s="15" t="s">
        <v>100</v>
      </c>
      <c r="C320" s="15" t="s">
        <v>118</v>
      </c>
      <c r="D320" s="16">
        <v>46077</v>
      </c>
      <c r="E320" s="16">
        <v>46081</v>
      </c>
      <c r="F320" s="15" t="s">
        <v>103</v>
      </c>
      <c r="G320" s="15" t="s">
        <v>28</v>
      </c>
      <c r="H320" s="16">
        <v>34912</v>
      </c>
      <c r="I320" s="15" t="s">
        <v>212</v>
      </c>
      <c r="J320" s="15" t="s">
        <v>45</v>
      </c>
      <c r="K320" s="15" t="s">
        <v>122</v>
      </c>
      <c r="L320" s="15" t="s">
        <v>123</v>
      </c>
      <c r="M320" s="15">
        <v>8</v>
      </c>
      <c r="N320" s="15">
        <v>60</v>
      </c>
      <c r="O320" s="15">
        <v>15</v>
      </c>
      <c r="P320" s="15">
        <v>408</v>
      </c>
      <c r="Q320" s="15">
        <v>4</v>
      </c>
      <c r="R320" s="15" t="s">
        <v>34</v>
      </c>
      <c r="S320" s="15" t="s">
        <v>49</v>
      </c>
      <c r="T320" s="15" t="s">
        <v>144</v>
      </c>
      <c r="U320" s="18" t="s">
        <v>1456</v>
      </c>
      <c r="V320" s="15" t="s">
        <v>64</v>
      </c>
      <c r="W320" s="15">
        <f t="shared" ca="1" si="8"/>
        <v>31</v>
      </c>
      <c r="X320" s="15">
        <f t="shared" si="9"/>
        <v>4</v>
      </c>
      <c r="Y320" s="15" t="str" cm="1">
        <f t="array" ref="Y320">_xlfn.IFS(ISERROR(X320), "Pending", X320&lt;=5, "On Time", X320&gt;5, "Delayed")</f>
        <v>On Time</v>
      </c>
    </row>
    <row r="321" spans="1:25" x14ac:dyDescent="0.3">
      <c r="A321" s="19" t="s">
        <v>1457</v>
      </c>
      <c r="B321" s="19" t="s">
        <v>221</v>
      </c>
      <c r="C321" s="19" t="s">
        <v>259</v>
      </c>
      <c r="D321" s="20">
        <v>45739</v>
      </c>
      <c r="E321" s="20">
        <v>45741</v>
      </c>
      <c r="F321" s="19" t="s">
        <v>225</v>
      </c>
      <c r="G321" s="19" t="s">
        <v>76</v>
      </c>
      <c r="H321" s="20">
        <v>34630</v>
      </c>
      <c r="I321" s="19" t="s">
        <v>44</v>
      </c>
      <c r="J321" s="19" t="s">
        <v>45</v>
      </c>
      <c r="K321" s="19" t="s">
        <v>122</v>
      </c>
      <c r="L321" s="19" t="s">
        <v>263</v>
      </c>
      <c r="M321" s="19">
        <v>17</v>
      </c>
      <c r="N321" s="19">
        <v>45</v>
      </c>
      <c r="O321" s="19">
        <v>15</v>
      </c>
      <c r="P321" s="19">
        <v>650.25</v>
      </c>
      <c r="Q321" s="19">
        <v>2</v>
      </c>
      <c r="R321" s="19" t="s">
        <v>88</v>
      </c>
      <c r="S321" s="19" t="s">
        <v>151</v>
      </c>
      <c r="T321" s="19" t="s">
        <v>228</v>
      </c>
      <c r="U321" s="21" t="s">
        <v>1459</v>
      </c>
      <c r="V321" s="19" t="s">
        <v>38</v>
      </c>
      <c r="W321" s="19">
        <f t="shared" ca="1" si="8"/>
        <v>31</v>
      </c>
      <c r="X321" s="19">
        <f t="shared" si="9"/>
        <v>2</v>
      </c>
      <c r="Y321" s="19" t="str" cm="1">
        <f t="array" ref="Y321">_xlfn.IFS(ISERROR(X321), "Pending", X321&lt;=5, "On Time", X321&gt;5, "Delayed")</f>
        <v>On Time</v>
      </c>
    </row>
    <row r="322" spans="1:25" x14ac:dyDescent="0.3">
      <c r="A322" s="15" t="s">
        <v>1460</v>
      </c>
      <c r="B322" s="15" t="s">
        <v>327</v>
      </c>
      <c r="C322" s="15" t="s">
        <v>184</v>
      </c>
      <c r="D322" s="16">
        <v>45715</v>
      </c>
      <c r="E322" s="16">
        <v>45726</v>
      </c>
      <c r="F322" s="15" t="s">
        <v>394</v>
      </c>
      <c r="G322" s="15" t="s">
        <v>76</v>
      </c>
      <c r="H322" s="16">
        <v>35206</v>
      </c>
      <c r="I322" s="15" t="s">
        <v>212</v>
      </c>
      <c r="J322" s="15" t="s">
        <v>45</v>
      </c>
      <c r="K322" s="15" t="s">
        <v>46</v>
      </c>
      <c r="L322" s="15" t="s">
        <v>189</v>
      </c>
      <c r="M322" s="15">
        <v>14</v>
      </c>
      <c r="N322" s="15">
        <v>700</v>
      </c>
      <c r="O322" s="15">
        <v>15</v>
      </c>
      <c r="P322" s="15">
        <v>8330</v>
      </c>
      <c r="Q322" s="15">
        <v>1</v>
      </c>
      <c r="R322" s="15" t="s">
        <v>79</v>
      </c>
      <c r="S322" s="15" t="s">
        <v>115</v>
      </c>
      <c r="T322" s="15" t="s">
        <v>332</v>
      </c>
      <c r="U322" s="18" t="s">
        <v>1463</v>
      </c>
      <c r="V322" s="15" t="s">
        <v>38</v>
      </c>
      <c r="W322" s="15">
        <f t="shared" ca="1" si="8"/>
        <v>30</v>
      </c>
      <c r="X322" s="15">
        <f t="shared" si="9"/>
        <v>11</v>
      </c>
      <c r="Y322" s="15" t="str" cm="1">
        <f t="array" ref="Y322">_xlfn.IFS(ISERROR(X322), "Pending", X322&lt;=5, "On Time", X322&gt;5, "Delayed")</f>
        <v>Delayed</v>
      </c>
    </row>
    <row r="323" spans="1:25" x14ac:dyDescent="0.3">
      <c r="A323" s="19" t="s">
        <v>1464</v>
      </c>
      <c r="B323" s="19" t="s">
        <v>83</v>
      </c>
      <c r="C323" s="19" t="s">
        <v>72</v>
      </c>
      <c r="D323" s="20">
        <v>45811</v>
      </c>
      <c r="E323" s="20">
        <v>45822</v>
      </c>
      <c r="F323" s="19" t="s">
        <v>180</v>
      </c>
      <c r="G323" s="19" t="s">
        <v>76</v>
      </c>
      <c r="H323" s="20">
        <v>30097</v>
      </c>
      <c r="I323" s="19" t="s">
        <v>114</v>
      </c>
      <c r="J323" s="19" t="s">
        <v>106</v>
      </c>
      <c r="K323" s="19" t="s">
        <v>46</v>
      </c>
      <c r="L323" s="19" t="s">
        <v>78</v>
      </c>
      <c r="M323" s="19">
        <v>3</v>
      </c>
      <c r="N323" s="19">
        <v>1200</v>
      </c>
      <c r="O323" s="19">
        <v>5</v>
      </c>
      <c r="P323" s="19">
        <v>3420</v>
      </c>
      <c r="Q323" s="19">
        <v>3</v>
      </c>
      <c r="R323" s="19" t="s">
        <v>48</v>
      </c>
      <c r="S323" s="19" t="s">
        <v>151</v>
      </c>
      <c r="T323" s="19" t="s">
        <v>89</v>
      </c>
      <c r="U323" s="21" t="s">
        <v>1467</v>
      </c>
      <c r="V323" s="19" t="s">
        <v>38</v>
      </c>
      <c r="W323" s="19">
        <f t="shared" ref="W323:W386" ca="1" si="10">DATEDIF(H323,TODAY(),"Y")</f>
        <v>44</v>
      </c>
      <c r="X323" s="19">
        <f t="shared" ref="X323:X386" si="11">DATEDIF(D323,E323,"D")</f>
        <v>11</v>
      </c>
      <c r="Y323" s="19" t="str" cm="1">
        <f t="array" ref="Y323">_xlfn.IFS(ISERROR(X323), "Pending", X323&lt;=5, "On Time", X323&gt;5, "Delayed")</f>
        <v>Delayed</v>
      </c>
    </row>
    <row r="324" spans="1:25" x14ac:dyDescent="0.3">
      <c r="A324" s="15" t="s">
        <v>1468</v>
      </c>
      <c r="B324" s="15" t="s">
        <v>23</v>
      </c>
      <c r="C324" s="15" t="s">
        <v>72</v>
      </c>
      <c r="D324" s="16">
        <v>45845</v>
      </c>
      <c r="E324" s="16">
        <v>45854</v>
      </c>
      <c r="F324" s="15" t="s">
        <v>27</v>
      </c>
      <c r="G324" s="15" t="s">
        <v>28</v>
      </c>
      <c r="H324" s="16">
        <v>37217</v>
      </c>
      <c r="I324" s="15" t="s">
        <v>138</v>
      </c>
      <c r="J324" s="15" t="s">
        <v>106</v>
      </c>
      <c r="K324" s="15" t="s">
        <v>46</v>
      </c>
      <c r="L324" s="15" t="s">
        <v>78</v>
      </c>
      <c r="M324" s="15">
        <v>9</v>
      </c>
      <c r="N324" s="15">
        <v>1200</v>
      </c>
      <c r="O324" s="15">
        <v>15</v>
      </c>
      <c r="P324" s="15">
        <v>9180</v>
      </c>
      <c r="Q324" s="15">
        <v>3</v>
      </c>
      <c r="R324" s="15" t="s">
        <v>34</v>
      </c>
      <c r="S324" s="15" t="s">
        <v>49</v>
      </c>
      <c r="T324" s="15" t="s">
        <v>50</v>
      </c>
      <c r="U324" s="18" t="s">
        <v>1470</v>
      </c>
      <c r="V324" s="15" t="s">
        <v>38</v>
      </c>
      <c r="W324" s="15">
        <f t="shared" ca="1" si="10"/>
        <v>24</v>
      </c>
      <c r="X324" s="15">
        <f t="shared" si="11"/>
        <v>9</v>
      </c>
      <c r="Y324" s="15" t="str" cm="1">
        <f t="array" ref="Y324">_xlfn.IFS(ISERROR(X324), "Pending", X324&lt;=5, "On Time", X324&gt;5, "Delayed")</f>
        <v>Delayed</v>
      </c>
    </row>
    <row r="325" spans="1:25" x14ac:dyDescent="0.3">
      <c r="A325" s="19" t="s">
        <v>1471</v>
      </c>
      <c r="B325" s="19" t="s">
        <v>251</v>
      </c>
      <c r="C325" s="19" t="s">
        <v>222</v>
      </c>
      <c r="D325" s="20">
        <v>46132</v>
      </c>
      <c r="E325" s="20">
        <v>46133</v>
      </c>
      <c r="F325" s="19" t="s">
        <v>254</v>
      </c>
      <c r="G325" s="19" t="s">
        <v>28</v>
      </c>
      <c r="H325" s="20">
        <v>32565</v>
      </c>
      <c r="I325" s="19" t="s">
        <v>105</v>
      </c>
      <c r="J325" s="19" t="s">
        <v>106</v>
      </c>
      <c r="K325" s="19" t="s">
        <v>122</v>
      </c>
      <c r="L325" s="19" t="s">
        <v>227</v>
      </c>
      <c r="M325" s="19">
        <v>5</v>
      </c>
      <c r="N325" s="19">
        <v>20</v>
      </c>
      <c r="O325" s="19">
        <v>5</v>
      </c>
      <c r="P325" s="19">
        <v>95</v>
      </c>
      <c r="Q325" s="19">
        <v>4</v>
      </c>
      <c r="R325" s="19" t="s">
        <v>34</v>
      </c>
      <c r="S325" s="19" t="s">
        <v>151</v>
      </c>
      <c r="T325" s="19" t="s">
        <v>256</v>
      </c>
      <c r="U325" s="21" t="s">
        <v>1473</v>
      </c>
      <c r="V325" s="19" t="s">
        <v>38</v>
      </c>
      <c r="W325" s="19">
        <f t="shared" ca="1" si="10"/>
        <v>37</v>
      </c>
      <c r="X325" s="19">
        <f t="shared" si="11"/>
        <v>1</v>
      </c>
      <c r="Y325" s="19" t="str" cm="1">
        <f t="array" ref="Y325">_xlfn.IFS(ISERROR(X325), "Pending", X325&lt;=5, "On Time", X325&gt;5, "Delayed")</f>
        <v>On Time</v>
      </c>
    </row>
    <row r="326" spans="1:25" x14ac:dyDescent="0.3">
      <c r="A326" s="15" t="s">
        <v>1474</v>
      </c>
      <c r="B326" s="15" t="s">
        <v>251</v>
      </c>
      <c r="C326" s="15" t="s">
        <v>24</v>
      </c>
      <c r="D326" s="16">
        <v>46001</v>
      </c>
      <c r="E326" s="16">
        <v>46012</v>
      </c>
      <c r="F326" s="15" t="s">
        <v>254</v>
      </c>
      <c r="G326" s="15" t="s">
        <v>28</v>
      </c>
      <c r="H326" s="16">
        <v>31277</v>
      </c>
      <c r="I326" s="15" t="s">
        <v>138</v>
      </c>
      <c r="J326" s="15" t="s">
        <v>106</v>
      </c>
      <c r="K326" s="15" t="s">
        <v>32</v>
      </c>
      <c r="L326" s="15" t="s">
        <v>33</v>
      </c>
      <c r="M326" s="15">
        <v>8</v>
      </c>
      <c r="N326" s="15">
        <v>2200</v>
      </c>
      <c r="O326" s="15">
        <v>10</v>
      </c>
      <c r="P326" s="15">
        <v>15840</v>
      </c>
      <c r="Q326" s="15">
        <v>4</v>
      </c>
      <c r="R326" s="15" t="s">
        <v>88</v>
      </c>
      <c r="S326" s="15" t="s">
        <v>61</v>
      </c>
      <c r="T326" s="15" t="s">
        <v>256</v>
      </c>
      <c r="U326" s="18" t="s">
        <v>1478</v>
      </c>
      <c r="V326" s="15" t="s">
        <v>69</v>
      </c>
      <c r="W326" s="15">
        <f t="shared" ca="1" si="10"/>
        <v>41</v>
      </c>
      <c r="X326" s="15">
        <f t="shared" si="11"/>
        <v>11</v>
      </c>
      <c r="Y326" s="15" t="str" cm="1">
        <f t="array" ref="Y326">_xlfn.IFS(ISERROR(X326), "Pending", X326&lt;=5, "On Time", X326&gt;5, "Delayed")</f>
        <v>Delayed</v>
      </c>
    </row>
    <row r="327" spans="1:25" x14ac:dyDescent="0.3">
      <c r="A327" s="19" t="s">
        <v>1479</v>
      </c>
      <c r="B327" s="19" t="s">
        <v>251</v>
      </c>
      <c r="C327" s="19" t="s">
        <v>184</v>
      </c>
      <c r="D327" s="20">
        <v>46089</v>
      </c>
      <c r="E327" s="20">
        <v>46093</v>
      </c>
      <c r="F327" s="19" t="s">
        <v>254</v>
      </c>
      <c r="G327" s="19" t="s">
        <v>28</v>
      </c>
      <c r="H327" s="20">
        <v>29281</v>
      </c>
      <c r="I327" s="19" t="s">
        <v>105</v>
      </c>
      <c r="J327" s="19" t="s">
        <v>106</v>
      </c>
      <c r="K327" s="19" t="s">
        <v>46</v>
      </c>
      <c r="L327" s="19" t="s">
        <v>189</v>
      </c>
      <c r="M327" s="19">
        <v>10</v>
      </c>
      <c r="N327" s="19">
        <v>700</v>
      </c>
      <c r="O327" s="19">
        <v>20</v>
      </c>
      <c r="P327" s="19">
        <v>5600</v>
      </c>
      <c r="Q327" s="19">
        <v>1</v>
      </c>
      <c r="R327" s="19" t="s">
        <v>88</v>
      </c>
      <c r="S327" s="19" t="s">
        <v>115</v>
      </c>
      <c r="T327" s="19" t="s">
        <v>256</v>
      </c>
      <c r="U327" s="21" t="s">
        <v>1482</v>
      </c>
      <c r="V327" s="19" t="s">
        <v>38</v>
      </c>
      <c r="W327" s="19">
        <f t="shared" ca="1" si="10"/>
        <v>46</v>
      </c>
      <c r="X327" s="19">
        <f t="shared" si="11"/>
        <v>4</v>
      </c>
      <c r="Y327" s="19" t="str" cm="1">
        <f t="array" ref="Y327">_xlfn.IFS(ISERROR(X327), "Pending", X327&lt;=5, "On Time", X327&gt;5, "Delayed")</f>
        <v>On Time</v>
      </c>
    </row>
    <row r="328" spans="1:25" x14ac:dyDescent="0.3">
      <c r="A328" s="15" t="s">
        <v>1483</v>
      </c>
      <c r="B328" s="15" t="s">
        <v>83</v>
      </c>
      <c r="C328" s="15" t="s">
        <v>184</v>
      </c>
      <c r="D328" s="16">
        <v>45986</v>
      </c>
      <c r="E328" s="16">
        <v>45989</v>
      </c>
      <c r="F328" s="15" t="s">
        <v>180</v>
      </c>
      <c r="G328" s="15" t="s">
        <v>76</v>
      </c>
      <c r="H328" s="16">
        <v>28703</v>
      </c>
      <c r="I328" s="15" t="s">
        <v>59</v>
      </c>
      <c r="J328" s="15" t="s">
        <v>31</v>
      </c>
      <c r="K328" s="15" t="s">
        <v>46</v>
      </c>
      <c r="L328" s="15" t="s">
        <v>189</v>
      </c>
      <c r="M328" s="15">
        <v>2</v>
      </c>
      <c r="N328" s="15">
        <v>700</v>
      </c>
      <c r="O328" s="15">
        <v>20</v>
      </c>
      <c r="P328" s="15">
        <v>1120</v>
      </c>
      <c r="Q328" s="15">
        <v>2</v>
      </c>
      <c r="R328" s="15" t="s">
        <v>34</v>
      </c>
      <c r="S328" s="15" t="s">
        <v>115</v>
      </c>
      <c r="T328" s="15" t="s">
        <v>89</v>
      </c>
      <c r="U328" s="18" t="s">
        <v>1487</v>
      </c>
      <c r="V328" s="15" t="s">
        <v>64</v>
      </c>
      <c r="W328" s="15">
        <f t="shared" ca="1" si="10"/>
        <v>48</v>
      </c>
      <c r="X328" s="15">
        <f t="shared" si="11"/>
        <v>3</v>
      </c>
      <c r="Y328" s="15" t="str" cm="1">
        <f t="array" ref="Y328">_xlfn.IFS(ISERROR(X328), "Pending", X328&lt;=5, "On Time", X328&gt;5, "Delayed")</f>
        <v>On Time</v>
      </c>
    </row>
    <row r="329" spans="1:25" x14ac:dyDescent="0.3">
      <c r="A329" s="19" t="s">
        <v>1488</v>
      </c>
      <c r="B329" s="19" t="s">
        <v>221</v>
      </c>
      <c r="C329" s="19" t="s">
        <v>92</v>
      </c>
      <c r="D329" s="20">
        <v>45827</v>
      </c>
      <c r="E329" s="20">
        <v>45836</v>
      </c>
      <c r="F329" s="19" t="s">
        <v>225</v>
      </c>
      <c r="G329" s="19" t="s">
        <v>76</v>
      </c>
      <c r="H329" s="20">
        <v>33732</v>
      </c>
      <c r="I329" s="19" t="s">
        <v>114</v>
      </c>
      <c r="J329" s="19" t="s">
        <v>106</v>
      </c>
      <c r="K329" s="19" t="s">
        <v>32</v>
      </c>
      <c r="L329" s="19" t="s">
        <v>97</v>
      </c>
      <c r="M329" s="19">
        <v>16</v>
      </c>
      <c r="N329" s="19">
        <v>3500</v>
      </c>
      <c r="O329" s="19">
        <v>20</v>
      </c>
      <c r="P329" s="19">
        <v>44800</v>
      </c>
      <c r="Q329" s="19">
        <v>2</v>
      </c>
      <c r="R329" s="19" t="s">
        <v>88</v>
      </c>
      <c r="S329" s="19" t="s">
        <v>35</v>
      </c>
      <c r="T329" s="19" t="s">
        <v>228</v>
      </c>
      <c r="U329" s="21" t="s">
        <v>1490</v>
      </c>
      <c r="V329" s="19" t="s">
        <v>64</v>
      </c>
      <c r="W329" s="19">
        <f t="shared" ca="1" si="10"/>
        <v>34</v>
      </c>
      <c r="X329" s="19">
        <f t="shared" si="11"/>
        <v>9</v>
      </c>
      <c r="Y329" s="19" t="str" cm="1">
        <f t="array" ref="Y329">_xlfn.IFS(ISERROR(X329), "Pending", X329&lt;=5, "On Time", X329&gt;5, "Delayed")</f>
        <v>Delayed</v>
      </c>
    </row>
    <row r="330" spans="1:25" x14ac:dyDescent="0.3">
      <c r="A330" s="15" t="s">
        <v>1491</v>
      </c>
      <c r="B330" s="15" t="s">
        <v>168</v>
      </c>
      <c r="C330" s="15" t="s">
        <v>92</v>
      </c>
      <c r="D330" s="16">
        <v>45860</v>
      </c>
      <c r="E330" s="16">
        <v>45870</v>
      </c>
      <c r="F330" s="15" t="s">
        <v>361</v>
      </c>
      <c r="G330" s="15" t="s">
        <v>28</v>
      </c>
      <c r="H330" s="16">
        <v>38349</v>
      </c>
      <c r="I330" s="15" t="s">
        <v>44</v>
      </c>
      <c r="J330" s="15" t="s">
        <v>45</v>
      </c>
      <c r="K330" s="15" t="s">
        <v>32</v>
      </c>
      <c r="L330" s="15" t="s">
        <v>97</v>
      </c>
      <c r="M330" s="15">
        <v>9</v>
      </c>
      <c r="N330" s="15">
        <v>3500</v>
      </c>
      <c r="O330" s="15">
        <v>20</v>
      </c>
      <c r="P330" s="15">
        <v>25200</v>
      </c>
      <c r="Q330" s="15">
        <v>1</v>
      </c>
      <c r="R330" s="15" t="s">
        <v>79</v>
      </c>
      <c r="S330" s="15" t="s">
        <v>49</v>
      </c>
      <c r="T330" s="15" t="s">
        <v>175</v>
      </c>
      <c r="U330" s="18" t="s">
        <v>1493</v>
      </c>
      <c r="V330" s="15" t="s">
        <v>69</v>
      </c>
      <c r="W330" s="15">
        <f t="shared" ca="1" si="10"/>
        <v>21</v>
      </c>
      <c r="X330" s="15">
        <f t="shared" si="11"/>
        <v>10</v>
      </c>
      <c r="Y330" s="15" t="str" cm="1">
        <f t="array" ref="Y330">_xlfn.IFS(ISERROR(X330), "Pending", X330&lt;=5, "On Time", X330&gt;5, "Delayed")</f>
        <v>Delayed</v>
      </c>
    </row>
    <row r="331" spans="1:25" x14ac:dyDescent="0.3">
      <c r="A331" s="19" t="s">
        <v>1494</v>
      </c>
      <c r="B331" s="19" t="s">
        <v>127</v>
      </c>
      <c r="C331" s="19" t="s">
        <v>184</v>
      </c>
      <c r="D331" s="20">
        <v>45959</v>
      </c>
      <c r="E331" s="20">
        <v>45960</v>
      </c>
      <c r="F331" s="19" t="s">
        <v>200</v>
      </c>
      <c r="G331" s="19" t="s">
        <v>76</v>
      </c>
      <c r="H331" s="20">
        <v>37803</v>
      </c>
      <c r="I331" s="19" t="s">
        <v>30</v>
      </c>
      <c r="J331" s="19" t="s">
        <v>31</v>
      </c>
      <c r="K331" s="19" t="s">
        <v>46</v>
      </c>
      <c r="L331" s="19" t="s">
        <v>189</v>
      </c>
      <c r="M331" s="19">
        <v>15</v>
      </c>
      <c r="N331" s="19">
        <v>700</v>
      </c>
      <c r="O331" s="19">
        <v>5</v>
      </c>
      <c r="P331" s="19">
        <v>9975</v>
      </c>
      <c r="Q331" s="19">
        <v>1</v>
      </c>
      <c r="R331" s="19" t="s">
        <v>34</v>
      </c>
      <c r="S331" s="19" t="s">
        <v>49</v>
      </c>
      <c r="T331" s="19" t="s">
        <v>132</v>
      </c>
      <c r="U331" s="21" t="s">
        <v>1496</v>
      </c>
      <c r="V331" s="19" t="s">
        <v>69</v>
      </c>
      <c r="W331" s="19">
        <f t="shared" ca="1" si="10"/>
        <v>23</v>
      </c>
      <c r="X331" s="19">
        <f t="shared" si="11"/>
        <v>1</v>
      </c>
      <c r="Y331" s="19" t="str" cm="1">
        <f t="array" ref="Y331">_xlfn.IFS(ISERROR(X331), "Pending", X331&lt;=5, "On Time", X331&gt;5, "Delayed")</f>
        <v>On Time</v>
      </c>
    </row>
    <row r="332" spans="1:25" x14ac:dyDescent="0.3">
      <c r="A332" s="15" t="s">
        <v>1497</v>
      </c>
      <c r="B332" s="15" t="s">
        <v>53</v>
      </c>
      <c r="C332" s="15" t="s">
        <v>72</v>
      </c>
      <c r="D332" s="16">
        <v>46086</v>
      </c>
      <c r="E332" s="16">
        <v>46091</v>
      </c>
      <c r="F332" s="15" t="s">
        <v>163</v>
      </c>
      <c r="G332" s="15" t="s">
        <v>28</v>
      </c>
      <c r="H332" s="16">
        <v>34215</v>
      </c>
      <c r="I332" s="15" t="s">
        <v>138</v>
      </c>
      <c r="J332" s="15" t="s">
        <v>106</v>
      </c>
      <c r="K332" s="15" t="s">
        <v>46</v>
      </c>
      <c r="L332" s="15" t="s">
        <v>78</v>
      </c>
      <c r="M332" s="15">
        <v>13</v>
      </c>
      <c r="N332" s="15">
        <v>1200</v>
      </c>
      <c r="O332" s="15">
        <v>0</v>
      </c>
      <c r="P332" s="15">
        <v>15600</v>
      </c>
      <c r="Q332" s="15">
        <v>3</v>
      </c>
      <c r="R332" s="15" t="s">
        <v>48</v>
      </c>
      <c r="S332" s="15" t="s">
        <v>115</v>
      </c>
      <c r="T332" s="15" t="s">
        <v>62</v>
      </c>
      <c r="U332" s="18" t="s">
        <v>1499</v>
      </c>
      <c r="V332" s="15" t="s">
        <v>69</v>
      </c>
      <c r="W332" s="15">
        <f t="shared" ca="1" si="10"/>
        <v>33</v>
      </c>
      <c r="X332" s="15">
        <f t="shared" si="11"/>
        <v>5</v>
      </c>
      <c r="Y332" s="15" t="str" cm="1">
        <f t="array" ref="Y332">_xlfn.IFS(ISERROR(X332), "Pending", X332&lt;=5, "On Time", X332&gt;5, "Delayed")</f>
        <v>On Time</v>
      </c>
    </row>
    <row r="333" spans="1:25" x14ac:dyDescent="0.3">
      <c r="A333" s="19" t="s">
        <v>1500</v>
      </c>
      <c r="B333" s="19" t="s">
        <v>327</v>
      </c>
      <c r="C333" s="19" t="s">
        <v>40</v>
      </c>
      <c r="D333" s="20">
        <v>45895</v>
      </c>
      <c r="E333" s="20">
        <v>45907</v>
      </c>
      <c r="F333" s="19" t="s">
        <v>394</v>
      </c>
      <c r="G333" s="19" t="s">
        <v>76</v>
      </c>
      <c r="H333" s="20">
        <v>34034</v>
      </c>
      <c r="I333" s="19" t="s">
        <v>44</v>
      </c>
      <c r="J333" s="19" t="s">
        <v>45</v>
      </c>
      <c r="K333" s="19" t="s">
        <v>46</v>
      </c>
      <c r="L333" s="19" t="s">
        <v>47</v>
      </c>
      <c r="M333" s="19">
        <v>5</v>
      </c>
      <c r="N333" s="19">
        <v>12000</v>
      </c>
      <c r="O333" s="19">
        <v>10</v>
      </c>
      <c r="P333" s="19">
        <v>54000</v>
      </c>
      <c r="Q333" s="19">
        <v>3</v>
      </c>
      <c r="R333" s="19" t="s">
        <v>88</v>
      </c>
      <c r="S333" s="19" t="s">
        <v>49</v>
      </c>
      <c r="T333" s="19" t="s">
        <v>332</v>
      </c>
      <c r="U333" s="21" t="s">
        <v>1504</v>
      </c>
      <c r="V333" s="19" t="s">
        <v>38</v>
      </c>
      <c r="W333" s="19">
        <f t="shared" ca="1" si="10"/>
        <v>33</v>
      </c>
      <c r="X333" s="19">
        <f t="shared" si="11"/>
        <v>12</v>
      </c>
      <c r="Y333" s="19" t="str" cm="1">
        <f t="array" ref="Y333">_xlfn.IFS(ISERROR(X333), "Pending", X333&lt;=5, "On Time", X333&gt;5, "Delayed")</f>
        <v>Delayed</v>
      </c>
    </row>
    <row r="334" spans="1:25" x14ac:dyDescent="0.3">
      <c r="A334" s="15" t="s">
        <v>1505</v>
      </c>
      <c r="B334" s="15" t="s">
        <v>53</v>
      </c>
      <c r="C334" s="15" t="s">
        <v>259</v>
      </c>
      <c r="D334" s="16">
        <v>45752</v>
      </c>
      <c r="E334" s="16">
        <v>45755</v>
      </c>
      <c r="F334" s="15" t="s">
        <v>163</v>
      </c>
      <c r="G334" s="15" t="s">
        <v>28</v>
      </c>
      <c r="H334" s="16">
        <v>36445</v>
      </c>
      <c r="I334" s="15" t="s">
        <v>59</v>
      </c>
      <c r="J334" s="15" t="s">
        <v>31</v>
      </c>
      <c r="K334" s="15" t="s">
        <v>122</v>
      </c>
      <c r="L334" s="15" t="s">
        <v>263</v>
      </c>
      <c r="M334" s="15">
        <v>12</v>
      </c>
      <c r="N334" s="15">
        <v>45</v>
      </c>
      <c r="O334" s="15">
        <v>20</v>
      </c>
      <c r="P334" s="15">
        <v>432</v>
      </c>
      <c r="Q334" s="15">
        <v>3</v>
      </c>
      <c r="R334" s="15" t="s">
        <v>48</v>
      </c>
      <c r="S334" s="15" t="s">
        <v>61</v>
      </c>
      <c r="T334" s="15" t="s">
        <v>62</v>
      </c>
      <c r="U334" s="18" t="s">
        <v>1509</v>
      </c>
      <c r="V334" s="15" t="s">
        <v>38</v>
      </c>
      <c r="W334" s="15">
        <f t="shared" ca="1" si="10"/>
        <v>26</v>
      </c>
      <c r="X334" s="15">
        <f t="shared" si="11"/>
        <v>3</v>
      </c>
      <c r="Y334" s="15" t="str" cm="1">
        <f t="array" ref="Y334">_xlfn.IFS(ISERROR(X334), "Pending", X334&lt;=5, "On Time", X334&gt;5, "Delayed")</f>
        <v>On Time</v>
      </c>
    </row>
    <row r="335" spans="1:25" x14ac:dyDescent="0.3">
      <c r="A335" s="19" t="s">
        <v>1510</v>
      </c>
      <c r="B335" s="19" t="s">
        <v>23</v>
      </c>
      <c r="C335" s="19" t="s">
        <v>92</v>
      </c>
      <c r="D335" s="20">
        <v>45756</v>
      </c>
      <c r="E335" s="20">
        <v>45761</v>
      </c>
      <c r="F335" s="19" t="s">
        <v>27</v>
      </c>
      <c r="G335" s="19" t="s">
        <v>28</v>
      </c>
      <c r="H335" s="20">
        <v>27917</v>
      </c>
      <c r="I335" s="19" t="s">
        <v>59</v>
      </c>
      <c r="J335" s="19" t="s">
        <v>31</v>
      </c>
      <c r="K335" s="19" t="s">
        <v>32</v>
      </c>
      <c r="L335" s="19" t="s">
        <v>97</v>
      </c>
      <c r="M335" s="19">
        <v>2</v>
      </c>
      <c r="N335" s="19">
        <v>3500</v>
      </c>
      <c r="O335" s="19">
        <v>0</v>
      </c>
      <c r="P335" s="19">
        <v>7000</v>
      </c>
      <c r="Q335" s="19">
        <v>1</v>
      </c>
      <c r="R335" s="19" t="s">
        <v>48</v>
      </c>
      <c r="S335" s="19" t="s">
        <v>115</v>
      </c>
      <c r="T335" s="19" t="s">
        <v>50</v>
      </c>
      <c r="U335" s="21" t="s">
        <v>1512</v>
      </c>
      <c r="V335" s="19" t="s">
        <v>64</v>
      </c>
      <c r="W335" s="19">
        <f t="shared" ca="1" si="10"/>
        <v>50</v>
      </c>
      <c r="X335" s="19">
        <f t="shared" si="11"/>
        <v>5</v>
      </c>
      <c r="Y335" s="19" t="str" cm="1">
        <f t="array" ref="Y335">_xlfn.IFS(ISERROR(X335), "Pending", X335&lt;=5, "On Time", X335&gt;5, "Delayed")</f>
        <v>On Time</v>
      </c>
    </row>
    <row r="336" spans="1:25" x14ac:dyDescent="0.3">
      <c r="A336" s="15" t="s">
        <v>1513</v>
      </c>
      <c r="B336" s="15" t="s">
        <v>23</v>
      </c>
      <c r="C336" s="15" t="s">
        <v>24</v>
      </c>
      <c r="D336" s="16">
        <v>46155</v>
      </c>
      <c r="E336" s="16">
        <v>46158</v>
      </c>
      <c r="F336" s="15" t="s">
        <v>27</v>
      </c>
      <c r="G336" s="15" t="s">
        <v>28</v>
      </c>
      <c r="H336" s="16">
        <v>30982</v>
      </c>
      <c r="I336" s="15" t="s">
        <v>114</v>
      </c>
      <c r="J336" s="15" t="s">
        <v>106</v>
      </c>
      <c r="K336" s="15" t="s">
        <v>32</v>
      </c>
      <c r="L336" s="15" t="s">
        <v>33</v>
      </c>
      <c r="M336" s="15">
        <v>15</v>
      </c>
      <c r="N336" s="15">
        <v>2200</v>
      </c>
      <c r="O336" s="15">
        <v>15</v>
      </c>
      <c r="P336" s="15">
        <v>28050</v>
      </c>
      <c r="Q336" s="15">
        <v>2</v>
      </c>
      <c r="R336" s="15" t="s">
        <v>48</v>
      </c>
      <c r="S336" s="15" t="s">
        <v>49</v>
      </c>
      <c r="T336" s="15" t="s">
        <v>50</v>
      </c>
      <c r="U336" s="18" t="s">
        <v>1515</v>
      </c>
      <c r="V336" s="15" t="s">
        <v>64</v>
      </c>
      <c r="W336" s="15">
        <f t="shared" ca="1" si="10"/>
        <v>41</v>
      </c>
      <c r="X336" s="15">
        <f t="shared" si="11"/>
        <v>3</v>
      </c>
      <c r="Y336" s="15" t="str" cm="1">
        <f t="array" ref="Y336">_xlfn.IFS(ISERROR(X336), "Pending", X336&lt;=5, "On Time", X336&gt;5, "Delayed")</f>
        <v>On Time</v>
      </c>
    </row>
    <row r="337" spans="1:25" x14ac:dyDescent="0.3">
      <c r="A337" s="19" t="s">
        <v>1516</v>
      </c>
      <c r="B337" s="19" t="s">
        <v>100</v>
      </c>
      <c r="C337" s="19" t="s">
        <v>222</v>
      </c>
      <c r="D337" s="20">
        <v>45995</v>
      </c>
      <c r="E337" s="20">
        <v>46003</v>
      </c>
      <c r="F337" s="19" t="s">
        <v>103</v>
      </c>
      <c r="G337" s="19" t="s">
        <v>28</v>
      </c>
      <c r="H337" s="20">
        <v>27453</v>
      </c>
      <c r="I337" s="19" t="s">
        <v>138</v>
      </c>
      <c r="J337" s="19" t="s">
        <v>106</v>
      </c>
      <c r="K337" s="19" t="s">
        <v>122</v>
      </c>
      <c r="L337" s="19" t="s">
        <v>227</v>
      </c>
      <c r="M337" s="19">
        <v>8</v>
      </c>
      <c r="N337" s="19">
        <v>20</v>
      </c>
      <c r="O337" s="19">
        <v>20</v>
      </c>
      <c r="P337" s="19">
        <v>128</v>
      </c>
      <c r="Q337" s="19">
        <v>5</v>
      </c>
      <c r="R337" s="19" t="s">
        <v>88</v>
      </c>
      <c r="S337" s="19" t="s">
        <v>49</v>
      </c>
      <c r="T337" s="19" t="s">
        <v>144</v>
      </c>
      <c r="U337" s="21" t="s">
        <v>1518</v>
      </c>
      <c r="V337" s="19" t="s">
        <v>38</v>
      </c>
      <c r="W337" s="19">
        <f t="shared" ca="1" si="10"/>
        <v>51</v>
      </c>
      <c r="X337" s="19">
        <f t="shared" si="11"/>
        <v>8</v>
      </c>
      <c r="Y337" s="19" t="str" cm="1">
        <f t="array" ref="Y337">_xlfn.IFS(ISERROR(X337), "Pending", X337&lt;=5, "On Time", X337&gt;5, "Delayed")</f>
        <v>Delayed</v>
      </c>
    </row>
    <row r="338" spans="1:25" x14ac:dyDescent="0.3">
      <c r="A338" s="15" t="s">
        <v>1519</v>
      </c>
      <c r="B338" s="15" t="s">
        <v>127</v>
      </c>
      <c r="C338" s="15" t="s">
        <v>222</v>
      </c>
      <c r="D338" s="16">
        <v>46089</v>
      </c>
      <c r="E338" s="16">
        <v>46091</v>
      </c>
      <c r="F338" s="15" t="s">
        <v>200</v>
      </c>
      <c r="G338" s="15" t="s">
        <v>76</v>
      </c>
      <c r="H338" s="16">
        <v>34261</v>
      </c>
      <c r="I338" s="15" t="s">
        <v>30</v>
      </c>
      <c r="J338" s="15" t="s">
        <v>31</v>
      </c>
      <c r="K338" s="15" t="s">
        <v>122</v>
      </c>
      <c r="L338" s="15" t="s">
        <v>227</v>
      </c>
      <c r="M338" s="15">
        <v>1</v>
      </c>
      <c r="N338" s="15">
        <v>20</v>
      </c>
      <c r="O338" s="15">
        <v>0</v>
      </c>
      <c r="P338" s="15">
        <v>20</v>
      </c>
      <c r="Q338" s="15">
        <v>3</v>
      </c>
      <c r="R338" s="15" t="s">
        <v>88</v>
      </c>
      <c r="S338" s="15" t="s">
        <v>35</v>
      </c>
      <c r="T338" s="15" t="s">
        <v>132</v>
      </c>
      <c r="U338" s="18" t="s">
        <v>1521</v>
      </c>
      <c r="V338" s="15" t="s">
        <v>38</v>
      </c>
      <c r="W338" s="15">
        <f t="shared" ca="1" si="10"/>
        <v>32</v>
      </c>
      <c r="X338" s="15">
        <f t="shared" si="11"/>
        <v>2</v>
      </c>
      <c r="Y338" s="15" t="str" cm="1">
        <f t="array" ref="Y338">_xlfn.IFS(ISERROR(X338), "Pending", X338&lt;=5, "On Time", X338&gt;5, "Delayed")</f>
        <v>On Time</v>
      </c>
    </row>
    <row r="339" spans="1:25" x14ac:dyDescent="0.3">
      <c r="A339" s="19" t="s">
        <v>1522</v>
      </c>
      <c r="B339" s="19" t="s">
        <v>23</v>
      </c>
      <c r="C339" s="19" t="s">
        <v>184</v>
      </c>
      <c r="D339" s="20">
        <v>46027</v>
      </c>
      <c r="E339" s="20">
        <v>46038</v>
      </c>
      <c r="F339" s="19" t="s">
        <v>27</v>
      </c>
      <c r="G339" s="19" t="s">
        <v>28</v>
      </c>
      <c r="H339" s="20">
        <v>30614</v>
      </c>
      <c r="I339" s="19" t="s">
        <v>212</v>
      </c>
      <c r="J339" s="19" t="s">
        <v>45</v>
      </c>
      <c r="K339" s="19" t="s">
        <v>46</v>
      </c>
      <c r="L339" s="19" t="s">
        <v>189</v>
      </c>
      <c r="M339" s="19">
        <v>15</v>
      </c>
      <c r="N339" s="19">
        <v>700</v>
      </c>
      <c r="O339" s="19">
        <v>0</v>
      </c>
      <c r="P339" s="19">
        <v>10500</v>
      </c>
      <c r="Q339" s="19">
        <v>2</v>
      </c>
      <c r="R339" s="19" t="s">
        <v>88</v>
      </c>
      <c r="S339" s="19" t="s">
        <v>49</v>
      </c>
      <c r="T339" s="19" t="s">
        <v>50</v>
      </c>
      <c r="U339" s="21" t="s">
        <v>1524</v>
      </c>
      <c r="V339" s="19" t="s">
        <v>38</v>
      </c>
      <c r="W339" s="19">
        <f t="shared" ca="1" si="10"/>
        <v>42</v>
      </c>
      <c r="X339" s="19">
        <f t="shared" si="11"/>
        <v>11</v>
      </c>
      <c r="Y339" s="19" t="str" cm="1">
        <f t="array" ref="Y339">_xlfn.IFS(ISERROR(X339), "Pending", X339&lt;=5, "On Time", X339&gt;5, "Delayed")</f>
        <v>Delayed</v>
      </c>
    </row>
    <row r="340" spans="1:25" x14ac:dyDescent="0.3">
      <c r="A340" s="15" t="s">
        <v>1525</v>
      </c>
      <c r="B340" s="15" t="s">
        <v>327</v>
      </c>
      <c r="C340" s="15" t="s">
        <v>92</v>
      </c>
      <c r="D340" s="16">
        <v>45695</v>
      </c>
      <c r="E340" s="16">
        <v>45698</v>
      </c>
      <c r="F340" s="15" t="s">
        <v>394</v>
      </c>
      <c r="G340" s="15" t="s">
        <v>76</v>
      </c>
      <c r="H340" s="16">
        <v>30529</v>
      </c>
      <c r="I340" s="15" t="s">
        <v>30</v>
      </c>
      <c r="J340" s="15" t="s">
        <v>31</v>
      </c>
      <c r="K340" s="15" t="s">
        <v>32</v>
      </c>
      <c r="L340" s="15" t="s">
        <v>97</v>
      </c>
      <c r="M340" s="15">
        <v>15</v>
      </c>
      <c r="N340" s="15">
        <v>3500</v>
      </c>
      <c r="O340" s="15">
        <v>10</v>
      </c>
      <c r="P340" s="15">
        <v>47250</v>
      </c>
      <c r="Q340" s="15">
        <v>3</v>
      </c>
      <c r="R340" s="15" t="s">
        <v>34</v>
      </c>
      <c r="S340" s="15" t="s">
        <v>151</v>
      </c>
      <c r="T340" s="15" t="s">
        <v>332</v>
      </c>
      <c r="U340" s="18" t="s">
        <v>1528</v>
      </c>
      <c r="V340" s="15" t="s">
        <v>64</v>
      </c>
      <c r="W340" s="15">
        <f t="shared" ca="1" si="10"/>
        <v>43</v>
      </c>
      <c r="X340" s="15">
        <f t="shared" si="11"/>
        <v>3</v>
      </c>
      <c r="Y340" s="15" t="str" cm="1">
        <f t="array" ref="Y340">_xlfn.IFS(ISERROR(X340), "Pending", X340&lt;=5, "On Time", X340&gt;5, "Delayed")</f>
        <v>On Time</v>
      </c>
    </row>
    <row r="341" spans="1:25" x14ac:dyDescent="0.3">
      <c r="A341" s="19" t="s">
        <v>1529</v>
      </c>
      <c r="B341" s="19" t="s">
        <v>23</v>
      </c>
      <c r="C341" s="19" t="s">
        <v>118</v>
      </c>
      <c r="D341" s="20">
        <v>45866</v>
      </c>
      <c r="E341" s="20">
        <v>45876</v>
      </c>
      <c r="F341" s="19" t="s">
        <v>27</v>
      </c>
      <c r="G341" s="19" t="s">
        <v>28</v>
      </c>
      <c r="H341" s="20">
        <v>30664</v>
      </c>
      <c r="I341" s="19" t="s">
        <v>294</v>
      </c>
      <c r="J341" s="19" t="s">
        <v>295</v>
      </c>
      <c r="K341" s="19" t="s">
        <v>122</v>
      </c>
      <c r="L341" s="19" t="s">
        <v>123</v>
      </c>
      <c r="M341" s="19">
        <v>16</v>
      </c>
      <c r="N341" s="19">
        <v>60</v>
      </c>
      <c r="O341" s="19">
        <v>10</v>
      </c>
      <c r="P341" s="19">
        <v>864</v>
      </c>
      <c r="Q341" s="19">
        <v>4</v>
      </c>
      <c r="R341" s="19" t="s">
        <v>79</v>
      </c>
      <c r="S341" s="19" t="s">
        <v>61</v>
      </c>
      <c r="T341" s="19" t="s">
        <v>50</v>
      </c>
      <c r="U341" s="21" t="s">
        <v>1532</v>
      </c>
      <c r="V341" s="19" t="s">
        <v>38</v>
      </c>
      <c r="W341" s="19">
        <f t="shared" ca="1" si="10"/>
        <v>42</v>
      </c>
      <c r="X341" s="19">
        <f t="shared" si="11"/>
        <v>10</v>
      </c>
      <c r="Y341" s="19" t="str" cm="1">
        <f t="array" ref="Y341">_xlfn.IFS(ISERROR(X341), "Pending", X341&lt;=5, "On Time", X341&gt;5, "Delayed")</f>
        <v>Delayed</v>
      </c>
    </row>
    <row r="342" spans="1:25" x14ac:dyDescent="0.3">
      <c r="A342" s="15" t="s">
        <v>1533</v>
      </c>
      <c r="B342" s="15" t="s">
        <v>127</v>
      </c>
      <c r="C342" s="15" t="s">
        <v>259</v>
      </c>
      <c r="D342" s="16">
        <v>45945</v>
      </c>
      <c r="E342" s="16">
        <v>45951</v>
      </c>
      <c r="F342" s="15" t="s">
        <v>200</v>
      </c>
      <c r="G342" s="15" t="s">
        <v>76</v>
      </c>
      <c r="H342" s="16">
        <v>30585</v>
      </c>
      <c r="I342" s="15" t="s">
        <v>44</v>
      </c>
      <c r="J342" s="15" t="s">
        <v>45</v>
      </c>
      <c r="K342" s="15" t="s">
        <v>122</v>
      </c>
      <c r="L342" s="15" t="s">
        <v>263</v>
      </c>
      <c r="M342" s="15">
        <v>2</v>
      </c>
      <c r="N342" s="15">
        <v>45</v>
      </c>
      <c r="O342" s="15">
        <v>15</v>
      </c>
      <c r="P342" s="15">
        <v>76.5</v>
      </c>
      <c r="Q342" s="15">
        <v>1</v>
      </c>
      <c r="R342" s="15" t="s">
        <v>88</v>
      </c>
      <c r="S342" s="15" t="s">
        <v>151</v>
      </c>
      <c r="T342" s="15" t="s">
        <v>132</v>
      </c>
      <c r="U342" s="18" t="s">
        <v>1535</v>
      </c>
      <c r="V342" s="15" t="s">
        <v>69</v>
      </c>
      <c r="W342" s="15">
        <f t="shared" ca="1" si="10"/>
        <v>42</v>
      </c>
      <c r="X342" s="15">
        <f t="shared" si="11"/>
        <v>6</v>
      </c>
      <c r="Y342" s="15" t="str" cm="1">
        <f t="array" ref="Y342">_xlfn.IFS(ISERROR(X342), "Pending", X342&lt;=5, "On Time", X342&gt;5, "Delayed")</f>
        <v>Delayed</v>
      </c>
    </row>
    <row r="343" spans="1:25" x14ac:dyDescent="0.3">
      <c r="A343" s="19" t="s">
        <v>1536</v>
      </c>
      <c r="B343" s="19" t="s">
        <v>168</v>
      </c>
      <c r="C343" s="19" t="s">
        <v>118</v>
      </c>
      <c r="D343" s="20">
        <v>45997</v>
      </c>
      <c r="E343" s="20">
        <v>46006</v>
      </c>
      <c r="F343" s="19" t="s">
        <v>361</v>
      </c>
      <c r="G343" s="19" t="s">
        <v>28</v>
      </c>
      <c r="H343" s="20">
        <v>27537</v>
      </c>
      <c r="I343" s="19" t="s">
        <v>44</v>
      </c>
      <c r="J343" s="19" t="s">
        <v>45</v>
      </c>
      <c r="K343" s="19" t="s">
        <v>122</v>
      </c>
      <c r="L343" s="19" t="s">
        <v>123</v>
      </c>
      <c r="M343" s="19">
        <v>13</v>
      </c>
      <c r="N343" s="19">
        <v>60</v>
      </c>
      <c r="O343" s="19">
        <v>15</v>
      </c>
      <c r="P343" s="19">
        <v>663</v>
      </c>
      <c r="Q343" s="19">
        <v>2</v>
      </c>
      <c r="R343" s="19" t="s">
        <v>48</v>
      </c>
      <c r="S343" s="19" t="s">
        <v>61</v>
      </c>
      <c r="T343" s="19" t="s">
        <v>175</v>
      </c>
      <c r="U343" s="21" t="s">
        <v>1539</v>
      </c>
      <c r="V343" s="19" t="s">
        <v>69</v>
      </c>
      <c r="W343" s="19">
        <f t="shared" ca="1" si="10"/>
        <v>51</v>
      </c>
      <c r="X343" s="19">
        <f t="shared" si="11"/>
        <v>9</v>
      </c>
      <c r="Y343" s="19" t="str" cm="1">
        <f t="array" ref="Y343">_xlfn.IFS(ISERROR(X343), "Pending", X343&lt;=5, "On Time", X343&gt;5, "Delayed")</f>
        <v>Delayed</v>
      </c>
    </row>
    <row r="344" spans="1:25" x14ac:dyDescent="0.3">
      <c r="A344" s="15" t="s">
        <v>1540</v>
      </c>
      <c r="B344" s="15" t="s">
        <v>83</v>
      </c>
      <c r="C344" s="15" t="s">
        <v>40</v>
      </c>
      <c r="D344" s="16">
        <v>45797</v>
      </c>
      <c r="E344" s="16">
        <v>45799</v>
      </c>
      <c r="F344" s="15" t="s">
        <v>180</v>
      </c>
      <c r="G344" s="15" t="s">
        <v>76</v>
      </c>
      <c r="H344" s="16">
        <v>34588</v>
      </c>
      <c r="I344" s="15" t="s">
        <v>44</v>
      </c>
      <c r="J344" s="15" t="s">
        <v>45</v>
      </c>
      <c r="K344" s="15" t="s">
        <v>46</v>
      </c>
      <c r="L344" s="15" t="s">
        <v>47</v>
      </c>
      <c r="M344" s="15">
        <v>15</v>
      </c>
      <c r="N344" s="15">
        <v>12000</v>
      </c>
      <c r="O344" s="15">
        <v>20</v>
      </c>
      <c r="P344" s="15">
        <v>144000</v>
      </c>
      <c r="Q344" s="15">
        <v>3</v>
      </c>
      <c r="R344" s="15" t="s">
        <v>79</v>
      </c>
      <c r="S344" s="15" t="s">
        <v>35</v>
      </c>
      <c r="T344" s="15" t="s">
        <v>89</v>
      </c>
      <c r="U344" s="18" t="s">
        <v>1542</v>
      </c>
      <c r="V344" s="15" t="s">
        <v>69</v>
      </c>
      <c r="W344" s="15">
        <f t="shared" ca="1" si="10"/>
        <v>31</v>
      </c>
      <c r="X344" s="15">
        <f t="shared" si="11"/>
        <v>2</v>
      </c>
      <c r="Y344" s="15" t="str" cm="1">
        <f t="array" ref="Y344">_xlfn.IFS(ISERROR(X344), "Pending", X344&lt;=5, "On Time", X344&gt;5, "Delayed")</f>
        <v>On Time</v>
      </c>
    </row>
    <row r="345" spans="1:25" x14ac:dyDescent="0.3">
      <c r="A345" s="19" t="s">
        <v>1543</v>
      </c>
      <c r="B345" s="19" t="s">
        <v>327</v>
      </c>
      <c r="C345" s="19" t="s">
        <v>222</v>
      </c>
      <c r="D345" s="20">
        <v>45863</v>
      </c>
      <c r="E345" s="20">
        <v>45871</v>
      </c>
      <c r="F345" s="19" t="s">
        <v>394</v>
      </c>
      <c r="G345" s="19" t="s">
        <v>76</v>
      </c>
      <c r="H345" s="20">
        <v>32128</v>
      </c>
      <c r="I345" s="19" t="s">
        <v>44</v>
      </c>
      <c r="J345" s="19" t="s">
        <v>45</v>
      </c>
      <c r="K345" s="19" t="s">
        <v>122</v>
      </c>
      <c r="L345" s="19" t="s">
        <v>227</v>
      </c>
      <c r="M345" s="19">
        <v>2</v>
      </c>
      <c r="N345" s="19">
        <v>20</v>
      </c>
      <c r="O345" s="19">
        <v>20</v>
      </c>
      <c r="P345" s="19">
        <v>32</v>
      </c>
      <c r="Q345" s="19">
        <v>4</v>
      </c>
      <c r="R345" s="19" t="s">
        <v>34</v>
      </c>
      <c r="S345" s="19" t="s">
        <v>35</v>
      </c>
      <c r="T345" s="19" t="s">
        <v>332</v>
      </c>
      <c r="U345" s="21" t="s">
        <v>1546</v>
      </c>
      <c r="V345" s="19" t="s">
        <v>64</v>
      </c>
      <c r="W345" s="19">
        <f t="shared" ca="1" si="10"/>
        <v>38</v>
      </c>
      <c r="X345" s="19">
        <f t="shared" si="11"/>
        <v>8</v>
      </c>
      <c r="Y345" s="19" t="str" cm="1">
        <f t="array" ref="Y345">_xlfn.IFS(ISERROR(X345), "Pending", X345&lt;=5, "On Time", X345&gt;5, "Delayed")</f>
        <v>Delayed</v>
      </c>
    </row>
    <row r="346" spans="1:25" x14ac:dyDescent="0.3">
      <c r="A346" s="15" t="s">
        <v>1547</v>
      </c>
      <c r="B346" s="15" t="s">
        <v>127</v>
      </c>
      <c r="C346" s="15" t="s">
        <v>92</v>
      </c>
      <c r="D346" s="16">
        <v>45874</v>
      </c>
      <c r="E346" s="16">
        <v>45886</v>
      </c>
      <c r="F346" s="15" t="s">
        <v>200</v>
      </c>
      <c r="G346" s="15" t="s">
        <v>76</v>
      </c>
      <c r="H346" s="16">
        <v>27564</v>
      </c>
      <c r="I346" s="15" t="s">
        <v>59</v>
      </c>
      <c r="J346" s="15" t="s">
        <v>31</v>
      </c>
      <c r="K346" s="15" t="s">
        <v>32</v>
      </c>
      <c r="L346" s="15" t="s">
        <v>97</v>
      </c>
      <c r="M346" s="15">
        <v>16</v>
      </c>
      <c r="N346" s="15">
        <v>3500</v>
      </c>
      <c r="O346" s="15">
        <v>0</v>
      </c>
      <c r="P346" s="15">
        <v>56000</v>
      </c>
      <c r="Q346" s="15">
        <v>4</v>
      </c>
      <c r="R346" s="15" t="s">
        <v>34</v>
      </c>
      <c r="S346" s="15" t="s">
        <v>115</v>
      </c>
      <c r="T346" s="15" t="s">
        <v>132</v>
      </c>
      <c r="U346" s="18" t="s">
        <v>1550</v>
      </c>
      <c r="V346" s="15" t="s">
        <v>38</v>
      </c>
      <c r="W346" s="15">
        <f t="shared" ca="1" si="10"/>
        <v>51</v>
      </c>
      <c r="X346" s="15">
        <f t="shared" si="11"/>
        <v>12</v>
      </c>
      <c r="Y346" s="15" t="str" cm="1">
        <f t="array" ref="Y346">_xlfn.IFS(ISERROR(X346), "Pending", X346&lt;=5, "On Time", X346&gt;5, "Delayed")</f>
        <v>Delayed</v>
      </c>
    </row>
    <row r="347" spans="1:25" x14ac:dyDescent="0.3">
      <c r="A347" s="19" t="s">
        <v>1551</v>
      </c>
      <c r="B347" s="19" t="s">
        <v>53</v>
      </c>
      <c r="C347" s="19" t="s">
        <v>92</v>
      </c>
      <c r="D347" s="20">
        <v>46071</v>
      </c>
      <c r="E347" s="20">
        <v>46078</v>
      </c>
      <c r="F347" s="19" t="s">
        <v>163</v>
      </c>
      <c r="G347" s="19" t="s">
        <v>28</v>
      </c>
      <c r="H347" s="20">
        <v>28369</v>
      </c>
      <c r="I347" s="19" t="s">
        <v>138</v>
      </c>
      <c r="J347" s="19" t="s">
        <v>106</v>
      </c>
      <c r="K347" s="19" t="s">
        <v>32</v>
      </c>
      <c r="L347" s="19" t="s">
        <v>97</v>
      </c>
      <c r="M347" s="19">
        <v>18</v>
      </c>
      <c r="N347" s="19">
        <v>3500</v>
      </c>
      <c r="O347" s="19">
        <v>15</v>
      </c>
      <c r="P347" s="19">
        <v>53550</v>
      </c>
      <c r="Q347" s="19">
        <v>5</v>
      </c>
      <c r="R347" s="19" t="s">
        <v>34</v>
      </c>
      <c r="S347" s="19" t="s">
        <v>151</v>
      </c>
      <c r="T347" s="19" t="s">
        <v>62</v>
      </c>
      <c r="U347" s="21" t="s">
        <v>1553</v>
      </c>
      <c r="V347" s="19" t="s">
        <v>69</v>
      </c>
      <c r="W347" s="19">
        <f t="shared" ca="1" si="10"/>
        <v>49</v>
      </c>
      <c r="X347" s="19">
        <f t="shared" si="11"/>
        <v>7</v>
      </c>
      <c r="Y347" s="19" t="str" cm="1">
        <f t="array" ref="Y347">_xlfn.IFS(ISERROR(X347), "Pending", X347&lt;=5, "On Time", X347&gt;5, "Delayed")</f>
        <v>Delayed</v>
      </c>
    </row>
    <row r="348" spans="1:25" x14ac:dyDescent="0.3">
      <c r="A348" s="15" t="s">
        <v>1554</v>
      </c>
      <c r="B348" s="15" t="s">
        <v>23</v>
      </c>
      <c r="C348" s="15" t="s">
        <v>259</v>
      </c>
      <c r="D348" s="16">
        <v>46102</v>
      </c>
      <c r="E348" s="16">
        <v>46107</v>
      </c>
      <c r="F348" s="15" t="s">
        <v>27</v>
      </c>
      <c r="G348" s="15" t="s">
        <v>28</v>
      </c>
      <c r="H348" s="16">
        <v>34232</v>
      </c>
      <c r="I348" s="15" t="s">
        <v>138</v>
      </c>
      <c r="J348" s="15" t="s">
        <v>106</v>
      </c>
      <c r="K348" s="15" t="s">
        <v>122</v>
      </c>
      <c r="L348" s="15" t="s">
        <v>263</v>
      </c>
      <c r="M348" s="15">
        <v>20</v>
      </c>
      <c r="N348" s="15">
        <v>45</v>
      </c>
      <c r="O348" s="15">
        <v>15</v>
      </c>
      <c r="P348" s="15">
        <v>765</v>
      </c>
      <c r="Q348" s="15">
        <v>4</v>
      </c>
      <c r="R348" s="15" t="s">
        <v>34</v>
      </c>
      <c r="S348" s="15" t="s">
        <v>151</v>
      </c>
      <c r="T348" s="15" t="s">
        <v>50</v>
      </c>
      <c r="U348" s="18" t="s">
        <v>1556</v>
      </c>
      <c r="V348" s="15" t="s">
        <v>69</v>
      </c>
      <c r="W348" s="15">
        <f t="shared" ca="1" si="10"/>
        <v>32</v>
      </c>
      <c r="X348" s="15">
        <f t="shared" si="11"/>
        <v>5</v>
      </c>
      <c r="Y348" s="15" t="str" cm="1">
        <f t="array" ref="Y348">_xlfn.IFS(ISERROR(X348), "Pending", X348&lt;=5, "On Time", X348&gt;5, "Delayed")</f>
        <v>On Time</v>
      </c>
    </row>
    <row r="349" spans="1:25" x14ac:dyDescent="0.3">
      <c r="A349" s="19" t="s">
        <v>1557</v>
      </c>
      <c r="B349" s="19" t="s">
        <v>251</v>
      </c>
      <c r="C349" s="19" t="s">
        <v>24</v>
      </c>
      <c r="D349" s="20">
        <v>46128</v>
      </c>
      <c r="E349" s="20">
        <v>46131</v>
      </c>
      <c r="F349" s="19" t="s">
        <v>254</v>
      </c>
      <c r="G349" s="19" t="s">
        <v>28</v>
      </c>
      <c r="H349" s="20">
        <v>35553</v>
      </c>
      <c r="I349" s="19" t="s">
        <v>44</v>
      </c>
      <c r="J349" s="19" t="s">
        <v>45</v>
      </c>
      <c r="K349" s="19" t="s">
        <v>32</v>
      </c>
      <c r="L349" s="19" t="s">
        <v>33</v>
      </c>
      <c r="M349" s="19">
        <v>13</v>
      </c>
      <c r="N349" s="19">
        <v>2200</v>
      </c>
      <c r="O349" s="19">
        <v>15</v>
      </c>
      <c r="P349" s="19">
        <v>24310</v>
      </c>
      <c r="Q349" s="19">
        <v>2</v>
      </c>
      <c r="R349" s="19" t="s">
        <v>48</v>
      </c>
      <c r="S349" s="19" t="s">
        <v>115</v>
      </c>
      <c r="T349" s="19" t="s">
        <v>256</v>
      </c>
      <c r="U349" s="21" t="s">
        <v>1559</v>
      </c>
      <c r="V349" s="19" t="s">
        <v>64</v>
      </c>
      <c r="W349" s="19">
        <f t="shared" ca="1" si="10"/>
        <v>29</v>
      </c>
      <c r="X349" s="19">
        <f t="shared" si="11"/>
        <v>3</v>
      </c>
      <c r="Y349" s="19" t="str" cm="1">
        <f t="array" ref="Y349">_xlfn.IFS(ISERROR(X349), "Pending", X349&lt;=5, "On Time", X349&gt;5, "Delayed")</f>
        <v>On Time</v>
      </c>
    </row>
    <row r="350" spans="1:25" x14ac:dyDescent="0.3">
      <c r="A350" s="15" t="s">
        <v>1560</v>
      </c>
      <c r="B350" s="15" t="s">
        <v>53</v>
      </c>
      <c r="C350" s="15" t="s">
        <v>1561</v>
      </c>
      <c r="D350" s="16">
        <v>45943</v>
      </c>
      <c r="E350" s="16">
        <v>45944</v>
      </c>
      <c r="F350" s="15" t="s">
        <v>163</v>
      </c>
      <c r="G350" s="15" t="s">
        <v>28</v>
      </c>
      <c r="H350" s="16">
        <v>37536</v>
      </c>
      <c r="I350" s="15" t="s">
        <v>294</v>
      </c>
      <c r="J350" s="15" t="s">
        <v>295</v>
      </c>
      <c r="K350" s="15" t="s">
        <v>32</v>
      </c>
      <c r="L350" s="15" t="s">
        <v>174</v>
      </c>
      <c r="M350" s="15">
        <v>11</v>
      </c>
      <c r="N350" s="15">
        <v>8500</v>
      </c>
      <c r="O350" s="15">
        <v>5</v>
      </c>
      <c r="P350" s="15">
        <v>88825</v>
      </c>
      <c r="Q350" s="15">
        <v>1</v>
      </c>
      <c r="R350" s="15" t="s">
        <v>88</v>
      </c>
      <c r="S350" s="15" t="s">
        <v>115</v>
      </c>
      <c r="T350" s="15" t="s">
        <v>62</v>
      </c>
      <c r="U350" s="18" t="s">
        <v>1563</v>
      </c>
      <c r="V350" s="15" t="s">
        <v>69</v>
      </c>
      <c r="W350" s="15">
        <f t="shared" ca="1" si="10"/>
        <v>23</v>
      </c>
      <c r="X350" s="15">
        <f t="shared" si="11"/>
        <v>1</v>
      </c>
      <c r="Y350" s="15" t="str" cm="1">
        <f t="array" ref="Y350">_xlfn.IFS(ISERROR(X350), "Pending", X350&lt;=5, "On Time", X350&gt;5, "Delayed")</f>
        <v>On Time</v>
      </c>
    </row>
    <row r="351" spans="1:25" x14ac:dyDescent="0.3">
      <c r="A351" s="19" t="s">
        <v>1564</v>
      </c>
      <c r="B351" s="19" t="s">
        <v>53</v>
      </c>
      <c r="C351" s="19" t="s">
        <v>24</v>
      </c>
      <c r="D351" s="20">
        <v>45996</v>
      </c>
      <c r="E351" s="20">
        <v>46001</v>
      </c>
      <c r="F351" s="19" t="s">
        <v>163</v>
      </c>
      <c r="G351" s="19" t="s">
        <v>28</v>
      </c>
      <c r="H351" s="20">
        <v>30790</v>
      </c>
      <c r="I351" s="19" t="s">
        <v>212</v>
      </c>
      <c r="J351" s="19" t="s">
        <v>45</v>
      </c>
      <c r="K351" s="19" t="s">
        <v>32</v>
      </c>
      <c r="L351" s="19" t="s">
        <v>33</v>
      </c>
      <c r="M351" s="19">
        <v>2</v>
      </c>
      <c r="N351" s="19">
        <v>2200</v>
      </c>
      <c r="O351" s="19">
        <v>0</v>
      </c>
      <c r="P351" s="19">
        <v>4400</v>
      </c>
      <c r="Q351" s="19">
        <v>4</v>
      </c>
      <c r="R351" s="19" t="s">
        <v>88</v>
      </c>
      <c r="S351" s="19" t="s">
        <v>151</v>
      </c>
      <c r="T351" s="19" t="s">
        <v>62</v>
      </c>
      <c r="U351" s="21" t="s">
        <v>1567</v>
      </c>
      <c r="V351" s="19" t="s">
        <v>64</v>
      </c>
      <c r="W351" s="19">
        <f t="shared" ca="1" si="10"/>
        <v>42</v>
      </c>
      <c r="X351" s="19">
        <f t="shared" si="11"/>
        <v>5</v>
      </c>
      <c r="Y351" s="19" t="str" cm="1">
        <f t="array" ref="Y351">_xlfn.IFS(ISERROR(X351), "Pending", X351&lt;=5, "On Time", X351&gt;5, "Delayed")</f>
        <v>On Time</v>
      </c>
    </row>
    <row r="352" spans="1:25" x14ac:dyDescent="0.3">
      <c r="A352" s="15" t="s">
        <v>1568</v>
      </c>
      <c r="B352" s="15" t="s">
        <v>83</v>
      </c>
      <c r="C352" s="15" t="s">
        <v>184</v>
      </c>
      <c r="D352" s="16">
        <v>45868</v>
      </c>
      <c r="E352" s="16">
        <v>45873</v>
      </c>
      <c r="F352" s="15" t="s">
        <v>180</v>
      </c>
      <c r="G352" s="15" t="s">
        <v>76</v>
      </c>
      <c r="H352" s="16">
        <v>37628</v>
      </c>
      <c r="I352" s="15" t="s">
        <v>105</v>
      </c>
      <c r="J352" s="15" t="s">
        <v>106</v>
      </c>
      <c r="K352" s="15" t="s">
        <v>46</v>
      </c>
      <c r="L352" s="15" t="s">
        <v>189</v>
      </c>
      <c r="M352" s="15">
        <v>15</v>
      </c>
      <c r="N352" s="15">
        <v>700</v>
      </c>
      <c r="O352" s="15">
        <v>15</v>
      </c>
      <c r="P352" s="15">
        <v>8925</v>
      </c>
      <c r="Q352" s="15">
        <v>3</v>
      </c>
      <c r="R352" s="15" t="s">
        <v>48</v>
      </c>
      <c r="S352" s="15" t="s">
        <v>115</v>
      </c>
      <c r="T352" s="15" t="s">
        <v>89</v>
      </c>
      <c r="U352" s="18" t="s">
        <v>1570</v>
      </c>
      <c r="V352" s="15" t="s">
        <v>38</v>
      </c>
      <c r="W352" s="15">
        <f t="shared" ca="1" si="10"/>
        <v>23</v>
      </c>
      <c r="X352" s="15">
        <f t="shared" si="11"/>
        <v>5</v>
      </c>
      <c r="Y352" s="15" t="str" cm="1">
        <f t="array" ref="Y352">_xlfn.IFS(ISERROR(X352), "Pending", X352&lt;=5, "On Time", X352&gt;5, "Delayed")</f>
        <v>On Time</v>
      </c>
    </row>
    <row r="353" spans="1:25" x14ac:dyDescent="0.3">
      <c r="A353" s="19" t="s">
        <v>1571</v>
      </c>
      <c r="B353" s="19" t="s">
        <v>127</v>
      </c>
      <c r="C353" s="19" t="s">
        <v>24</v>
      </c>
      <c r="D353" s="20">
        <v>45856</v>
      </c>
      <c r="E353" s="20">
        <v>45862</v>
      </c>
      <c r="F353" s="19" t="s">
        <v>200</v>
      </c>
      <c r="G353" s="19" t="s">
        <v>76</v>
      </c>
      <c r="H353" s="20">
        <v>33902</v>
      </c>
      <c r="I353" s="19" t="s">
        <v>138</v>
      </c>
      <c r="J353" s="19" t="s">
        <v>106</v>
      </c>
      <c r="K353" s="19" t="s">
        <v>32</v>
      </c>
      <c r="L353" s="19" t="s">
        <v>33</v>
      </c>
      <c r="M353" s="19">
        <v>5</v>
      </c>
      <c r="N353" s="19">
        <v>2200</v>
      </c>
      <c r="O353" s="19">
        <v>15</v>
      </c>
      <c r="P353" s="19">
        <v>9350</v>
      </c>
      <c r="Q353" s="19">
        <v>1</v>
      </c>
      <c r="R353" s="19" t="s">
        <v>48</v>
      </c>
      <c r="S353" s="19" t="s">
        <v>115</v>
      </c>
      <c r="T353" s="19" t="s">
        <v>132</v>
      </c>
      <c r="U353" s="21" t="s">
        <v>1574</v>
      </c>
      <c r="V353" s="19" t="s">
        <v>64</v>
      </c>
      <c r="W353" s="19">
        <f t="shared" ca="1" si="10"/>
        <v>33</v>
      </c>
      <c r="X353" s="19">
        <f t="shared" si="11"/>
        <v>6</v>
      </c>
      <c r="Y353" s="19" t="str" cm="1">
        <f t="array" ref="Y353">_xlfn.IFS(ISERROR(X353), "Pending", X353&lt;=5, "On Time", X353&gt;5, "Delayed")</f>
        <v>Delayed</v>
      </c>
    </row>
    <row r="354" spans="1:25" x14ac:dyDescent="0.3">
      <c r="A354" s="15" t="s">
        <v>1575</v>
      </c>
      <c r="B354" s="15" t="s">
        <v>83</v>
      </c>
      <c r="C354" s="15" t="s">
        <v>72</v>
      </c>
      <c r="D354" s="16">
        <v>46092</v>
      </c>
      <c r="E354" s="16">
        <v>46093</v>
      </c>
      <c r="F354" s="15" t="s">
        <v>180</v>
      </c>
      <c r="G354" s="15" t="s">
        <v>76</v>
      </c>
      <c r="H354" s="16">
        <v>32271</v>
      </c>
      <c r="I354" s="15" t="s">
        <v>138</v>
      </c>
      <c r="J354" s="15" t="s">
        <v>106</v>
      </c>
      <c r="K354" s="15" t="s">
        <v>46</v>
      </c>
      <c r="L354" s="15" t="s">
        <v>78</v>
      </c>
      <c r="M354" s="15">
        <v>15</v>
      </c>
      <c r="N354" s="15">
        <v>1200</v>
      </c>
      <c r="O354" s="15">
        <v>0</v>
      </c>
      <c r="P354" s="15">
        <v>18000</v>
      </c>
      <c r="Q354" s="15">
        <v>3</v>
      </c>
      <c r="R354" s="15" t="s">
        <v>48</v>
      </c>
      <c r="S354" s="15" t="s">
        <v>61</v>
      </c>
      <c r="T354" s="15" t="s">
        <v>89</v>
      </c>
      <c r="U354" s="18" t="s">
        <v>1577</v>
      </c>
      <c r="V354" s="15" t="s">
        <v>69</v>
      </c>
      <c r="W354" s="15">
        <f t="shared" ca="1" si="10"/>
        <v>38</v>
      </c>
      <c r="X354" s="15">
        <f t="shared" si="11"/>
        <v>1</v>
      </c>
      <c r="Y354" s="15" t="str" cm="1">
        <f t="array" ref="Y354">_xlfn.IFS(ISERROR(X354), "Pending", X354&lt;=5, "On Time", X354&gt;5, "Delayed")</f>
        <v>On Time</v>
      </c>
    </row>
    <row r="355" spans="1:25" x14ac:dyDescent="0.3">
      <c r="A355" s="19" t="s">
        <v>1578</v>
      </c>
      <c r="B355" s="19" t="s">
        <v>251</v>
      </c>
      <c r="C355" s="19" t="s">
        <v>72</v>
      </c>
      <c r="D355" s="20">
        <v>46120</v>
      </c>
      <c r="E355" s="20">
        <v>46122</v>
      </c>
      <c r="F355" s="19" t="s">
        <v>254</v>
      </c>
      <c r="G355" s="19" t="s">
        <v>28</v>
      </c>
      <c r="H355" s="20">
        <v>31952</v>
      </c>
      <c r="I355" s="19" t="s">
        <v>105</v>
      </c>
      <c r="J355" s="19" t="s">
        <v>106</v>
      </c>
      <c r="K355" s="19" t="s">
        <v>46</v>
      </c>
      <c r="L355" s="19" t="s">
        <v>78</v>
      </c>
      <c r="M355" s="19">
        <v>19</v>
      </c>
      <c r="N355" s="19">
        <v>1200</v>
      </c>
      <c r="O355" s="19">
        <v>0</v>
      </c>
      <c r="P355" s="19">
        <v>22800</v>
      </c>
      <c r="Q355" s="19">
        <v>1</v>
      </c>
      <c r="R355" s="19" t="s">
        <v>34</v>
      </c>
      <c r="S355" s="19" t="s">
        <v>49</v>
      </c>
      <c r="T355" s="19" t="s">
        <v>256</v>
      </c>
      <c r="U355" s="21" t="s">
        <v>1580</v>
      </c>
      <c r="V355" s="19" t="s">
        <v>69</v>
      </c>
      <c r="W355" s="19">
        <f t="shared" ca="1" si="10"/>
        <v>39</v>
      </c>
      <c r="X355" s="19">
        <f t="shared" si="11"/>
        <v>2</v>
      </c>
      <c r="Y355" s="19" t="str" cm="1">
        <f t="array" ref="Y355">_xlfn.IFS(ISERROR(X355), "Pending", X355&lt;=5, "On Time", X355&gt;5, "Delayed")</f>
        <v>On Time</v>
      </c>
    </row>
    <row r="356" spans="1:25" x14ac:dyDescent="0.3">
      <c r="A356" s="15" t="s">
        <v>1581</v>
      </c>
      <c r="B356" s="15" t="s">
        <v>168</v>
      </c>
      <c r="C356" s="15" t="s">
        <v>40</v>
      </c>
      <c r="D356" s="16">
        <v>45918</v>
      </c>
      <c r="E356" s="16">
        <v>45925</v>
      </c>
      <c r="F356" s="15" t="s">
        <v>361</v>
      </c>
      <c r="G356" s="15" t="s">
        <v>28</v>
      </c>
      <c r="H356" s="16">
        <v>32800</v>
      </c>
      <c r="I356" s="15" t="s">
        <v>105</v>
      </c>
      <c r="J356" s="15" t="s">
        <v>106</v>
      </c>
      <c r="K356" s="15" t="s">
        <v>46</v>
      </c>
      <c r="L356" s="15" t="s">
        <v>47</v>
      </c>
      <c r="M356" s="15">
        <v>9</v>
      </c>
      <c r="N356" s="15">
        <v>12000</v>
      </c>
      <c r="O356" s="15">
        <v>15</v>
      </c>
      <c r="P356" s="15">
        <v>91800</v>
      </c>
      <c r="Q356" s="15">
        <v>3</v>
      </c>
      <c r="R356" s="15" t="s">
        <v>88</v>
      </c>
      <c r="S356" s="15" t="s">
        <v>49</v>
      </c>
      <c r="T356" s="15" t="s">
        <v>175</v>
      </c>
      <c r="U356" s="18" t="s">
        <v>1584</v>
      </c>
      <c r="V356" s="15" t="s">
        <v>69</v>
      </c>
      <c r="W356" s="15">
        <f t="shared" ca="1" si="10"/>
        <v>36</v>
      </c>
      <c r="X356" s="15">
        <f t="shared" si="11"/>
        <v>7</v>
      </c>
      <c r="Y356" s="15" t="str" cm="1">
        <f t="array" ref="Y356">_xlfn.IFS(ISERROR(X356), "Pending", X356&lt;=5, "On Time", X356&gt;5, "Delayed")</f>
        <v>Delayed</v>
      </c>
    </row>
    <row r="357" spans="1:25" x14ac:dyDescent="0.3">
      <c r="A357" s="19" t="s">
        <v>1585</v>
      </c>
      <c r="B357" s="19" t="s">
        <v>23</v>
      </c>
      <c r="C357" s="19" t="s">
        <v>259</v>
      </c>
      <c r="D357" s="20">
        <v>45941</v>
      </c>
      <c r="E357" s="20">
        <v>45951</v>
      </c>
      <c r="F357" s="19" t="s">
        <v>27</v>
      </c>
      <c r="G357" s="19" t="s">
        <v>28</v>
      </c>
      <c r="H357" s="20">
        <v>33746</v>
      </c>
      <c r="I357" s="19" t="s">
        <v>212</v>
      </c>
      <c r="J357" s="19" t="s">
        <v>45</v>
      </c>
      <c r="K357" s="19" t="s">
        <v>122</v>
      </c>
      <c r="L357" s="19" t="s">
        <v>263</v>
      </c>
      <c r="M357" s="19">
        <v>5</v>
      </c>
      <c r="N357" s="19">
        <v>45</v>
      </c>
      <c r="O357" s="19">
        <v>5</v>
      </c>
      <c r="P357" s="19">
        <v>213.75</v>
      </c>
      <c r="Q357" s="19">
        <v>1</v>
      </c>
      <c r="R357" s="19" t="s">
        <v>79</v>
      </c>
      <c r="S357" s="19" t="s">
        <v>115</v>
      </c>
      <c r="T357" s="19" t="s">
        <v>50</v>
      </c>
      <c r="U357" s="21" t="s">
        <v>1587</v>
      </c>
      <c r="V357" s="19" t="s">
        <v>38</v>
      </c>
      <c r="W357" s="19">
        <f t="shared" ca="1" si="10"/>
        <v>34</v>
      </c>
      <c r="X357" s="19">
        <f t="shared" si="11"/>
        <v>10</v>
      </c>
      <c r="Y357" s="19" t="str" cm="1">
        <f t="array" ref="Y357">_xlfn.IFS(ISERROR(X357), "Pending", X357&lt;=5, "On Time", X357&gt;5, "Delayed")</f>
        <v>Delayed</v>
      </c>
    </row>
    <row r="358" spans="1:25" x14ac:dyDescent="0.3">
      <c r="A358" s="15" t="s">
        <v>1588</v>
      </c>
      <c r="B358" s="15" t="s">
        <v>251</v>
      </c>
      <c r="C358" s="15" t="s">
        <v>184</v>
      </c>
      <c r="D358" s="15" t="s">
        <v>1589</v>
      </c>
      <c r="E358" s="16">
        <v>45699</v>
      </c>
      <c r="F358" s="15" t="s">
        <v>254</v>
      </c>
      <c r="G358" s="15" t="s">
        <v>28</v>
      </c>
      <c r="H358" s="16">
        <v>32792</v>
      </c>
      <c r="I358" s="15" t="s">
        <v>105</v>
      </c>
      <c r="J358" s="15" t="s">
        <v>106</v>
      </c>
      <c r="K358" s="15" t="s">
        <v>46</v>
      </c>
      <c r="L358" s="15" t="s">
        <v>189</v>
      </c>
      <c r="M358" s="15">
        <v>3</v>
      </c>
      <c r="N358" s="15">
        <v>700</v>
      </c>
      <c r="O358" s="15">
        <v>15</v>
      </c>
      <c r="P358" s="15">
        <v>1785</v>
      </c>
      <c r="Q358" s="15">
        <v>4</v>
      </c>
      <c r="R358" s="15" t="s">
        <v>34</v>
      </c>
      <c r="S358" s="15" t="s">
        <v>151</v>
      </c>
      <c r="T358" s="15" t="s">
        <v>256</v>
      </c>
      <c r="U358" s="18" t="s">
        <v>1591</v>
      </c>
      <c r="V358" s="15" t="s">
        <v>38</v>
      </c>
      <c r="W358" s="15">
        <f t="shared" ca="1" si="10"/>
        <v>36</v>
      </c>
      <c r="X358" s="15" t="e">
        <f t="shared" si="11"/>
        <v>#VALUE!</v>
      </c>
      <c r="Y358" s="15" t="str" cm="1">
        <f t="array" ref="Y358">_xlfn.IFS(ISERROR(X358), "Pending", X358&lt;=5, "On Time", X358&gt;5, "Delayed")</f>
        <v>Pending</v>
      </c>
    </row>
    <row r="359" spans="1:25" x14ac:dyDescent="0.3">
      <c r="A359" s="19" t="s">
        <v>1592</v>
      </c>
      <c r="B359" s="19" t="s">
        <v>71</v>
      </c>
      <c r="C359" s="19" t="s">
        <v>169</v>
      </c>
      <c r="D359" s="20">
        <v>46005</v>
      </c>
      <c r="E359" s="20">
        <v>46017</v>
      </c>
      <c r="F359" s="19" t="s">
        <v>217</v>
      </c>
      <c r="G359" s="19" t="s">
        <v>76</v>
      </c>
      <c r="H359" s="20">
        <v>29289</v>
      </c>
      <c r="I359" s="19" t="s">
        <v>212</v>
      </c>
      <c r="J359" s="19" t="s">
        <v>45</v>
      </c>
      <c r="K359" s="19" t="s">
        <v>32</v>
      </c>
      <c r="L359" s="19" t="s">
        <v>174</v>
      </c>
      <c r="M359" s="19">
        <v>12</v>
      </c>
      <c r="N359" s="19">
        <v>8500</v>
      </c>
      <c r="O359" s="19">
        <v>5</v>
      </c>
      <c r="P359" s="19">
        <v>96900</v>
      </c>
      <c r="Q359" s="19">
        <v>3</v>
      </c>
      <c r="R359" s="19" t="s">
        <v>79</v>
      </c>
      <c r="S359" s="19" t="s">
        <v>61</v>
      </c>
      <c r="T359" s="19" t="s">
        <v>80</v>
      </c>
      <c r="U359" s="21" t="s">
        <v>1594</v>
      </c>
      <c r="V359" s="19" t="s">
        <v>64</v>
      </c>
      <c r="W359" s="19">
        <f t="shared" ca="1" si="10"/>
        <v>46</v>
      </c>
      <c r="X359" s="19">
        <f t="shared" si="11"/>
        <v>12</v>
      </c>
      <c r="Y359" s="19" t="str" cm="1">
        <f t="array" ref="Y359">_xlfn.IFS(ISERROR(X359), "Pending", X359&lt;=5, "On Time", X359&gt;5, "Delayed")</f>
        <v>Delayed</v>
      </c>
    </row>
    <row r="360" spans="1:25" x14ac:dyDescent="0.3">
      <c r="A360" s="15" t="s">
        <v>1595</v>
      </c>
      <c r="B360" s="15" t="s">
        <v>251</v>
      </c>
      <c r="C360" s="15" t="s">
        <v>169</v>
      </c>
      <c r="D360" s="16">
        <v>46123</v>
      </c>
      <c r="E360" s="16">
        <v>46131</v>
      </c>
      <c r="F360" s="15" t="s">
        <v>254</v>
      </c>
      <c r="G360" s="15" t="s">
        <v>28</v>
      </c>
      <c r="H360" s="16">
        <v>29009</v>
      </c>
      <c r="I360" s="15" t="s">
        <v>114</v>
      </c>
      <c r="J360" s="15" t="s">
        <v>106</v>
      </c>
      <c r="K360" s="15" t="s">
        <v>32</v>
      </c>
      <c r="L360" s="15" t="s">
        <v>174</v>
      </c>
      <c r="M360" s="15">
        <v>4</v>
      </c>
      <c r="N360" s="15">
        <v>8500</v>
      </c>
      <c r="O360" s="15">
        <v>15</v>
      </c>
      <c r="P360" s="15">
        <v>28900</v>
      </c>
      <c r="Q360" s="15">
        <v>4</v>
      </c>
      <c r="R360" s="15" t="s">
        <v>48</v>
      </c>
      <c r="S360" s="15" t="s">
        <v>61</v>
      </c>
      <c r="T360" s="15" t="s">
        <v>256</v>
      </c>
      <c r="U360" s="18" t="s">
        <v>1597</v>
      </c>
      <c r="V360" s="15" t="s">
        <v>64</v>
      </c>
      <c r="W360" s="15">
        <f t="shared" ca="1" si="10"/>
        <v>47</v>
      </c>
      <c r="X360" s="15">
        <f t="shared" si="11"/>
        <v>8</v>
      </c>
      <c r="Y360" s="15" t="str" cm="1">
        <f t="array" ref="Y360">_xlfn.IFS(ISERROR(X360), "Pending", X360&lt;=5, "On Time", X360&gt;5, "Delayed")</f>
        <v>Delayed</v>
      </c>
    </row>
    <row r="361" spans="1:25" x14ac:dyDescent="0.3">
      <c r="A361" s="19" t="s">
        <v>1598</v>
      </c>
      <c r="B361" s="19" t="s">
        <v>127</v>
      </c>
      <c r="C361" s="19" t="s">
        <v>222</v>
      </c>
      <c r="D361" s="20">
        <v>45766</v>
      </c>
      <c r="E361" s="20">
        <v>45769</v>
      </c>
      <c r="F361" s="19" t="s">
        <v>200</v>
      </c>
      <c r="G361" s="19" t="s">
        <v>76</v>
      </c>
      <c r="H361" s="20">
        <v>35164</v>
      </c>
      <c r="I361" s="19" t="s">
        <v>212</v>
      </c>
      <c r="J361" s="19" t="s">
        <v>45</v>
      </c>
      <c r="K361" s="19" t="s">
        <v>122</v>
      </c>
      <c r="L361" s="19" t="s">
        <v>227</v>
      </c>
      <c r="M361" s="19">
        <v>16</v>
      </c>
      <c r="N361" s="19">
        <v>20</v>
      </c>
      <c r="O361" s="19">
        <v>10</v>
      </c>
      <c r="P361" s="19">
        <v>288</v>
      </c>
      <c r="Q361" s="19">
        <v>4</v>
      </c>
      <c r="R361" s="19" t="s">
        <v>34</v>
      </c>
      <c r="S361" s="19" t="s">
        <v>115</v>
      </c>
      <c r="T361" s="19" t="s">
        <v>132</v>
      </c>
      <c r="U361" s="21" t="s">
        <v>1600</v>
      </c>
      <c r="V361" s="19" t="s">
        <v>69</v>
      </c>
      <c r="W361" s="19">
        <f t="shared" ca="1" si="10"/>
        <v>30</v>
      </c>
      <c r="X361" s="19">
        <f t="shared" si="11"/>
        <v>3</v>
      </c>
      <c r="Y361" s="19" t="str" cm="1">
        <f t="array" ref="Y361">_xlfn.IFS(ISERROR(X361), "Pending", X361&lt;=5, "On Time", X361&gt;5, "Delayed")</f>
        <v>On Time</v>
      </c>
    </row>
    <row r="362" spans="1:25" x14ac:dyDescent="0.3">
      <c r="A362" s="15" t="s">
        <v>1601</v>
      </c>
      <c r="B362" s="15" t="s">
        <v>127</v>
      </c>
      <c r="C362" s="15" t="s">
        <v>118</v>
      </c>
      <c r="D362" s="16">
        <v>46152</v>
      </c>
      <c r="E362" s="16">
        <v>46160</v>
      </c>
      <c r="F362" s="15" t="s">
        <v>200</v>
      </c>
      <c r="G362" s="15" t="s">
        <v>76</v>
      </c>
      <c r="H362" s="16">
        <v>36233</v>
      </c>
      <c r="I362" s="15" t="s">
        <v>105</v>
      </c>
      <c r="J362" s="15" t="s">
        <v>106</v>
      </c>
      <c r="K362" s="15" t="s">
        <v>122</v>
      </c>
      <c r="L362" s="15" t="s">
        <v>123</v>
      </c>
      <c r="M362" s="15">
        <v>3</v>
      </c>
      <c r="N362" s="15">
        <v>60</v>
      </c>
      <c r="O362" s="15">
        <v>20</v>
      </c>
      <c r="P362" s="15">
        <v>144</v>
      </c>
      <c r="Q362" s="15">
        <v>4</v>
      </c>
      <c r="R362" s="15" t="s">
        <v>88</v>
      </c>
      <c r="S362" s="15" t="s">
        <v>151</v>
      </c>
      <c r="T362" s="15" t="s">
        <v>132</v>
      </c>
      <c r="U362" s="18" t="s">
        <v>1604</v>
      </c>
      <c r="V362" s="15" t="s">
        <v>64</v>
      </c>
      <c r="W362" s="15">
        <f t="shared" ca="1" si="10"/>
        <v>27</v>
      </c>
      <c r="X362" s="15">
        <f t="shared" si="11"/>
        <v>8</v>
      </c>
      <c r="Y362" s="15" t="str" cm="1">
        <f t="array" ref="Y362">_xlfn.IFS(ISERROR(X362), "Pending", X362&lt;=5, "On Time", X362&gt;5, "Delayed")</f>
        <v>Delayed</v>
      </c>
    </row>
    <row r="363" spans="1:25" x14ac:dyDescent="0.3">
      <c r="A363" s="19" t="s">
        <v>1605</v>
      </c>
      <c r="B363" s="19" t="s">
        <v>71</v>
      </c>
      <c r="C363" s="19" t="s">
        <v>24</v>
      </c>
      <c r="D363" s="20">
        <v>45858</v>
      </c>
      <c r="E363" s="20">
        <v>45864</v>
      </c>
      <c r="F363" s="19" t="s">
        <v>217</v>
      </c>
      <c r="G363" s="19" t="s">
        <v>76</v>
      </c>
      <c r="H363" s="20">
        <v>30751</v>
      </c>
      <c r="I363" s="19" t="s">
        <v>105</v>
      </c>
      <c r="J363" s="19" t="s">
        <v>106</v>
      </c>
      <c r="K363" s="19" t="s">
        <v>32</v>
      </c>
      <c r="L363" s="19" t="s">
        <v>33</v>
      </c>
      <c r="M363" s="19">
        <v>19</v>
      </c>
      <c r="N363" s="19">
        <v>2200</v>
      </c>
      <c r="O363" s="19">
        <v>10</v>
      </c>
      <c r="P363" s="19">
        <v>37620</v>
      </c>
      <c r="Q363" s="19">
        <v>2</v>
      </c>
      <c r="R363" s="19" t="s">
        <v>34</v>
      </c>
      <c r="S363" s="19" t="s">
        <v>151</v>
      </c>
      <c r="T363" s="19" t="s">
        <v>80</v>
      </c>
      <c r="U363" s="21" t="s">
        <v>1607</v>
      </c>
      <c r="V363" s="19" t="s">
        <v>64</v>
      </c>
      <c r="W363" s="19">
        <f t="shared" ca="1" si="10"/>
        <v>42</v>
      </c>
      <c r="X363" s="19">
        <f t="shared" si="11"/>
        <v>6</v>
      </c>
      <c r="Y363" s="19" t="str" cm="1">
        <f t="array" ref="Y363">_xlfn.IFS(ISERROR(X363), "Pending", X363&lt;=5, "On Time", X363&gt;5, "Delayed")</f>
        <v>Delayed</v>
      </c>
    </row>
    <row r="364" spans="1:25" x14ac:dyDescent="0.3">
      <c r="A364" s="15" t="s">
        <v>1608</v>
      </c>
      <c r="B364" s="15" t="s">
        <v>71</v>
      </c>
      <c r="C364" s="15" t="s">
        <v>72</v>
      </c>
      <c r="D364" s="16">
        <v>46045</v>
      </c>
      <c r="E364" s="16">
        <v>46049</v>
      </c>
      <c r="F364" s="15" t="s">
        <v>217</v>
      </c>
      <c r="G364" s="15" t="s">
        <v>76</v>
      </c>
      <c r="H364" s="16">
        <v>30932</v>
      </c>
      <c r="I364" s="15" t="s">
        <v>30</v>
      </c>
      <c r="J364" s="15" t="s">
        <v>31</v>
      </c>
      <c r="K364" s="15" t="s">
        <v>46</v>
      </c>
      <c r="L364" s="15" t="s">
        <v>78</v>
      </c>
      <c r="M364" s="15">
        <v>7</v>
      </c>
      <c r="N364" s="15">
        <v>1200</v>
      </c>
      <c r="O364" s="15">
        <v>20</v>
      </c>
      <c r="P364" s="15">
        <v>6720</v>
      </c>
      <c r="Q364" s="15">
        <v>3</v>
      </c>
      <c r="R364" s="15" t="s">
        <v>79</v>
      </c>
      <c r="S364" s="15" t="s">
        <v>115</v>
      </c>
      <c r="T364" s="15" t="s">
        <v>80</v>
      </c>
      <c r="U364" s="18" t="s">
        <v>1611</v>
      </c>
      <c r="V364" s="15" t="s">
        <v>69</v>
      </c>
      <c r="W364" s="15">
        <f t="shared" ca="1" si="10"/>
        <v>41</v>
      </c>
      <c r="X364" s="15">
        <f t="shared" si="11"/>
        <v>4</v>
      </c>
      <c r="Y364" s="15" t="str" cm="1">
        <f t="array" ref="Y364">_xlfn.IFS(ISERROR(X364), "Pending", X364&lt;=5, "On Time", X364&gt;5, "Delayed")</f>
        <v>On Time</v>
      </c>
    </row>
    <row r="365" spans="1:25" x14ac:dyDescent="0.3">
      <c r="A365" s="19" t="s">
        <v>1612</v>
      </c>
      <c r="B365" s="19" t="s">
        <v>53</v>
      </c>
      <c r="C365" s="19" t="s">
        <v>222</v>
      </c>
      <c r="D365" s="20">
        <v>46097</v>
      </c>
      <c r="E365" s="20">
        <v>46102</v>
      </c>
      <c r="F365" s="19" t="s">
        <v>163</v>
      </c>
      <c r="G365" s="19" t="s">
        <v>28</v>
      </c>
      <c r="H365" s="20">
        <v>32784</v>
      </c>
      <c r="I365" s="19" t="s">
        <v>59</v>
      </c>
      <c r="J365" s="19" t="s">
        <v>31</v>
      </c>
      <c r="K365" s="19" t="s">
        <v>122</v>
      </c>
      <c r="L365" s="19" t="s">
        <v>227</v>
      </c>
      <c r="M365" s="19">
        <v>20</v>
      </c>
      <c r="N365" s="19">
        <v>20</v>
      </c>
      <c r="O365" s="19">
        <v>20</v>
      </c>
      <c r="P365" s="19">
        <v>320</v>
      </c>
      <c r="Q365" s="19">
        <v>5</v>
      </c>
      <c r="R365" s="19" t="s">
        <v>79</v>
      </c>
      <c r="S365" s="19" t="s">
        <v>115</v>
      </c>
      <c r="T365" s="19" t="s">
        <v>62</v>
      </c>
      <c r="U365" s="21" t="s">
        <v>1614</v>
      </c>
      <c r="V365" s="19" t="s">
        <v>64</v>
      </c>
      <c r="W365" s="19">
        <f t="shared" ca="1" si="10"/>
        <v>36</v>
      </c>
      <c r="X365" s="19">
        <f t="shared" si="11"/>
        <v>5</v>
      </c>
      <c r="Y365" s="19" t="str" cm="1">
        <f t="array" ref="Y365">_xlfn.IFS(ISERROR(X365), "Pending", X365&lt;=5, "On Time", X365&gt;5, "Delayed")</f>
        <v>On Time</v>
      </c>
    </row>
    <row r="366" spans="1:25" x14ac:dyDescent="0.3">
      <c r="A366" s="15" t="s">
        <v>1615</v>
      </c>
      <c r="B366" s="15" t="s">
        <v>100</v>
      </c>
      <c r="C366" s="15" t="s">
        <v>72</v>
      </c>
      <c r="D366" s="16">
        <v>45777</v>
      </c>
      <c r="E366" s="16">
        <v>45784</v>
      </c>
      <c r="F366" s="15" t="s">
        <v>103</v>
      </c>
      <c r="G366" s="15" t="s">
        <v>28</v>
      </c>
      <c r="H366" s="16">
        <v>31156</v>
      </c>
      <c r="I366" s="15" t="s">
        <v>30</v>
      </c>
      <c r="J366" s="15" t="s">
        <v>31</v>
      </c>
      <c r="K366" s="15" t="s">
        <v>46</v>
      </c>
      <c r="L366" s="15" t="s">
        <v>78</v>
      </c>
      <c r="M366" s="15">
        <v>19</v>
      </c>
      <c r="N366" s="15">
        <v>1200</v>
      </c>
      <c r="O366" s="15">
        <v>5</v>
      </c>
      <c r="P366" s="15">
        <v>21660</v>
      </c>
      <c r="Q366" s="15">
        <v>3</v>
      </c>
      <c r="R366" s="15" t="s">
        <v>79</v>
      </c>
      <c r="S366" s="15" t="s">
        <v>35</v>
      </c>
      <c r="T366" s="15" t="s">
        <v>144</v>
      </c>
      <c r="U366" s="18" t="s">
        <v>1618</v>
      </c>
      <c r="V366" s="15" t="s">
        <v>64</v>
      </c>
      <c r="W366" s="15">
        <f t="shared" ca="1" si="10"/>
        <v>41</v>
      </c>
      <c r="X366" s="15">
        <f t="shared" si="11"/>
        <v>7</v>
      </c>
      <c r="Y366" s="15" t="str" cm="1">
        <f t="array" ref="Y366">_xlfn.IFS(ISERROR(X366), "Pending", X366&lt;=5, "On Time", X366&gt;5, "Delayed")</f>
        <v>Delayed</v>
      </c>
    </row>
    <row r="367" spans="1:25" x14ac:dyDescent="0.3">
      <c r="A367" s="19" t="s">
        <v>1619</v>
      </c>
      <c r="B367" s="19" t="s">
        <v>53</v>
      </c>
      <c r="C367" s="19" t="s">
        <v>222</v>
      </c>
      <c r="D367" s="20">
        <v>45691</v>
      </c>
      <c r="E367" s="20">
        <v>45701</v>
      </c>
      <c r="F367" s="19" t="s">
        <v>163</v>
      </c>
      <c r="G367" s="19" t="s">
        <v>28</v>
      </c>
      <c r="H367" s="20">
        <v>37846</v>
      </c>
      <c r="I367" s="19" t="s">
        <v>30</v>
      </c>
      <c r="J367" s="19" t="s">
        <v>31</v>
      </c>
      <c r="K367" s="19" t="s">
        <v>122</v>
      </c>
      <c r="L367" s="19" t="s">
        <v>227</v>
      </c>
      <c r="M367" s="19">
        <v>5</v>
      </c>
      <c r="N367" s="19">
        <v>20</v>
      </c>
      <c r="O367" s="19">
        <v>0</v>
      </c>
      <c r="P367" s="19">
        <v>100</v>
      </c>
      <c r="Q367" s="19">
        <v>2</v>
      </c>
      <c r="R367" s="19" t="s">
        <v>88</v>
      </c>
      <c r="S367" s="19" t="s">
        <v>49</v>
      </c>
      <c r="T367" s="19" t="s">
        <v>62</v>
      </c>
      <c r="U367" s="21" t="s">
        <v>1622</v>
      </c>
      <c r="V367" s="19" t="s">
        <v>64</v>
      </c>
      <c r="W367" s="19">
        <f t="shared" ca="1" si="10"/>
        <v>23</v>
      </c>
      <c r="X367" s="19">
        <f t="shared" si="11"/>
        <v>10</v>
      </c>
      <c r="Y367" s="19" t="str" cm="1">
        <f t="array" ref="Y367">_xlfn.IFS(ISERROR(X367), "Pending", X367&lt;=5, "On Time", X367&gt;5, "Delayed")</f>
        <v>Delayed</v>
      </c>
    </row>
    <row r="368" spans="1:25" x14ac:dyDescent="0.3">
      <c r="A368" s="15" t="s">
        <v>1623</v>
      </c>
      <c r="B368" s="15" t="s">
        <v>100</v>
      </c>
      <c r="C368" s="15" t="s">
        <v>259</v>
      </c>
      <c r="D368" s="16">
        <v>46088</v>
      </c>
      <c r="E368" s="16">
        <v>46097</v>
      </c>
      <c r="F368" s="15" t="s">
        <v>103</v>
      </c>
      <c r="G368" s="15" t="s">
        <v>28</v>
      </c>
      <c r="H368" s="16">
        <v>30629</v>
      </c>
      <c r="I368" s="15" t="s">
        <v>212</v>
      </c>
      <c r="J368" s="15" t="s">
        <v>45</v>
      </c>
      <c r="K368" s="15" t="s">
        <v>122</v>
      </c>
      <c r="L368" s="15" t="s">
        <v>263</v>
      </c>
      <c r="M368" s="15">
        <v>16</v>
      </c>
      <c r="N368" s="15">
        <v>45</v>
      </c>
      <c r="O368" s="15">
        <v>15</v>
      </c>
      <c r="P368" s="15">
        <v>612</v>
      </c>
      <c r="Q368" s="15">
        <v>5</v>
      </c>
      <c r="R368" s="15" t="s">
        <v>34</v>
      </c>
      <c r="S368" s="15" t="s">
        <v>61</v>
      </c>
      <c r="T368" s="15" t="s">
        <v>144</v>
      </c>
      <c r="U368" s="18" t="s">
        <v>1625</v>
      </c>
      <c r="V368" s="15" t="s">
        <v>69</v>
      </c>
      <c r="W368" s="15">
        <f t="shared" ca="1" si="10"/>
        <v>42</v>
      </c>
      <c r="X368" s="15">
        <f t="shared" si="11"/>
        <v>9</v>
      </c>
      <c r="Y368" s="15" t="str" cm="1">
        <f t="array" ref="Y368">_xlfn.IFS(ISERROR(X368), "Pending", X368&lt;=5, "On Time", X368&gt;5, "Delayed")</f>
        <v>Delayed</v>
      </c>
    </row>
    <row r="369" spans="1:25" x14ac:dyDescent="0.3">
      <c r="A369" s="19" t="s">
        <v>1626</v>
      </c>
      <c r="B369" s="19" t="s">
        <v>23</v>
      </c>
      <c r="C369" s="19" t="s">
        <v>24</v>
      </c>
      <c r="D369" s="20">
        <v>45780</v>
      </c>
      <c r="E369" s="20">
        <v>45792</v>
      </c>
      <c r="F369" s="19" t="s">
        <v>27</v>
      </c>
      <c r="G369" s="19" t="s">
        <v>28</v>
      </c>
      <c r="H369" s="20">
        <v>28070</v>
      </c>
      <c r="I369" s="19" t="s">
        <v>212</v>
      </c>
      <c r="J369" s="19" t="s">
        <v>45</v>
      </c>
      <c r="K369" s="19" t="s">
        <v>32</v>
      </c>
      <c r="L369" s="19" t="s">
        <v>33</v>
      </c>
      <c r="M369" s="19">
        <v>1</v>
      </c>
      <c r="N369" s="19">
        <v>2200</v>
      </c>
      <c r="O369" s="19">
        <v>10</v>
      </c>
      <c r="P369" s="19">
        <v>1980</v>
      </c>
      <c r="Q369" s="19">
        <v>5</v>
      </c>
      <c r="R369" s="19" t="s">
        <v>79</v>
      </c>
      <c r="S369" s="19" t="s">
        <v>49</v>
      </c>
      <c r="T369" s="19" t="s">
        <v>50</v>
      </c>
      <c r="U369" s="21" t="s">
        <v>1628</v>
      </c>
      <c r="V369" s="19" t="s">
        <v>38</v>
      </c>
      <c r="W369" s="19">
        <f t="shared" ca="1" si="10"/>
        <v>49</v>
      </c>
      <c r="X369" s="19">
        <f t="shared" si="11"/>
        <v>12</v>
      </c>
      <c r="Y369" s="19" t="str" cm="1">
        <f t="array" ref="Y369">_xlfn.IFS(ISERROR(X369), "Pending", X369&lt;=5, "On Time", X369&gt;5, "Delayed")</f>
        <v>Delayed</v>
      </c>
    </row>
    <row r="370" spans="1:25" x14ac:dyDescent="0.3">
      <c r="A370" s="15" t="s">
        <v>1629</v>
      </c>
      <c r="B370" s="15" t="s">
        <v>53</v>
      </c>
      <c r="C370" s="15" t="s">
        <v>118</v>
      </c>
      <c r="D370" s="16">
        <v>46113</v>
      </c>
      <c r="E370" s="16">
        <v>46117</v>
      </c>
      <c r="F370" s="15" t="s">
        <v>163</v>
      </c>
      <c r="G370" s="15" t="s">
        <v>28</v>
      </c>
      <c r="H370" s="16">
        <v>31868</v>
      </c>
      <c r="I370" s="15" t="s">
        <v>30</v>
      </c>
      <c r="J370" s="15" t="s">
        <v>31</v>
      </c>
      <c r="K370" s="15" t="s">
        <v>122</v>
      </c>
      <c r="L370" s="15" t="s">
        <v>123</v>
      </c>
      <c r="M370" s="15">
        <v>19</v>
      </c>
      <c r="N370" s="15">
        <v>60</v>
      </c>
      <c r="O370" s="15">
        <v>15</v>
      </c>
      <c r="P370" s="15">
        <v>969</v>
      </c>
      <c r="Q370" s="15">
        <v>4</v>
      </c>
      <c r="R370" s="15" t="s">
        <v>48</v>
      </c>
      <c r="S370" s="15" t="s">
        <v>115</v>
      </c>
      <c r="T370" s="15" t="s">
        <v>62</v>
      </c>
      <c r="U370" s="18" t="s">
        <v>1632</v>
      </c>
      <c r="V370" s="15" t="s">
        <v>69</v>
      </c>
      <c r="W370" s="15">
        <f t="shared" ca="1" si="10"/>
        <v>39</v>
      </c>
      <c r="X370" s="15">
        <f t="shared" si="11"/>
        <v>4</v>
      </c>
      <c r="Y370" s="15" t="str" cm="1">
        <f t="array" ref="Y370">_xlfn.IFS(ISERROR(X370), "Pending", X370&lt;=5, "On Time", X370&gt;5, "Delayed")</f>
        <v>On Time</v>
      </c>
    </row>
    <row r="371" spans="1:25" x14ac:dyDescent="0.3">
      <c r="A371" s="19" t="s">
        <v>1633</v>
      </c>
      <c r="B371" s="19" t="s">
        <v>327</v>
      </c>
      <c r="C371" s="19" t="s">
        <v>54</v>
      </c>
      <c r="D371" s="19"/>
      <c r="E371" s="20">
        <v>45690</v>
      </c>
      <c r="F371" s="19" t="s">
        <v>394</v>
      </c>
      <c r="G371" s="19" t="s">
        <v>76</v>
      </c>
      <c r="H371" s="20">
        <v>33738</v>
      </c>
      <c r="I371" s="19" t="s">
        <v>44</v>
      </c>
      <c r="J371" s="19" t="s">
        <v>45</v>
      </c>
      <c r="K371" s="19" t="s">
        <v>46</v>
      </c>
      <c r="L371" s="19" t="s">
        <v>60</v>
      </c>
      <c r="M371" s="19">
        <v>15</v>
      </c>
      <c r="N371" s="19">
        <v>55000</v>
      </c>
      <c r="O371" s="19">
        <v>0</v>
      </c>
      <c r="P371" s="19">
        <v>825000</v>
      </c>
      <c r="Q371" s="19">
        <v>5</v>
      </c>
      <c r="R371" s="19" t="s">
        <v>79</v>
      </c>
      <c r="S371" s="19" t="s">
        <v>115</v>
      </c>
      <c r="T371" s="19" t="s">
        <v>332</v>
      </c>
      <c r="U371" s="21" t="s">
        <v>1636</v>
      </c>
      <c r="V371" s="19" t="s">
        <v>69</v>
      </c>
      <c r="W371" s="19">
        <f t="shared" ca="1" si="10"/>
        <v>34</v>
      </c>
      <c r="X371" s="19">
        <f t="shared" si="11"/>
        <v>45690</v>
      </c>
      <c r="Y371" s="19" t="str" cm="1">
        <f t="array" ref="Y371">_xlfn.IFS(ISERROR(X371), "Pending", X371&lt;=5, "On Time", X371&gt;5, "Delayed")</f>
        <v>Delayed</v>
      </c>
    </row>
    <row r="372" spans="1:25" x14ac:dyDescent="0.3">
      <c r="A372" s="15" t="s">
        <v>1637</v>
      </c>
      <c r="B372" s="15" t="s">
        <v>71</v>
      </c>
      <c r="C372" s="15" t="s">
        <v>259</v>
      </c>
      <c r="D372" s="16">
        <v>45936</v>
      </c>
      <c r="E372" s="16">
        <v>45938</v>
      </c>
      <c r="F372" s="15" t="s">
        <v>217</v>
      </c>
      <c r="G372" s="15" t="s">
        <v>76</v>
      </c>
      <c r="H372" s="16">
        <v>32572</v>
      </c>
      <c r="I372" s="15" t="s">
        <v>59</v>
      </c>
      <c r="J372" s="15" t="s">
        <v>31</v>
      </c>
      <c r="K372" s="15" t="s">
        <v>122</v>
      </c>
      <c r="L372" s="15" t="s">
        <v>263</v>
      </c>
      <c r="M372" s="15">
        <v>11</v>
      </c>
      <c r="N372" s="15">
        <v>45</v>
      </c>
      <c r="O372" s="15">
        <v>5</v>
      </c>
      <c r="P372" s="15">
        <v>470.25</v>
      </c>
      <c r="Q372" s="15">
        <v>5</v>
      </c>
      <c r="R372" s="15" t="s">
        <v>48</v>
      </c>
      <c r="S372" s="15" t="s">
        <v>151</v>
      </c>
      <c r="T372" s="15" t="s">
        <v>80</v>
      </c>
      <c r="U372" s="18" t="s">
        <v>1640</v>
      </c>
      <c r="V372" s="15" t="s">
        <v>38</v>
      </c>
      <c r="W372" s="15">
        <f t="shared" ca="1" si="10"/>
        <v>37</v>
      </c>
      <c r="X372" s="15">
        <f t="shared" si="11"/>
        <v>2</v>
      </c>
      <c r="Y372" s="15" t="str" cm="1">
        <f t="array" ref="Y372">_xlfn.IFS(ISERROR(X372), "Pending", X372&lt;=5, "On Time", X372&gt;5, "Delayed")</f>
        <v>On Time</v>
      </c>
    </row>
    <row r="373" spans="1:25" x14ac:dyDescent="0.3">
      <c r="A373" s="19" t="s">
        <v>1641</v>
      </c>
      <c r="B373" s="19" t="s">
        <v>251</v>
      </c>
      <c r="C373" s="19" t="s">
        <v>222</v>
      </c>
      <c r="D373" s="20">
        <v>45820</v>
      </c>
      <c r="E373" s="20">
        <v>45825</v>
      </c>
      <c r="F373" s="19" t="s">
        <v>254</v>
      </c>
      <c r="G373" s="19" t="s">
        <v>28</v>
      </c>
      <c r="H373" s="20">
        <v>33226</v>
      </c>
      <c r="I373" s="19" t="s">
        <v>212</v>
      </c>
      <c r="J373" s="19" t="s">
        <v>45</v>
      </c>
      <c r="K373" s="19" t="s">
        <v>122</v>
      </c>
      <c r="L373" s="19" t="s">
        <v>227</v>
      </c>
      <c r="M373" s="19">
        <v>9</v>
      </c>
      <c r="N373" s="19">
        <v>20</v>
      </c>
      <c r="O373" s="19">
        <v>10</v>
      </c>
      <c r="P373" s="19">
        <v>162</v>
      </c>
      <c r="Q373" s="19">
        <v>1</v>
      </c>
      <c r="R373" s="19" t="s">
        <v>79</v>
      </c>
      <c r="S373" s="19" t="s">
        <v>49</v>
      </c>
      <c r="T373" s="19" t="s">
        <v>256</v>
      </c>
      <c r="U373" s="21" t="s">
        <v>1645</v>
      </c>
      <c r="V373" s="19" t="s">
        <v>69</v>
      </c>
      <c r="W373" s="19">
        <f t="shared" ca="1" si="10"/>
        <v>35</v>
      </c>
      <c r="X373" s="19">
        <f t="shared" si="11"/>
        <v>5</v>
      </c>
      <c r="Y373" s="19" t="str" cm="1">
        <f t="array" ref="Y373">_xlfn.IFS(ISERROR(X373), "Pending", X373&lt;=5, "On Time", X373&gt;5, "Delayed")</f>
        <v>On Time</v>
      </c>
    </row>
    <row r="374" spans="1:25" x14ac:dyDescent="0.3">
      <c r="A374" s="15" t="s">
        <v>1646</v>
      </c>
      <c r="B374" s="15" t="s">
        <v>168</v>
      </c>
      <c r="C374" s="15" t="s">
        <v>259</v>
      </c>
      <c r="D374" s="16">
        <v>45979</v>
      </c>
      <c r="E374" s="16">
        <v>45981</v>
      </c>
      <c r="F374" s="15" t="s">
        <v>361</v>
      </c>
      <c r="G374" s="15" t="s">
        <v>28</v>
      </c>
      <c r="H374" s="16">
        <v>34949</v>
      </c>
      <c r="I374" s="15" t="s">
        <v>59</v>
      </c>
      <c r="J374" s="15" t="s">
        <v>31</v>
      </c>
      <c r="K374" s="15" t="s">
        <v>122</v>
      </c>
      <c r="L374" s="15" t="s">
        <v>263</v>
      </c>
      <c r="M374" s="15">
        <v>5</v>
      </c>
      <c r="N374" s="15">
        <v>45</v>
      </c>
      <c r="O374" s="15">
        <v>5</v>
      </c>
      <c r="P374" s="15">
        <v>213.75</v>
      </c>
      <c r="Q374" s="15">
        <v>3</v>
      </c>
      <c r="R374" s="15" t="s">
        <v>79</v>
      </c>
      <c r="S374" s="15" t="s">
        <v>115</v>
      </c>
      <c r="T374" s="15" t="s">
        <v>175</v>
      </c>
      <c r="U374" s="18" t="s">
        <v>1648</v>
      </c>
      <c r="V374" s="15" t="s">
        <v>64</v>
      </c>
      <c r="W374" s="15">
        <f t="shared" ca="1" si="10"/>
        <v>30</v>
      </c>
      <c r="X374" s="15">
        <f t="shared" si="11"/>
        <v>2</v>
      </c>
      <c r="Y374" s="15" t="str" cm="1">
        <f t="array" ref="Y374">_xlfn.IFS(ISERROR(X374), "Pending", X374&lt;=5, "On Time", X374&gt;5, "Delayed")</f>
        <v>On Time</v>
      </c>
    </row>
    <row r="375" spans="1:25" x14ac:dyDescent="0.3">
      <c r="A375" s="19" t="s">
        <v>1649</v>
      </c>
      <c r="B375" s="19" t="s">
        <v>83</v>
      </c>
      <c r="C375" s="19" t="s">
        <v>184</v>
      </c>
      <c r="D375" s="20">
        <v>45962</v>
      </c>
      <c r="E375" s="20">
        <v>45963</v>
      </c>
      <c r="F375" s="19" t="s">
        <v>180</v>
      </c>
      <c r="G375" s="19" t="s">
        <v>76</v>
      </c>
      <c r="H375" s="20">
        <v>36152</v>
      </c>
      <c r="I375" s="19" t="s">
        <v>30</v>
      </c>
      <c r="J375" s="19" t="s">
        <v>31</v>
      </c>
      <c r="K375" s="19" t="s">
        <v>46</v>
      </c>
      <c r="L375" s="19" t="s">
        <v>189</v>
      </c>
      <c r="M375" s="19">
        <v>5</v>
      </c>
      <c r="N375" s="19">
        <v>700</v>
      </c>
      <c r="O375" s="19">
        <v>10</v>
      </c>
      <c r="P375" s="19">
        <v>3150</v>
      </c>
      <c r="Q375" s="19">
        <v>2</v>
      </c>
      <c r="R375" s="19" t="s">
        <v>88</v>
      </c>
      <c r="S375" s="19" t="s">
        <v>49</v>
      </c>
      <c r="T375" s="19" t="s">
        <v>89</v>
      </c>
      <c r="U375" s="21" t="s">
        <v>1652</v>
      </c>
      <c r="V375" s="19" t="s">
        <v>38</v>
      </c>
      <c r="W375" s="19">
        <f t="shared" ca="1" si="10"/>
        <v>27</v>
      </c>
      <c r="X375" s="19">
        <f t="shared" si="11"/>
        <v>1</v>
      </c>
      <c r="Y375" s="19" t="str" cm="1">
        <f t="array" ref="Y375">_xlfn.IFS(ISERROR(X375), "Pending", X375&lt;=5, "On Time", X375&gt;5, "Delayed")</f>
        <v>On Time</v>
      </c>
    </row>
    <row r="376" spans="1:25" x14ac:dyDescent="0.3">
      <c r="A376" s="15" t="s">
        <v>1653</v>
      </c>
      <c r="B376" s="15" t="s">
        <v>221</v>
      </c>
      <c r="C376" s="15" t="s">
        <v>184</v>
      </c>
      <c r="D376" s="16">
        <v>45681</v>
      </c>
      <c r="E376" s="16">
        <v>45688</v>
      </c>
      <c r="F376" s="15" t="s">
        <v>225</v>
      </c>
      <c r="G376" s="15" t="s">
        <v>76</v>
      </c>
      <c r="H376" s="16">
        <v>29212</v>
      </c>
      <c r="I376" s="15" t="s">
        <v>294</v>
      </c>
      <c r="J376" s="15" t="s">
        <v>295</v>
      </c>
      <c r="K376" s="15" t="s">
        <v>46</v>
      </c>
      <c r="L376" s="15" t="s">
        <v>189</v>
      </c>
      <c r="M376" s="15">
        <v>1</v>
      </c>
      <c r="N376" s="15">
        <v>700</v>
      </c>
      <c r="O376" s="15">
        <v>0</v>
      </c>
      <c r="P376" s="15">
        <v>700</v>
      </c>
      <c r="Q376" s="15">
        <v>1</v>
      </c>
      <c r="R376" s="15" t="s">
        <v>88</v>
      </c>
      <c r="S376" s="15" t="s">
        <v>151</v>
      </c>
      <c r="T376" s="15" t="s">
        <v>228</v>
      </c>
      <c r="U376" s="18" t="s">
        <v>1656</v>
      </c>
      <c r="V376" s="15" t="s">
        <v>38</v>
      </c>
      <c r="W376" s="15">
        <f t="shared" ca="1" si="10"/>
        <v>46</v>
      </c>
      <c r="X376" s="15">
        <f t="shared" si="11"/>
        <v>7</v>
      </c>
      <c r="Y376" s="15" t="str" cm="1">
        <f t="array" ref="Y376">_xlfn.IFS(ISERROR(X376), "Pending", X376&lt;=5, "On Time", X376&gt;5, "Delayed")</f>
        <v>Delayed</v>
      </c>
    </row>
    <row r="377" spans="1:25" x14ac:dyDescent="0.3">
      <c r="A377" s="19" t="s">
        <v>1657</v>
      </c>
      <c r="B377" s="19" t="s">
        <v>23</v>
      </c>
      <c r="C377" s="19" t="s">
        <v>184</v>
      </c>
      <c r="D377" s="20">
        <v>46066</v>
      </c>
      <c r="E377" s="20">
        <v>46074</v>
      </c>
      <c r="F377" s="19" t="s">
        <v>27</v>
      </c>
      <c r="G377" s="19" t="s">
        <v>28</v>
      </c>
      <c r="H377" s="20">
        <v>27743</v>
      </c>
      <c r="I377" s="19" t="s">
        <v>105</v>
      </c>
      <c r="J377" s="19" t="s">
        <v>106</v>
      </c>
      <c r="K377" s="19" t="s">
        <v>46</v>
      </c>
      <c r="L377" s="19" t="s">
        <v>189</v>
      </c>
      <c r="M377" s="19">
        <v>13</v>
      </c>
      <c r="N377" s="19">
        <v>700</v>
      </c>
      <c r="O377" s="19">
        <v>20</v>
      </c>
      <c r="P377" s="19">
        <v>7280</v>
      </c>
      <c r="Q377" s="19">
        <v>2</v>
      </c>
      <c r="R377" s="19" t="s">
        <v>79</v>
      </c>
      <c r="S377" s="19" t="s">
        <v>35</v>
      </c>
      <c r="T377" s="19" t="s">
        <v>50</v>
      </c>
      <c r="U377" s="21" t="s">
        <v>1659</v>
      </c>
      <c r="V377" s="19" t="s">
        <v>38</v>
      </c>
      <c r="W377" s="19">
        <f t="shared" ca="1" si="10"/>
        <v>50</v>
      </c>
      <c r="X377" s="19">
        <f t="shared" si="11"/>
        <v>8</v>
      </c>
      <c r="Y377" s="19" t="str" cm="1">
        <f t="array" ref="Y377">_xlfn.IFS(ISERROR(X377), "Pending", X377&lt;=5, "On Time", X377&gt;5, "Delayed")</f>
        <v>Delayed</v>
      </c>
    </row>
    <row r="378" spans="1:25" x14ac:dyDescent="0.3">
      <c r="A378" s="15" t="s">
        <v>1660</v>
      </c>
      <c r="B378" s="15" t="s">
        <v>71</v>
      </c>
      <c r="C378" s="15" t="s">
        <v>40</v>
      </c>
      <c r="D378" s="16">
        <v>45696</v>
      </c>
      <c r="E378" s="16">
        <v>45707</v>
      </c>
      <c r="F378" s="15" t="s">
        <v>217</v>
      </c>
      <c r="G378" s="15" t="s">
        <v>76</v>
      </c>
      <c r="H378" s="16">
        <v>34106</v>
      </c>
      <c r="I378" s="15" t="s">
        <v>114</v>
      </c>
      <c r="J378" s="15" t="s">
        <v>106</v>
      </c>
      <c r="K378" s="15" t="s">
        <v>46</v>
      </c>
      <c r="L378" s="15" t="s">
        <v>47</v>
      </c>
      <c r="M378" s="15">
        <v>20</v>
      </c>
      <c r="N378" s="15">
        <v>12000</v>
      </c>
      <c r="O378" s="15">
        <v>0</v>
      </c>
      <c r="P378" s="15">
        <v>240000</v>
      </c>
      <c r="Q378" s="15">
        <v>2</v>
      </c>
      <c r="R378" s="15" t="s">
        <v>79</v>
      </c>
      <c r="S378" s="15" t="s">
        <v>115</v>
      </c>
      <c r="T378" s="15" t="s">
        <v>80</v>
      </c>
      <c r="U378" s="18" t="s">
        <v>1662</v>
      </c>
      <c r="V378" s="15" t="s">
        <v>38</v>
      </c>
      <c r="W378" s="15">
        <f t="shared" ca="1" si="10"/>
        <v>33</v>
      </c>
      <c r="X378" s="15">
        <f t="shared" si="11"/>
        <v>11</v>
      </c>
      <c r="Y378" s="15" t="str" cm="1">
        <f t="array" ref="Y378">_xlfn.IFS(ISERROR(X378), "Pending", X378&lt;=5, "On Time", X378&gt;5, "Delayed")</f>
        <v>Delayed</v>
      </c>
    </row>
    <row r="379" spans="1:25" x14ac:dyDescent="0.3">
      <c r="A379" s="19" t="s">
        <v>1663</v>
      </c>
      <c r="B379" s="19" t="s">
        <v>83</v>
      </c>
      <c r="C379" s="19" t="s">
        <v>72</v>
      </c>
      <c r="D379" s="20">
        <v>46019</v>
      </c>
      <c r="E379" s="20">
        <v>46028</v>
      </c>
      <c r="F379" s="19" t="s">
        <v>180</v>
      </c>
      <c r="G379" s="19" t="s">
        <v>76</v>
      </c>
      <c r="H379" s="20">
        <v>28020</v>
      </c>
      <c r="I379" s="19" t="s">
        <v>294</v>
      </c>
      <c r="J379" s="19" t="s">
        <v>295</v>
      </c>
      <c r="K379" s="19" t="s">
        <v>46</v>
      </c>
      <c r="L379" s="19" t="s">
        <v>78</v>
      </c>
      <c r="M379" s="19">
        <v>9</v>
      </c>
      <c r="N379" s="19">
        <v>1200</v>
      </c>
      <c r="O379" s="19">
        <v>15</v>
      </c>
      <c r="P379" s="19">
        <v>9180</v>
      </c>
      <c r="Q379" s="19">
        <v>1</v>
      </c>
      <c r="R379" s="19" t="s">
        <v>88</v>
      </c>
      <c r="S379" s="19" t="s">
        <v>35</v>
      </c>
      <c r="T379" s="19" t="s">
        <v>89</v>
      </c>
      <c r="U379" s="21" t="s">
        <v>1665</v>
      </c>
      <c r="V379" s="19" t="s">
        <v>64</v>
      </c>
      <c r="W379" s="19">
        <f t="shared" ca="1" si="10"/>
        <v>49</v>
      </c>
      <c r="X379" s="19">
        <f t="shared" si="11"/>
        <v>9</v>
      </c>
      <c r="Y379" s="19" t="str" cm="1">
        <f t="array" ref="Y379">_xlfn.IFS(ISERROR(X379), "Pending", X379&lt;=5, "On Time", X379&gt;5, "Delayed")</f>
        <v>Delayed</v>
      </c>
    </row>
    <row r="380" spans="1:25" x14ac:dyDescent="0.3">
      <c r="A380" s="15" t="s">
        <v>1666</v>
      </c>
      <c r="B380" s="15" t="s">
        <v>83</v>
      </c>
      <c r="C380" s="15" t="s">
        <v>222</v>
      </c>
      <c r="D380" s="16">
        <v>45931</v>
      </c>
      <c r="E380" s="16">
        <v>45933</v>
      </c>
      <c r="F380" s="15" t="s">
        <v>180</v>
      </c>
      <c r="G380" s="15" t="s">
        <v>76</v>
      </c>
      <c r="H380" s="16">
        <v>35421</v>
      </c>
      <c r="I380" s="15" t="s">
        <v>212</v>
      </c>
      <c r="J380" s="15" t="s">
        <v>45</v>
      </c>
      <c r="K380" s="15" t="s">
        <v>122</v>
      </c>
      <c r="L380" s="15" t="s">
        <v>227</v>
      </c>
      <c r="M380" s="15">
        <v>3</v>
      </c>
      <c r="N380" s="15">
        <v>20</v>
      </c>
      <c r="O380" s="15">
        <v>15</v>
      </c>
      <c r="P380" s="15">
        <v>51</v>
      </c>
      <c r="Q380" s="15">
        <v>3</v>
      </c>
      <c r="R380" s="15" t="s">
        <v>34</v>
      </c>
      <c r="S380" s="15" t="s">
        <v>115</v>
      </c>
      <c r="T380" s="15" t="s">
        <v>89</v>
      </c>
      <c r="U380" s="18" t="s">
        <v>1669</v>
      </c>
      <c r="V380" s="15" t="s">
        <v>64</v>
      </c>
      <c r="W380" s="15">
        <f t="shared" ca="1" si="10"/>
        <v>29</v>
      </c>
      <c r="X380" s="15">
        <f t="shared" si="11"/>
        <v>2</v>
      </c>
      <c r="Y380" s="15" t="str" cm="1">
        <f t="array" ref="Y380">_xlfn.IFS(ISERROR(X380), "Pending", X380&lt;=5, "On Time", X380&gt;5, "Delayed")</f>
        <v>On Time</v>
      </c>
    </row>
    <row r="381" spans="1:25" x14ac:dyDescent="0.3">
      <c r="A381" s="19" t="s">
        <v>1670</v>
      </c>
      <c r="B381" s="19" t="s">
        <v>251</v>
      </c>
      <c r="C381" s="19" t="s">
        <v>54</v>
      </c>
      <c r="D381" s="20">
        <v>46009</v>
      </c>
      <c r="E381" s="20">
        <v>46010</v>
      </c>
      <c r="F381" s="19" t="s">
        <v>254</v>
      </c>
      <c r="G381" s="19" t="s">
        <v>28</v>
      </c>
      <c r="H381" s="20">
        <v>35058</v>
      </c>
      <c r="I381" s="19" t="s">
        <v>44</v>
      </c>
      <c r="J381" s="19" t="s">
        <v>45</v>
      </c>
      <c r="K381" s="19" t="s">
        <v>46</v>
      </c>
      <c r="L381" s="19" t="s">
        <v>60</v>
      </c>
      <c r="M381" s="19">
        <v>8</v>
      </c>
      <c r="N381" s="19">
        <v>55000</v>
      </c>
      <c r="O381" s="19">
        <v>20</v>
      </c>
      <c r="P381" s="19">
        <v>352000</v>
      </c>
      <c r="Q381" s="19">
        <v>5</v>
      </c>
      <c r="R381" s="19" t="s">
        <v>79</v>
      </c>
      <c r="S381" s="19" t="s">
        <v>151</v>
      </c>
      <c r="T381" s="19" t="s">
        <v>256</v>
      </c>
      <c r="U381" s="21" t="s">
        <v>1672</v>
      </c>
      <c r="V381" s="19" t="s">
        <v>64</v>
      </c>
      <c r="W381" s="19">
        <f t="shared" ca="1" si="10"/>
        <v>30</v>
      </c>
      <c r="X381" s="19">
        <f t="shared" si="11"/>
        <v>1</v>
      </c>
      <c r="Y381" s="19" t="str" cm="1">
        <f t="array" ref="Y381">_xlfn.IFS(ISERROR(X381), "Pending", X381&lt;=5, "On Time", X381&gt;5, "Delayed")</f>
        <v>On Time</v>
      </c>
    </row>
    <row r="382" spans="1:25" x14ac:dyDescent="0.3">
      <c r="A382" s="15" t="s">
        <v>1673</v>
      </c>
      <c r="B382" s="15" t="s">
        <v>251</v>
      </c>
      <c r="C382" s="15" t="s">
        <v>118</v>
      </c>
      <c r="D382" s="16">
        <v>45929</v>
      </c>
      <c r="E382" s="16">
        <v>45937</v>
      </c>
      <c r="F382" s="15" t="s">
        <v>254</v>
      </c>
      <c r="G382" s="15" t="s">
        <v>28</v>
      </c>
      <c r="H382" s="16">
        <v>31221</v>
      </c>
      <c r="I382" s="15" t="s">
        <v>44</v>
      </c>
      <c r="J382" s="15" t="s">
        <v>45</v>
      </c>
      <c r="K382" s="15" t="s">
        <v>122</v>
      </c>
      <c r="L382" s="15" t="s">
        <v>123</v>
      </c>
      <c r="M382" s="15">
        <v>17</v>
      </c>
      <c r="N382" s="15">
        <v>60</v>
      </c>
      <c r="O382" s="15">
        <v>20</v>
      </c>
      <c r="P382" s="15">
        <v>816</v>
      </c>
      <c r="Q382" s="15">
        <v>1</v>
      </c>
      <c r="R382" s="15" t="s">
        <v>88</v>
      </c>
      <c r="S382" s="15" t="s">
        <v>35</v>
      </c>
      <c r="T382" s="15" t="s">
        <v>256</v>
      </c>
      <c r="U382" s="18" t="s">
        <v>1675</v>
      </c>
      <c r="V382" s="15" t="s">
        <v>64</v>
      </c>
      <c r="W382" s="15">
        <f t="shared" ca="1" si="10"/>
        <v>41</v>
      </c>
      <c r="X382" s="15">
        <f t="shared" si="11"/>
        <v>8</v>
      </c>
      <c r="Y382" s="15" t="str" cm="1">
        <f t="array" ref="Y382">_xlfn.IFS(ISERROR(X382), "Pending", X382&lt;=5, "On Time", X382&gt;5, "Delayed")</f>
        <v>Delayed</v>
      </c>
    </row>
    <row r="383" spans="1:25" x14ac:dyDescent="0.3">
      <c r="A383" s="19" t="s">
        <v>1676</v>
      </c>
      <c r="B383" s="19" t="s">
        <v>127</v>
      </c>
      <c r="C383" s="19" t="s">
        <v>222</v>
      </c>
      <c r="D383" s="20">
        <v>45791</v>
      </c>
      <c r="E383" s="20">
        <v>45799</v>
      </c>
      <c r="F383" s="19" t="s">
        <v>200</v>
      </c>
      <c r="G383" s="19" t="s">
        <v>76</v>
      </c>
      <c r="H383" s="20">
        <v>30957</v>
      </c>
      <c r="I383" s="19" t="s">
        <v>59</v>
      </c>
      <c r="J383" s="19" t="s">
        <v>31</v>
      </c>
      <c r="K383" s="19" t="s">
        <v>122</v>
      </c>
      <c r="L383" s="19" t="s">
        <v>227</v>
      </c>
      <c r="M383" s="19">
        <v>4</v>
      </c>
      <c r="N383" s="19">
        <v>20</v>
      </c>
      <c r="O383" s="19">
        <v>15</v>
      </c>
      <c r="P383" s="19">
        <v>68</v>
      </c>
      <c r="Q383" s="19">
        <v>3</v>
      </c>
      <c r="R383" s="19" t="s">
        <v>48</v>
      </c>
      <c r="S383" s="19" t="s">
        <v>61</v>
      </c>
      <c r="T383" s="19" t="s">
        <v>132</v>
      </c>
      <c r="U383" s="21" t="s">
        <v>1679</v>
      </c>
      <c r="V383" s="19" t="s">
        <v>64</v>
      </c>
      <c r="W383" s="19">
        <f t="shared" ca="1" si="10"/>
        <v>41</v>
      </c>
      <c r="X383" s="19">
        <f t="shared" si="11"/>
        <v>8</v>
      </c>
      <c r="Y383" s="19" t="str" cm="1">
        <f t="array" ref="Y383">_xlfn.IFS(ISERROR(X383), "Pending", X383&lt;=5, "On Time", X383&gt;5, "Delayed")</f>
        <v>Delayed</v>
      </c>
    </row>
    <row r="384" spans="1:25" x14ac:dyDescent="0.3">
      <c r="A384" s="15" t="s">
        <v>1680</v>
      </c>
      <c r="B384" s="15" t="s">
        <v>127</v>
      </c>
      <c r="C384" s="15" t="s">
        <v>24</v>
      </c>
      <c r="D384" s="16">
        <v>45748</v>
      </c>
      <c r="E384" s="16">
        <v>45758</v>
      </c>
      <c r="F384" s="15" t="s">
        <v>1681</v>
      </c>
      <c r="G384" s="15" t="s">
        <v>76</v>
      </c>
      <c r="H384" s="16">
        <v>37291</v>
      </c>
      <c r="I384" s="15" t="s">
        <v>294</v>
      </c>
      <c r="J384" s="15" t="s">
        <v>295</v>
      </c>
      <c r="K384" s="15" t="s">
        <v>32</v>
      </c>
      <c r="L384" s="15" t="s">
        <v>33</v>
      </c>
      <c r="M384" s="15">
        <v>2</v>
      </c>
      <c r="N384" s="15">
        <v>2200</v>
      </c>
      <c r="O384" s="15">
        <v>10</v>
      </c>
      <c r="P384" s="15">
        <v>3960</v>
      </c>
      <c r="Q384" s="15">
        <v>2</v>
      </c>
      <c r="R384" s="15" t="s">
        <v>88</v>
      </c>
      <c r="S384" s="15" t="s">
        <v>49</v>
      </c>
      <c r="T384" s="15" t="s">
        <v>132</v>
      </c>
      <c r="U384" s="18" t="s">
        <v>1683</v>
      </c>
      <c r="V384" s="15" t="s">
        <v>64</v>
      </c>
      <c r="W384" s="15">
        <f t="shared" ca="1" si="10"/>
        <v>24</v>
      </c>
      <c r="X384" s="15">
        <f t="shared" si="11"/>
        <v>10</v>
      </c>
      <c r="Y384" s="15" t="str" cm="1">
        <f t="array" ref="Y384">_xlfn.IFS(ISERROR(X384), "Pending", X384&lt;=5, "On Time", X384&gt;5, "Delayed")</f>
        <v>Delayed</v>
      </c>
    </row>
    <row r="385" spans="1:25" x14ac:dyDescent="0.3">
      <c r="A385" s="19" t="s">
        <v>1684</v>
      </c>
      <c r="B385" s="19" t="s">
        <v>221</v>
      </c>
      <c r="C385" s="19" t="s">
        <v>118</v>
      </c>
      <c r="D385" s="20">
        <v>45754</v>
      </c>
      <c r="E385" s="20">
        <v>45765</v>
      </c>
      <c r="F385" s="19" t="s">
        <v>225</v>
      </c>
      <c r="G385" s="19" t="s">
        <v>76</v>
      </c>
      <c r="H385" s="20">
        <v>37819</v>
      </c>
      <c r="I385" s="19" t="s">
        <v>59</v>
      </c>
      <c r="J385" s="19" t="s">
        <v>31</v>
      </c>
      <c r="K385" s="19" t="s">
        <v>122</v>
      </c>
      <c r="L385" s="19" t="s">
        <v>123</v>
      </c>
      <c r="M385" s="19">
        <v>5</v>
      </c>
      <c r="N385" s="19">
        <v>60</v>
      </c>
      <c r="O385" s="19">
        <v>5</v>
      </c>
      <c r="P385" s="19">
        <v>285</v>
      </c>
      <c r="Q385" s="19">
        <v>1</v>
      </c>
      <c r="R385" s="19" t="s">
        <v>88</v>
      </c>
      <c r="S385" s="19" t="s">
        <v>35</v>
      </c>
      <c r="T385" s="19" t="s">
        <v>228</v>
      </c>
      <c r="U385" s="21" t="s">
        <v>1686</v>
      </c>
      <c r="V385" s="19" t="s">
        <v>69</v>
      </c>
      <c r="W385" s="19">
        <f t="shared" ca="1" si="10"/>
        <v>23</v>
      </c>
      <c r="X385" s="19">
        <f t="shared" si="11"/>
        <v>11</v>
      </c>
      <c r="Y385" s="19" t="str" cm="1">
        <f t="array" ref="Y385">_xlfn.IFS(ISERROR(X385), "Pending", X385&lt;=5, "On Time", X385&gt;5, "Delayed")</f>
        <v>Delayed</v>
      </c>
    </row>
    <row r="386" spans="1:25" x14ac:dyDescent="0.3">
      <c r="A386" s="15" t="s">
        <v>1687</v>
      </c>
      <c r="B386" s="15" t="s">
        <v>127</v>
      </c>
      <c r="C386" s="15" t="s">
        <v>24</v>
      </c>
      <c r="D386" s="16">
        <v>46072</v>
      </c>
      <c r="E386" s="16">
        <v>46076</v>
      </c>
      <c r="F386" s="15" t="s">
        <v>200</v>
      </c>
      <c r="G386" s="15" t="s">
        <v>76</v>
      </c>
      <c r="H386" s="16">
        <v>33399</v>
      </c>
      <c r="I386" s="15" t="s">
        <v>44</v>
      </c>
      <c r="J386" s="15" t="s">
        <v>45</v>
      </c>
      <c r="K386" s="15" t="s">
        <v>32</v>
      </c>
      <c r="L386" s="15" t="s">
        <v>33</v>
      </c>
      <c r="M386" s="15">
        <v>17</v>
      </c>
      <c r="N386" s="15">
        <v>2200</v>
      </c>
      <c r="O386" s="15">
        <v>0</v>
      </c>
      <c r="P386" s="15">
        <v>37400</v>
      </c>
      <c r="Q386" s="15">
        <v>2</v>
      </c>
      <c r="R386" s="15" t="s">
        <v>88</v>
      </c>
      <c r="S386" s="15" t="s">
        <v>151</v>
      </c>
      <c r="T386" s="15" t="s">
        <v>132</v>
      </c>
      <c r="U386" s="18" t="s">
        <v>1691</v>
      </c>
      <c r="V386" s="15" t="s">
        <v>69</v>
      </c>
      <c r="W386" s="15">
        <f t="shared" ca="1" si="10"/>
        <v>35</v>
      </c>
      <c r="X386" s="15">
        <f t="shared" si="11"/>
        <v>4</v>
      </c>
      <c r="Y386" s="15" t="str" cm="1">
        <f t="array" ref="Y386">_xlfn.IFS(ISERROR(X386), "Pending", X386&lt;=5, "On Time", X386&gt;5, "Delayed")</f>
        <v>On Time</v>
      </c>
    </row>
    <row r="387" spans="1:25" x14ac:dyDescent="0.3">
      <c r="A387" s="19" t="s">
        <v>1692</v>
      </c>
      <c r="B387" s="19" t="s">
        <v>168</v>
      </c>
      <c r="C387" s="19" t="s">
        <v>118</v>
      </c>
      <c r="D387" s="20">
        <v>45995</v>
      </c>
      <c r="E387" s="20">
        <v>46002</v>
      </c>
      <c r="F387" s="19" t="s">
        <v>361</v>
      </c>
      <c r="G387" s="19" t="s">
        <v>28</v>
      </c>
      <c r="H387" s="20">
        <v>30803</v>
      </c>
      <c r="I387" s="19" t="s">
        <v>138</v>
      </c>
      <c r="J387" s="19" t="s">
        <v>106</v>
      </c>
      <c r="K387" s="19" t="s">
        <v>122</v>
      </c>
      <c r="L387" s="19" t="s">
        <v>123</v>
      </c>
      <c r="M387" s="19">
        <v>7</v>
      </c>
      <c r="N387" s="19">
        <v>60</v>
      </c>
      <c r="O387" s="19">
        <v>0</v>
      </c>
      <c r="P387" s="19">
        <v>420</v>
      </c>
      <c r="Q387" s="19">
        <v>2</v>
      </c>
      <c r="R387" s="19" t="s">
        <v>88</v>
      </c>
      <c r="S387" s="19" t="s">
        <v>61</v>
      </c>
      <c r="T387" s="19" t="s">
        <v>175</v>
      </c>
      <c r="U387" s="21" t="s">
        <v>1694</v>
      </c>
      <c r="V387" s="19" t="s">
        <v>64</v>
      </c>
      <c r="W387" s="19">
        <f t="shared" ref="W387:W450" ca="1" si="12">DATEDIF(H387,TODAY(),"Y")</f>
        <v>42</v>
      </c>
      <c r="X387" s="19">
        <f t="shared" ref="X387:X450" si="13">DATEDIF(D387,E387,"D")</f>
        <v>7</v>
      </c>
      <c r="Y387" s="19" t="str" cm="1">
        <f t="array" ref="Y387">_xlfn.IFS(ISERROR(X387), "Pending", X387&lt;=5, "On Time", X387&gt;5, "Delayed")</f>
        <v>Delayed</v>
      </c>
    </row>
    <row r="388" spans="1:25" x14ac:dyDescent="0.3">
      <c r="A388" s="15" t="s">
        <v>1695</v>
      </c>
      <c r="B388" s="15" t="s">
        <v>221</v>
      </c>
      <c r="C388" s="15" t="s">
        <v>54</v>
      </c>
      <c r="D388" s="16">
        <v>45950</v>
      </c>
      <c r="E388" s="16">
        <v>45954</v>
      </c>
      <c r="F388" s="15" t="s">
        <v>225</v>
      </c>
      <c r="G388" s="15" t="s">
        <v>76</v>
      </c>
      <c r="H388" s="16">
        <v>27731</v>
      </c>
      <c r="I388" s="15" t="s">
        <v>30</v>
      </c>
      <c r="J388" s="15" t="s">
        <v>31</v>
      </c>
      <c r="K388" s="15" t="s">
        <v>46</v>
      </c>
      <c r="L388" s="15" t="s">
        <v>60</v>
      </c>
      <c r="M388" s="15">
        <v>6</v>
      </c>
      <c r="N388" s="15">
        <v>55000</v>
      </c>
      <c r="O388" s="15">
        <v>5</v>
      </c>
      <c r="P388" s="15">
        <v>313500</v>
      </c>
      <c r="Q388" s="15">
        <v>4</v>
      </c>
      <c r="R388" s="15" t="s">
        <v>79</v>
      </c>
      <c r="S388" s="15" t="s">
        <v>61</v>
      </c>
      <c r="T388" s="15" t="s">
        <v>228</v>
      </c>
      <c r="U388" s="18" t="s">
        <v>1698</v>
      </c>
      <c r="V388" s="15" t="s">
        <v>38</v>
      </c>
      <c r="W388" s="15">
        <f t="shared" ca="1" si="12"/>
        <v>50</v>
      </c>
      <c r="X388" s="15">
        <f t="shared" si="13"/>
        <v>4</v>
      </c>
      <c r="Y388" s="15" t="str" cm="1">
        <f t="array" ref="Y388">_xlfn.IFS(ISERROR(X388), "Pending", X388&lt;=5, "On Time", X388&gt;5, "Delayed")</f>
        <v>On Time</v>
      </c>
    </row>
    <row r="389" spans="1:25" x14ac:dyDescent="0.3">
      <c r="A389" s="19" t="s">
        <v>1699</v>
      </c>
      <c r="B389" s="19" t="s">
        <v>71</v>
      </c>
      <c r="C389" s="19" t="s">
        <v>222</v>
      </c>
      <c r="D389" s="20">
        <v>46043</v>
      </c>
      <c r="E389" s="20">
        <v>46047</v>
      </c>
      <c r="F389" s="19" t="s">
        <v>217</v>
      </c>
      <c r="G389" s="19" t="s">
        <v>76</v>
      </c>
      <c r="H389" s="20">
        <v>30390</v>
      </c>
      <c r="I389" s="19" t="s">
        <v>30</v>
      </c>
      <c r="J389" s="19" t="s">
        <v>31</v>
      </c>
      <c r="K389" s="19" t="s">
        <v>122</v>
      </c>
      <c r="L389" s="19" t="s">
        <v>227</v>
      </c>
      <c r="M389" s="19">
        <v>16</v>
      </c>
      <c r="N389" s="19">
        <v>20</v>
      </c>
      <c r="O389" s="19">
        <v>5</v>
      </c>
      <c r="P389" s="19">
        <v>304</v>
      </c>
      <c r="Q389" s="19">
        <v>1</v>
      </c>
      <c r="R389" s="19" t="s">
        <v>79</v>
      </c>
      <c r="S389" s="19" t="s">
        <v>49</v>
      </c>
      <c r="T389" s="19" t="s">
        <v>80</v>
      </c>
      <c r="U389" s="21" t="s">
        <v>1702</v>
      </c>
      <c r="V389" s="19" t="s">
        <v>38</v>
      </c>
      <c r="W389" s="19">
        <f t="shared" ca="1" si="12"/>
        <v>43</v>
      </c>
      <c r="X389" s="19">
        <f t="shared" si="13"/>
        <v>4</v>
      </c>
      <c r="Y389" s="19" t="str" cm="1">
        <f t="array" ref="Y389">_xlfn.IFS(ISERROR(X389), "Pending", X389&lt;=5, "On Time", X389&gt;5, "Delayed")</f>
        <v>On Time</v>
      </c>
    </row>
    <row r="390" spans="1:25" x14ac:dyDescent="0.3">
      <c r="A390" s="15" t="s">
        <v>1703</v>
      </c>
      <c r="B390" s="15" t="s">
        <v>23</v>
      </c>
      <c r="C390" s="15" t="s">
        <v>24</v>
      </c>
      <c r="D390" s="16">
        <v>45682</v>
      </c>
      <c r="E390" s="16">
        <v>45685</v>
      </c>
      <c r="F390" s="15" t="s">
        <v>27</v>
      </c>
      <c r="G390" s="15" t="s">
        <v>28</v>
      </c>
      <c r="H390" s="16">
        <v>27870</v>
      </c>
      <c r="I390" s="15" t="s">
        <v>294</v>
      </c>
      <c r="J390" s="15" t="s">
        <v>295</v>
      </c>
      <c r="K390" s="15" t="s">
        <v>32</v>
      </c>
      <c r="L390" s="15" t="s">
        <v>33</v>
      </c>
      <c r="M390" s="15">
        <v>11</v>
      </c>
      <c r="N390" s="15">
        <v>2200</v>
      </c>
      <c r="O390" s="15">
        <v>15</v>
      </c>
      <c r="P390" s="15">
        <v>20570</v>
      </c>
      <c r="Q390" s="15">
        <v>1</v>
      </c>
      <c r="R390" s="15" t="s">
        <v>48</v>
      </c>
      <c r="S390" s="15" t="s">
        <v>115</v>
      </c>
      <c r="T390" s="15" t="s">
        <v>50</v>
      </c>
      <c r="U390" s="18" t="s">
        <v>1707</v>
      </c>
      <c r="V390" s="15" t="s">
        <v>69</v>
      </c>
      <c r="W390" s="15">
        <f t="shared" ca="1" si="12"/>
        <v>50</v>
      </c>
      <c r="X390" s="15">
        <f t="shared" si="13"/>
        <v>3</v>
      </c>
      <c r="Y390" s="15" t="str" cm="1">
        <f t="array" ref="Y390">_xlfn.IFS(ISERROR(X390), "Pending", X390&lt;=5, "On Time", X390&gt;5, "Delayed")</f>
        <v>On Time</v>
      </c>
    </row>
    <row r="391" spans="1:25" x14ac:dyDescent="0.3">
      <c r="A391" s="19" t="s">
        <v>1708</v>
      </c>
      <c r="B391" s="19" t="s">
        <v>100</v>
      </c>
      <c r="C391" s="19" t="s">
        <v>222</v>
      </c>
      <c r="D391" s="20">
        <v>45716</v>
      </c>
      <c r="E391" s="20">
        <v>45718</v>
      </c>
      <c r="F391" s="19" t="s">
        <v>103</v>
      </c>
      <c r="G391" s="19" t="s">
        <v>28</v>
      </c>
      <c r="H391" s="20">
        <v>31718</v>
      </c>
      <c r="I391" s="19" t="s">
        <v>114</v>
      </c>
      <c r="J391" s="19" t="s">
        <v>106</v>
      </c>
      <c r="K391" s="19" t="s">
        <v>122</v>
      </c>
      <c r="L391" s="19" t="s">
        <v>227</v>
      </c>
      <c r="M391" s="19">
        <v>19</v>
      </c>
      <c r="N391" s="19">
        <v>20</v>
      </c>
      <c r="O391" s="19">
        <v>5</v>
      </c>
      <c r="P391" s="19">
        <v>361</v>
      </c>
      <c r="Q391" s="19">
        <v>4</v>
      </c>
      <c r="R391" s="19" t="s">
        <v>88</v>
      </c>
      <c r="S391" s="19" t="s">
        <v>35</v>
      </c>
      <c r="T391" s="19" t="s">
        <v>144</v>
      </c>
      <c r="U391" s="21" t="s">
        <v>1710</v>
      </c>
      <c r="V391" s="19" t="s">
        <v>64</v>
      </c>
      <c r="W391" s="19">
        <f t="shared" ca="1" si="12"/>
        <v>39</v>
      </c>
      <c r="X391" s="19">
        <f t="shared" si="13"/>
        <v>2</v>
      </c>
      <c r="Y391" s="19" t="str" cm="1">
        <f t="array" ref="Y391">_xlfn.IFS(ISERROR(X391), "Pending", X391&lt;=5, "On Time", X391&gt;5, "Delayed")</f>
        <v>On Time</v>
      </c>
    </row>
    <row r="392" spans="1:25" x14ac:dyDescent="0.3">
      <c r="A392" s="15" t="s">
        <v>1711</v>
      </c>
      <c r="B392" s="15" t="s">
        <v>100</v>
      </c>
      <c r="C392" s="15" t="s">
        <v>72</v>
      </c>
      <c r="D392" s="16">
        <v>45828</v>
      </c>
      <c r="E392" s="16">
        <v>45829</v>
      </c>
      <c r="F392" s="15" t="s">
        <v>103</v>
      </c>
      <c r="G392" s="15" t="s">
        <v>28</v>
      </c>
      <c r="H392" s="16">
        <v>28570</v>
      </c>
      <c r="I392" s="15" t="s">
        <v>114</v>
      </c>
      <c r="J392" s="15" t="s">
        <v>106</v>
      </c>
      <c r="K392" s="15" t="s">
        <v>46</v>
      </c>
      <c r="L392" s="15" t="s">
        <v>78</v>
      </c>
      <c r="M392" s="15">
        <v>20</v>
      </c>
      <c r="N392" s="15">
        <v>1200</v>
      </c>
      <c r="O392" s="15">
        <v>15</v>
      </c>
      <c r="P392" s="15">
        <v>20400</v>
      </c>
      <c r="Q392" s="15">
        <v>4</v>
      </c>
      <c r="R392" s="15" t="s">
        <v>79</v>
      </c>
      <c r="S392" s="15" t="s">
        <v>35</v>
      </c>
      <c r="T392" s="15" t="s">
        <v>144</v>
      </c>
      <c r="U392" s="18" t="s">
        <v>1715</v>
      </c>
      <c r="V392" s="15" t="s">
        <v>64</v>
      </c>
      <c r="W392" s="15">
        <f t="shared" ca="1" si="12"/>
        <v>48</v>
      </c>
      <c r="X392" s="15">
        <f t="shared" si="13"/>
        <v>1</v>
      </c>
      <c r="Y392" s="15" t="str" cm="1">
        <f t="array" ref="Y392">_xlfn.IFS(ISERROR(X392), "Pending", X392&lt;=5, "On Time", X392&gt;5, "Delayed")</f>
        <v>On Time</v>
      </c>
    </row>
    <row r="393" spans="1:25" x14ac:dyDescent="0.3">
      <c r="A393" s="19" t="s">
        <v>1716</v>
      </c>
      <c r="B393" s="19" t="s">
        <v>53</v>
      </c>
      <c r="C393" s="19" t="s">
        <v>222</v>
      </c>
      <c r="D393" s="20">
        <v>45805</v>
      </c>
      <c r="E393" s="20">
        <v>45814</v>
      </c>
      <c r="F393" s="19" t="s">
        <v>163</v>
      </c>
      <c r="G393" s="19" t="s">
        <v>28</v>
      </c>
      <c r="H393" s="20">
        <v>35406</v>
      </c>
      <c r="I393" s="19" t="s">
        <v>30</v>
      </c>
      <c r="J393" s="19" t="s">
        <v>31</v>
      </c>
      <c r="K393" s="19" t="s">
        <v>122</v>
      </c>
      <c r="L393" s="19" t="s">
        <v>227</v>
      </c>
      <c r="M393" s="19">
        <v>13</v>
      </c>
      <c r="N393" s="19">
        <v>20</v>
      </c>
      <c r="O393" s="19">
        <v>15</v>
      </c>
      <c r="P393" s="19">
        <v>221</v>
      </c>
      <c r="Q393" s="19">
        <v>4</v>
      </c>
      <c r="R393" s="19" t="s">
        <v>34</v>
      </c>
      <c r="S393" s="19" t="s">
        <v>35</v>
      </c>
      <c r="T393" s="19" t="s">
        <v>62</v>
      </c>
      <c r="U393" s="21" t="s">
        <v>1720</v>
      </c>
      <c r="V393" s="19" t="s">
        <v>64</v>
      </c>
      <c r="W393" s="19">
        <f t="shared" ca="1" si="12"/>
        <v>29</v>
      </c>
      <c r="X393" s="19">
        <f t="shared" si="13"/>
        <v>9</v>
      </c>
      <c r="Y393" s="19" t="str" cm="1">
        <f t="array" ref="Y393">_xlfn.IFS(ISERROR(X393), "Pending", X393&lt;=5, "On Time", X393&gt;5, "Delayed")</f>
        <v>Delayed</v>
      </c>
    </row>
    <row r="394" spans="1:25" x14ac:dyDescent="0.3">
      <c r="A394" s="15" t="s">
        <v>1721</v>
      </c>
      <c r="B394" s="15" t="s">
        <v>251</v>
      </c>
      <c r="C394" s="15" t="s">
        <v>72</v>
      </c>
      <c r="D394" s="16">
        <v>45660</v>
      </c>
      <c r="E394" s="16">
        <v>45665</v>
      </c>
      <c r="F394" s="15" t="s">
        <v>254</v>
      </c>
      <c r="G394" s="15" t="s">
        <v>28</v>
      </c>
      <c r="H394" s="16">
        <v>33646</v>
      </c>
      <c r="I394" s="15" t="s">
        <v>44</v>
      </c>
      <c r="J394" s="15" t="s">
        <v>45</v>
      </c>
      <c r="K394" s="15" t="s">
        <v>46</v>
      </c>
      <c r="L394" s="15" t="s">
        <v>78</v>
      </c>
      <c r="M394" s="15">
        <v>12</v>
      </c>
      <c r="N394" s="15">
        <v>1200</v>
      </c>
      <c r="O394" s="15">
        <v>10</v>
      </c>
      <c r="P394" s="15">
        <v>12960</v>
      </c>
      <c r="Q394" s="15">
        <v>3</v>
      </c>
      <c r="R394" s="15" t="s">
        <v>48</v>
      </c>
      <c r="S394" s="15" t="s">
        <v>35</v>
      </c>
      <c r="T394" s="15" t="s">
        <v>256</v>
      </c>
      <c r="U394" s="18" t="s">
        <v>1723</v>
      </c>
      <c r="V394" s="15" t="s">
        <v>64</v>
      </c>
      <c r="W394" s="15">
        <f t="shared" ca="1" si="12"/>
        <v>34</v>
      </c>
      <c r="X394" s="15">
        <f t="shared" si="13"/>
        <v>5</v>
      </c>
      <c r="Y394" s="15" t="str" cm="1">
        <f t="array" ref="Y394">_xlfn.IFS(ISERROR(X394), "Pending", X394&lt;=5, "On Time", X394&gt;5, "Delayed")</f>
        <v>On Time</v>
      </c>
    </row>
    <row r="395" spans="1:25" x14ac:dyDescent="0.3">
      <c r="A395" s="19" t="s">
        <v>1724</v>
      </c>
      <c r="B395" s="19" t="s">
        <v>100</v>
      </c>
      <c r="C395" s="19" t="s">
        <v>169</v>
      </c>
      <c r="D395" s="20">
        <v>45685</v>
      </c>
      <c r="E395" s="20">
        <v>45686</v>
      </c>
      <c r="F395" s="19" t="s">
        <v>103</v>
      </c>
      <c r="G395" s="19" t="s">
        <v>28</v>
      </c>
      <c r="H395" s="20">
        <v>35147</v>
      </c>
      <c r="I395" s="19" t="s">
        <v>294</v>
      </c>
      <c r="J395" s="19" t="s">
        <v>295</v>
      </c>
      <c r="K395" s="19" t="s">
        <v>32</v>
      </c>
      <c r="L395" s="19" t="s">
        <v>174</v>
      </c>
      <c r="M395" s="19">
        <v>6</v>
      </c>
      <c r="N395" s="19">
        <v>8500</v>
      </c>
      <c r="O395" s="19">
        <v>5</v>
      </c>
      <c r="P395" s="19">
        <v>48450</v>
      </c>
      <c r="Q395" s="19">
        <v>5</v>
      </c>
      <c r="R395" s="19" t="s">
        <v>34</v>
      </c>
      <c r="S395" s="19" t="s">
        <v>115</v>
      </c>
      <c r="T395" s="19" t="s">
        <v>144</v>
      </c>
      <c r="U395" s="21" t="s">
        <v>1726</v>
      </c>
      <c r="V395" s="19" t="s">
        <v>69</v>
      </c>
      <c r="W395" s="19">
        <f t="shared" ca="1" si="12"/>
        <v>30</v>
      </c>
      <c r="X395" s="19">
        <f t="shared" si="13"/>
        <v>1</v>
      </c>
      <c r="Y395" s="19" t="str" cm="1">
        <f t="array" ref="Y395">_xlfn.IFS(ISERROR(X395), "Pending", X395&lt;=5, "On Time", X395&gt;5, "Delayed")</f>
        <v>On Time</v>
      </c>
    </row>
    <row r="396" spans="1:25" x14ac:dyDescent="0.3">
      <c r="A396" s="15" t="s">
        <v>1727</v>
      </c>
      <c r="B396" s="15" t="s">
        <v>23</v>
      </c>
      <c r="C396" s="15" t="s">
        <v>169</v>
      </c>
      <c r="D396" s="16">
        <v>46071</v>
      </c>
      <c r="E396" s="16">
        <v>46079</v>
      </c>
      <c r="F396" s="15" t="s">
        <v>27</v>
      </c>
      <c r="G396" s="15" t="s">
        <v>28</v>
      </c>
      <c r="H396" s="16">
        <v>34508</v>
      </c>
      <c r="I396" s="15" t="s">
        <v>138</v>
      </c>
      <c r="J396" s="15" t="s">
        <v>106</v>
      </c>
      <c r="K396" s="15" t="s">
        <v>32</v>
      </c>
      <c r="L396" s="15" t="s">
        <v>174</v>
      </c>
      <c r="M396" s="15">
        <v>15</v>
      </c>
      <c r="N396" s="15">
        <v>8500</v>
      </c>
      <c r="O396" s="15">
        <v>10</v>
      </c>
      <c r="P396" s="15">
        <v>114750</v>
      </c>
      <c r="Q396" s="15">
        <v>1</v>
      </c>
      <c r="R396" s="15" t="s">
        <v>34</v>
      </c>
      <c r="S396" s="15" t="s">
        <v>115</v>
      </c>
      <c r="T396" s="15" t="s">
        <v>50</v>
      </c>
      <c r="U396" s="18" t="s">
        <v>1730</v>
      </c>
      <c r="V396" s="15" t="s">
        <v>38</v>
      </c>
      <c r="W396" s="15">
        <f t="shared" ca="1" si="12"/>
        <v>32</v>
      </c>
      <c r="X396" s="15">
        <f t="shared" si="13"/>
        <v>8</v>
      </c>
      <c r="Y396" s="15" t="str" cm="1">
        <f t="array" ref="Y396">_xlfn.IFS(ISERROR(X396), "Pending", X396&lt;=5, "On Time", X396&gt;5, "Delayed")</f>
        <v>Delayed</v>
      </c>
    </row>
    <row r="397" spans="1:25" x14ac:dyDescent="0.3">
      <c r="A397" s="19" t="s">
        <v>1731</v>
      </c>
      <c r="B397" s="19" t="s">
        <v>127</v>
      </c>
      <c r="C397" s="19" t="s">
        <v>40</v>
      </c>
      <c r="D397" s="20">
        <v>45872</v>
      </c>
      <c r="E397" s="20">
        <v>45884</v>
      </c>
      <c r="F397" s="19" t="s">
        <v>200</v>
      </c>
      <c r="G397" s="19" t="s">
        <v>76</v>
      </c>
      <c r="H397" s="20">
        <v>29253</v>
      </c>
      <c r="I397" s="19" t="s">
        <v>30</v>
      </c>
      <c r="J397" s="19" t="s">
        <v>31</v>
      </c>
      <c r="K397" s="19" t="s">
        <v>46</v>
      </c>
      <c r="L397" s="19" t="s">
        <v>47</v>
      </c>
      <c r="M397" s="19">
        <v>19</v>
      </c>
      <c r="N397" s="19">
        <v>12000</v>
      </c>
      <c r="O397" s="19">
        <v>20</v>
      </c>
      <c r="P397" s="19">
        <v>182400</v>
      </c>
      <c r="Q397" s="19">
        <v>5</v>
      </c>
      <c r="R397" s="19" t="s">
        <v>34</v>
      </c>
      <c r="S397" s="19" t="s">
        <v>115</v>
      </c>
      <c r="T397" s="19" t="s">
        <v>132</v>
      </c>
      <c r="U397" s="21" t="s">
        <v>1735</v>
      </c>
      <c r="V397" s="19" t="s">
        <v>38</v>
      </c>
      <c r="W397" s="19">
        <f t="shared" ca="1" si="12"/>
        <v>46</v>
      </c>
      <c r="X397" s="19">
        <f t="shared" si="13"/>
        <v>12</v>
      </c>
      <c r="Y397" s="19" t="str" cm="1">
        <f t="array" ref="Y397">_xlfn.IFS(ISERROR(X397), "Pending", X397&lt;=5, "On Time", X397&gt;5, "Delayed")</f>
        <v>Delayed</v>
      </c>
    </row>
    <row r="398" spans="1:25" x14ac:dyDescent="0.3">
      <c r="A398" s="15" t="s">
        <v>1736</v>
      </c>
      <c r="B398" s="15" t="s">
        <v>83</v>
      </c>
      <c r="C398" s="15" t="s">
        <v>184</v>
      </c>
      <c r="D398" s="16">
        <v>45672</v>
      </c>
      <c r="E398" s="16">
        <v>45675</v>
      </c>
      <c r="F398" s="15" t="s">
        <v>180</v>
      </c>
      <c r="G398" s="15" t="s">
        <v>76</v>
      </c>
      <c r="H398" s="16">
        <v>33109</v>
      </c>
      <c r="I398" s="15" t="s">
        <v>44</v>
      </c>
      <c r="J398" s="15" t="s">
        <v>45</v>
      </c>
      <c r="K398" s="15" t="s">
        <v>46</v>
      </c>
      <c r="L398" s="15" t="s">
        <v>189</v>
      </c>
      <c r="M398" s="15">
        <v>5</v>
      </c>
      <c r="N398" s="15">
        <v>700</v>
      </c>
      <c r="O398" s="15">
        <v>0</v>
      </c>
      <c r="P398" s="15">
        <v>3500</v>
      </c>
      <c r="Q398" s="15">
        <v>2</v>
      </c>
      <c r="R398" s="15" t="s">
        <v>79</v>
      </c>
      <c r="S398" s="15" t="s">
        <v>61</v>
      </c>
      <c r="T398" s="15" t="s">
        <v>89</v>
      </c>
      <c r="U398" s="18" t="s">
        <v>1739</v>
      </c>
      <c r="V398" s="15" t="s">
        <v>69</v>
      </c>
      <c r="W398" s="15">
        <f t="shared" ca="1" si="12"/>
        <v>36</v>
      </c>
      <c r="X398" s="15">
        <f t="shared" si="13"/>
        <v>3</v>
      </c>
      <c r="Y398" s="15" t="str" cm="1">
        <f t="array" ref="Y398">_xlfn.IFS(ISERROR(X398), "Pending", X398&lt;=5, "On Time", X398&gt;5, "Delayed")</f>
        <v>On Time</v>
      </c>
    </row>
    <row r="399" spans="1:25" x14ac:dyDescent="0.3">
      <c r="A399" s="19" t="s">
        <v>1740</v>
      </c>
      <c r="B399" s="19" t="s">
        <v>83</v>
      </c>
      <c r="C399" s="19" t="s">
        <v>40</v>
      </c>
      <c r="D399" s="20">
        <v>45688</v>
      </c>
      <c r="E399" s="20">
        <v>45692</v>
      </c>
      <c r="F399" s="19" t="s">
        <v>180</v>
      </c>
      <c r="G399" s="19" t="s">
        <v>76</v>
      </c>
      <c r="H399" s="20">
        <v>28775</v>
      </c>
      <c r="I399" s="19" t="s">
        <v>294</v>
      </c>
      <c r="J399" s="19" t="s">
        <v>295</v>
      </c>
      <c r="K399" s="19" t="s">
        <v>46</v>
      </c>
      <c r="L399" s="19" t="s">
        <v>47</v>
      </c>
      <c r="M399" s="19">
        <v>19</v>
      </c>
      <c r="N399" s="19">
        <v>12000</v>
      </c>
      <c r="O399" s="19">
        <v>0</v>
      </c>
      <c r="P399" s="19">
        <v>228000</v>
      </c>
      <c r="Q399" s="19">
        <v>4</v>
      </c>
      <c r="R399" s="19" t="s">
        <v>88</v>
      </c>
      <c r="S399" s="19" t="s">
        <v>61</v>
      </c>
      <c r="T399" s="19" t="s">
        <v>89</v>
      </c>
      <c r="U399" s="21" t="s">
        <v>1742</v>
      </c>
      <c r="V399" s="19" t="s">
        <v>64</v>
      </c>
      <c r="W399" s="19">
        <f t="shared" ca="1" si="12"/>
        <v>47</v>
      </c>
      <c r="X399" s="19">
        <f t="shared" si="13"/>
        <v>4</v>
      </c>
      <c r="Y399" s="19" t="str" cm="1">
        <f t="array" ref="Y399">_xlfn.IFS(ISERROR(X399), "Pending", X399&lt;=5, "On Time", X399&gt;5, "Delayed")</f>
        <v>On Time</v>
      </c>
    </row>
    <row r="400" spans="1:25" x14ac:dyDescent="0.3">
      <c r="A400" s="15" t="s">
        <v>1743</v>
      </c>
      <c r="B400" s="15" t="s">
        <v>327</v>
      </c>
      <c r="C400" s="15" t="s">
        <v>184</v>
      </c>
      <c r="D400" s="15"/>
      <c r="E400" s="16">
        <v>45964</v>
      </c>
      <c r="F400" s="15" t="s">
        <v>394</v>
      </c>
      <c r="G400" s="15" t="s">
        <v>76</v>
      </c>
      <c r="H400" s="16">
        <v>28864</v>
      </c>
      <c r="I400" s="15" t="s">
        <v>59</v>
      </c>
      <c r="J400" s="15" t="s">
        <v>31</v>
      </c>
      <c r="K400" s="15" t="s">
        <v>46</v>
      </c>
      <c r="L400" s="15" t="s">
        <v>189</v>
      </c>
      <c r="M400" s="15">
        <v>12</v>
      </c>
      <c r="N400" s="15">
        <v>700</v>
      </c>
      <c r="O400" s="15">
        <v>15</v>
      </c>
      <c r="P400" s="15">
        <v>7140</v>
      </c>
      <c r="Q400" s="15">
        <v>3</v>
      </c>
      <c r="R400" s="15" t="s">
        <v>79</v>
      </c>
      <c r="S400" s="15" t="s">
        <v>35</v>
      </c>
      <c r="T400" s="15" t="s">
        <v>332</v>
      </c>
      <c r="U400" s="18" t="s">
        <v>1745</v>
      </c>
      <c r="V400" s="15" t="s">
        <v>38</v>
      </c>
      <c r="W400" s="15">
        <f t="shared" ca="1" si="12"/>
        <v>47</v>
      </c>
      <c r="X400" s="15">
        <f t="shared" si="13"/>
        <v>45964</v>
      </c>
      <c r="Y400" s="15" t="str" cm="1">
        <f t="array" ref="Y400">_xlfn.IFS(ISERROR(X400), "Pending", X400&lt;=5, "On Time", X400&gt;5, "Delayed")</f>
        <v>Delayed</v>
      </c>
    </row>
    <row r="401" spans="1:25" x14ac:dyDescent="0.3">
      <c r="A401" s="19" t="s">
        <v>1746</v>
      </c>
      <c r="B401" s="19" t="s">
        <v>23</v>
      </c>
      <c r="C401" s="19" t="s">
        <v>72</v>
      </c>
      <c r="D401" s="20">
        <v>45790</v>
      </c>
      <c r="E401" s="20">
        <v>45798</v>
      </c>
      <c r="F401" s="19" t="s">
        <v>27</v>
      </c>
      <c r="G401" s="19" t="s">
        <v>28</v>
      </c>
      <c r="H401" s="20">
        <v>37107</v>
      </c>
      <c r="I401" s="19" t="s">
        <v>44</v>
      </c>
      <c r="J401" s="19" t="s">
        <v>45</v>
      </c>
      <c r="K401" s="19" t="s">
        <v>46</v>
      </c>
      <c r="L401" s="19" t="s">
        <v>78</v>
      </c>
      <c r="M401" s="19">
        <v>16</v>
      </c>
      <c r="N401" s="19">
        <v>1200</v>
      </c>
      <c r="O401" s="19">
        <v>20</v>
      </c>
      <c r="P401" s="19">
        <v>15360</v>
      </c>
      <c r="Q401" s="19">
        <v>1</v>
      </c>
      <c r="R401" s="19" t="s">
        <v>34</v>
      </c>
      <c r="S401" s="19" t="s">
        <v>49</v>
      </c>
      <c r="T401" s="19" t="s">
        <v>50</v>
      </c>
      <c r="U401" s="21" t="s">
        <v>1749</v>
      </c>
      <c r="V401" s="19" t="s">
        <v>64</v>
      </c>
      <c r="W401" s="19">
        <f t="shared" ca="1" si="12"/>
        <v>25</v>
      </c>
      <c r="X401" s="19">
        <f t="shared" si="13"/>
        <v>8</v>
      </c>
      <c r="Y401" s="19" t="str" cm="1">
        <f t="array" ref="Y401">_xlfn.IFS(ISERROR(X401), "Pending", X401&lt;=5, "On Time", X401&gt;5, "Delayed")</f>
        <v>Delayed</v>
      </c>
    </row>
    <row r="402" spans="1:25" x14ac:dyDescent="0.3">
      <c r="A402" s="15" t="s">
        <v>1750</v>
      </c>
      <c r="B402" s="15" t="s">
        <v>71</v>
      </c>
      <c r="C402" s="15" t="s">
        <v>169</v>
      </c>
      <c r="D402" s="16">
        <v>46018</v>
      </c>
      <c r="E402" s="16">
        <v>46026</v>
      </c>
      <c r="F402" s="15" t="s">
        <v>217</v>
      </c>
      <c r="G402" s="15" t="s">
        <v>76</v>
      </c>
      <c r="H402" s="16">
        <v>30317</v>
      </c>
      <c r="I402" s="15" t="s">
        <v>30</v>
      </c>
      <c r="J402" s="15" t="s">
        <v>31</v>
      </c>
      <c r="K402" s="15" t="s">
        <v>32</v>
      </c>
      <c r="L402" s="15" t="s">
        <v>174</v>
      </c>
      <c r="M402" s="15">
        <v>10</v>
      </c>
      <c r="N402" s="15">
        <v>8500</v>
      </c>
      <c r="O402" s="15">
        <v>5</v>
      </c>
      <c r="P402" s="15">
        <v>80750</v>
      </c>
      <c r="Q402" s="15">
        <v>5</v>
      </c>
      <c r="R402" s="15" t="s">
        <v>48</v>
      </c>
      <c r="S402" s="15" t="s">
        <v>35</v>
      </c>
      <c r="T402" s="15" t="s">
        <v>80</v>
      </c>
      <c r="U402" s="18" t="s">
        <v>1752</v>
      </c>
      <c r="V402" s="15" t="s">
        <v>38</v>
      </c>
      <c r="W402" s="15">
        <f t="shared" ca="1" si="12"/>
        <v>43</v>
      </c>
      <c r="X402" s="15">
        <f t="shared" si="13"/>
        <v>8</v>
      </c>
      <c r="Y402" s="15" t="str" cm="1">
        <f t="array" ref="Y402">_xlfn.IFS(ISERROR(X402), "Pending", X402&lt;=5, "On Time", X402&gt;5, "Delayed")</f>
        <v>Delayed</v>
      </c>
    </row>
    <row r="403" spans="1:25" x14ac:dyDescent="0.3">
      <c r="A403" s="19" t="s">
        <v>1753</v>
      </c>
      <c r="B403" s="19" t="s">
        <v>23</v>
      </c>
      <c r="C403" s="19" t="s">
        <v>222</v>
      </c>
      <c r="D403" s="20">
        <v>45699</v>
      </c>
      <c r="E403" s="20">
        <v>45709</v>
      </c>
      <c r="F403" s="19" t="s">
        <v>27</v>
      </c>
      <c r="G403" s="19" t="s">
        <v>28</v>
      </c>
      <c r="H403" s="20">
        <v>32759</v>
      </c>
      <c r="I403" s="19" t="s">
        <v>138</v>
      </c>
      <c r="J403" s="19" t="s">
        <v>106</v>
      </c>
      <c r="K403" s="19" t="s">
        <v>122</v>
      </c>
      <c r="L403" s="19" t="s">
        <v>227</v>
      </c>
      <c r="M403" s="19">
        <v>18</v>
      </c>
      <c r="N403" s="19">
        <v>20</v>
      </c>
      <c r="O403" s="19">
        <v>20</v>
      </c>
      <c r="P403" s="19">
        <v>288</v>
      </c>
      <c r="Q403" s="19">
        <v>1</v>
      </c>
      <c r="R403" s="19" t="s">
        <v>88</v>
      </c>
      <c r="S403" s="19" t="s">
        <v>35</v>
      </c>
      <c r="T403" s="19" t="s">
        <v>50</v>
      </c>
      <c r="U403" s="21" t="s">
        <v>1755</v>
      </c>
      <c r="V403" s="19" t="s">
        <v>64</v>
      </c>
      <c r="W403" s="19">
        <f t="shared" ca="1" si="12"/>
        <v>36</v>
      </c>
      <c r="X403" s="19">
        <f t="shared" si="13"/>
        <v>10</v>
      </c>
      <c r="Y403" s="19" t="str" cm="1">
        <f t="array" ref="Y403">_xlfn.IFS(ISERROR(X403), "Pending", X403&lt;=5, "On Time", X403&gt;5, "Delayed")</f>
        <v>Delayed</v>
      </c>
    </row>
    <row r="404" spans="1:25" x14ac:dyDescent="0.3">
      <c r="A404" s="15" t="s">
        <v>1756</v>
      </c>
      <c r="B404" s="15" t="s">
        <v>71</v>
      </c>
      <c r="C404" s="15" t="s">
        <v>169</v>
      </c>
      <c r="D404" s="16">
        <v>46094</v>
      </c>
      <c r="E404" s="16">
        <v>46100</v>
      </c>
      <c r="F404" s="15" t="s">
        <v>217</v>
      </c>
      <c r="G404" s="15" t="s">
        <v>76</v>
      </c>
      <c r="H404" s="16">
        <v>34264</v>
      </c>
      <c r="I404" s="15" t="s">
        <v>105</v>
      </c>
      <c r="J404" s="15" t="s">
        <v>106</v>
      </c>
      <c r="K404" s="15" t="s">
        <v>32</v>
      </c>
      <c r="L404" s="15" t="s">
        <v>174</v>
      </c>
      <c r="M404" s="15">
        <v>9</v>
      </c>
      <c r="N404" s="15">
        <v>8500</v>
      </c>
      <c r="O404" s="15">
        <v>0</v>
      </c>
      <c r="P404" s="15">
        <v>76500</v>
      </c>
      <c r="Q404" s="15">
        <v>2</v>
      </c>
      <c r="R404" s="15" t="s">
        <v>79</v>
      </c>
      <c r="S404" s="15" t="s">
        <v>35</v>
      </c>
      <c r="T404" s="15" t="s">
        <v>80</v>
      </c>
      <c r="U404" s="18" t="s">
        <v>1758</v>
      </c>
      <c r="V404" s="15" t="s">
        <v>64</v>
      </c>
      <c r="W404" s="15">
        <f t="shared" ca="1" si="12"/>
        <v>32</v>
      </c>
      <c r="X404" s="15">
        <f t="shared" si="13"/>
        <v>6</v>
      </c>
      <c r="Y404" s="15" t="str" cm="1">
        <f t="array" ref="Y404">_xlfn.IFS(ISERROR(X404), "Pending", X404&lt;=5, "On Time", X404&gt;5, "Delayed")</f>
        <v>Delayed</v>
      </c>
    </row>
    <row r="405" spans="1:25" x14ac:dyDescent="0.3">
      <c r="A405" s="19" t="s">
        <v>1759</v>
      </c>
      <c r="B405" s="19" t="s">
        <v>23</v>
      </c>
      <c r="C405" s="19" t="s">
        <v>169</v>
      </c>
      <c r="D405" s="20">
        <v>45931</v>
      </c>
      <c r="E405" s="20">
        <v>45942</v>
      </c>
      <c r="F405" s="19" t="s">
        <v>27</v>
      </c>
      <c r="G405" s="19" t="s">
        <v>28</v>
      </c>
      <c r="H405" s="20">
        <v>36651</v>
      </c>
      <c r="I405" s="19" t="s">
        <v>105</v>
      </c>
      <c r="J405" s="19" t="s">
        <v>106</v>
      </c>
      <c r="K405" s="19" t="s">
        <v>32</v>
      </c>
      <c r="L405" s="19" t="s">
        <v>174</v>
      </c>
      <c r="M405" s="19">
        <v>8</v>
      </c>
      <c r="N405" s="19">
        <v>8500</v>
      </c>
      <c r="O405" s="19">
        <v>10</v>
      </c>
      <c r="P405" s="19">
        <v>61200</v>
      </c>
      <c r="Q405" s="19">
        <v>4</v>
      </c>
      <c r="R405" s="19" t="s">
        <v>34</v>
      </c>
      <c r="S405" s="19" t="s">
        <v>115</v>
      </c>
      <c r="T405" s="19" t="s">
        <v>50</v>
      </c>
      <c r="U405" s="21" t="s">
        <v>1762</v>
      </c>
      <c r="V405" s="19" t="s">
        <v>69</v>
      </c>
      <c r="W405" s="19">
        <f t="shared" ca="1" si="12"/>
        <v>26</v>
      </c>
      <c r="X405" s="19">
        <f t="shared" si="13"/>
        <v>11</v>
      </c>
      <c r="Y405" s="19" t="str" cm="1">
        <f t="array" ref="Y405">_xlfn.IFS(ISERROR(X405), "Pending", X405&lt;=5, "On Time", X405&gt;5, "Delayed")</f>
        <v>Delayed</v>
      </c>
    </row>
    <row r="406" spans="1:25" x14ac:dyDescent="0.3">
      <c r="A406" s="15" t="s">
        <v>1763</v>
      </c>
      <c r="B406" s="15" t="s">
        <v>53</v>
      </c>
      <c r="C406" s="15" t="s">
        <v>222</v>
      </c>
      <c r="D406" s="16">
        <v>46048</v>
      </c>
      <c r="E406" s="16">
        <v>46054</v>
      </c>
      <c r="F406" s="15" t="s">
        <v>163</v>
      </c>
      <c r="G406" s="15" t="s">
        <v>28</v>
      </c>
      <c r="H406" s="16">
        <v>30730</v>
      </c>
      <c r="I406" s="15" t="s">
        <v>114</v>
      </c>
      <c r="J406" s="15" t="s">
        <v>106</v>
      </c>
      <c r="K406" s="15" t="s">
        <v>122</v>
      </c>
      <c r="L406" s="15" t="s">
        <v>227</v>
      </c>
      <c r="M406" s="15">
        <v>3</v>
      </c>
      <c r="N406" s="15">
        <v>20</v>
      </c>
      <c r="O406" s="15">
        <v>10</v>
      </c>
      <c r="P406" s="15">
        <v>54</v>
      </c>
      <c r="Q406" s="15">
        <v>3</v>
      </c>
      <c r="R406" s="15" t="s">
        <v>79</v>
      </c>
      <c r="S406" s="15" t="s">
        <v>151</v>
      </c>
      <c r="T406" s="15" t="s">
        <v>62</v>
      </c>
      <c r="U406" s="18" t="s">
        <v>1766</v>
      </c>
      <c r="V406" s="15" t="s">
        <v>64</v>
      </c>
      <c r="W406" s="15">
        <f t="shared" ca="1" si="12"/>
        <v>42</v>
      </c>
      <c r="X406" s="15">
        <f t="shared" si="13"/>
        <v>6</v>
      </c>
      <c r="Y406" s="15" t="str" cm="1">
        <f t="array" ref="Y406">_xlfn.IFS(ISERROR(X406), "Pending", X406&lt;=5, "On Time", X406&gt;5, "Delayed")</f>
        <v>Delayed</v>
      </c>
    </row>
    <row r="407" spans="1:25" x14ac:dyDescent="0.3">
      <c r="A407" s="19" t="s">
        <v>1767</v>
      </c>
      <c r="B407" s="19" t="s">
        <v>168</v>
      </c>
      <c r="C407" s="19" t="s">
        <v>169</v>
      </c>
      <c r="D407" s="20">
        <v>45840</v>
      </c>
      <c r="E407" s="20">
        <v>45850</v>
      </c>
      <c r="F407" s="19" t="s">
        <v>361</v>
      </c>
      <c r="G407" s="19" t="s">
        <v>28</v>
      </c>
      <c r="H407" s="20">
        <v>33402</v>
      </c>
      <c r="I407" s="19" t="s">
        <v>294</v>
      </c>
      <c r="J407" s="19" t="s">
        <v>295</v>
      </c>
      <c r="K407" s="19" t="s">
        <v>32</v>
      </c>
      <c r="L407" s="19" t="s">
        <v>174</v>
      </c>
      <c r="M407" s="19">
        <v>18</v>
      </c>
      <c r="N407" s="19">
        <v>8500</v>
      </c>
      <c r="O407" s="19">
        <v>10</v>
      </c>
      <c r="P407" s="19">
        <v>137700</v>
      </c>
      <c r="Q407" s="19">
        <v>4</v>
      </c>
      <c r="R407" s="19" t="s">
        <v>34</v>
      </c>
      <c r="S407" s="19" t="s">
        <v>49</v>
      </c>
      <c r="T407" s="19" t="s">
        <v>175</v>
      </c>
      <c r="U407" s="21" t="s">
        <v>1769</v>
      </c>
      <c r="V407" s="19" t="s">
        <v>69</v>
      </c>
      <c r="W407" s="19">
        <f t="shared" ca="1" si="12"/>
        <v>35</v>
      </c>
      <c r="X407" s="19">
        <f t="shared" si="13"/>
        <v>10</v>
      </c>
      <c r="Y407" s="19" t="str" cm="1">
        <f t="array" ref="Y407">_xlfn.IFS(ISERROR(X407), "Pending", X407&lt;=5, "On Time", X407&gt;5, "Delayed")</f>
        <v>Delayed</v>
      </c>
    </row>
    <row r="408" spans="1:25" x14ac:dyDescent="0.3">
      <c r="A408" s="15" t="s">
        <v>1770</v>
      </c>
      <c r="B408" s="15" t="s">
        <v>53</v>
      </c>
      <c r="C408" s="15" t="s">
        <v>259</v>
      </c>
      <c r="D408" s="16">
        <v>45935</v>
      </c>
      <c r="E408" s="16">
        <v>45939</v>
      </c>
      <c r="F408" s="15" t="s">
        <v>163</v>
      </c>
      <c r="G408" s="15" t="s">
        <v>28</v>
      </c>
      <c r="H408" s="16">
        <v>35204</v>
      </c>
      <c r="I408" s="15" t="s">
        <v>114</v>
      </c>
      <c r="J408" s="15" t="s">
        <v>106</v>
      </c>
      <c r="K408" s="15" t="s">
        <v>122</v>
      </c>
      <c r="L408" s="15" t="s">
        <v>263</v>
      </c>
      <c r="M408" s="15">
        <v>5</v>
      </c>
      <c r="N408" s="15">
        <v>45</v>
      </c>
      <c r="O408" s="15">
        <v>10</v>
      </c>
      <c r="P408" s="15">
        <v>202.5</v>
      </c>
      <c r="Q408" s="15">
        <v>3</v>
      </c>
      <c r="R408" s="15" t="s">
        <v>34</v>
      </c>
      <c r="S408" s="15" t="s">
        <v>115</v>
      </c>
      <c r="T408" s="15" t="s">
        <v>62</v>
      </c>
      <c r="U408" s="18" t="s">
        <v>1772</v>
      </c>
      <c r="V408" s="15" t="s">
        <v>64</v>
      </c>
      <c r="W408" s="15">
        <f t="shared" ca="1" si="12"/>
        <v>30</v>
      </c>
      <c r="X408" s="15">
        <f t="shared" si="13"/>
        <v>4</v>
      </c>
      <c r="Y408" s="15" t="str" cm="1">
        <f t="array" ref="Y408">_xlfn.IFS(ISERROR(X408), "Pending", X408&lt;=5, "On Time", X408&gt;5, "Delayed")</f>
        <v>On Time</v>
      </c>
    </row>
    <row r="409" spans="1:25" x14ac:dyDescent="0.3">
      <c r="A409" s="19" t="s">
        <v>1773</v>
      </c>
      <c r="B409" s="19" t="s">
        <v>71</v>
      </c>
      <c r="C409" s="19" t="s">
        <v>259</v>
      </c>
      <c r="D409" s="20">
        <v>45807</v>
      </c>
      <c r="E409" s="20">
        <v>45810</v>
      </c>
      <c r="F409" s="19" t="s">
        <v>217</v>
      </c>
      <c r="G409" s="19" t="s">
        <v>76</v>
      </c>
      <c r="H409" s="20">
        <v>33747</v>
      </c>
      <c r="I409" s="19" t="s">
        <v>105</v>
      </c>
      <c r="J409" s="19" t="s">
        <v>106</v>
      </c>
      <c r="K409" s="19" t="s">
        <v>122</v>
      </c>
      <c r="L409" s="19" t="s">
        <v>263</v>
      </c>
      <c r="M409" s="19">
        <v>2</v>
      </c>
      <c r="N409" s="19">
        <v>45</v>
      </c>
      <c r="O409" s="19">
        <v>20</v>
      </c>
      <c r="P409" s="19">
        <v>72</v>
      </c>
      <c r="Q409" s="19">
        <v>5</v>
      </c>
      <c r="R409" s="19" t="s">
        <v>88</v>
      </c>
      <c r="S409" s="19" t="s">
        <v>61</v>
      </c>
      <c r="T409" s="19" t="s">
        <v>80</v>
      </c>
      <c r="U409" s="21" t="s">
        <v>1775</v>
      </c>
      <c r="V409" s="19" t="s">
        <v>69</v>
      </c>
      <c r="W409" s="19">
        <f t="shared" ca="1" si="12"/>
        <v>34</v>
      </c>
      <c r="X409" s="19">
        <f t="shared" si="13"/>
        <v>3</v>
      </c>
      <c r="Y409" s="19" t="str" cm="1">
        <f t="array" ref="Y409">_xlfn.IFS(ISERROR(X409), "Pending", X409&lt;=5, "On Time", X409&gt;5, "Delayed")</f>
        <v>On Time</v>
      </c>
    </row>
    <row r="410" spans="1:25" x14ac:dyDescent="0.3">
      <c r="A410" s="15" t="s">
        <v>1776</v>
      </c>
      <c r="B410" s="15" t="s">
        <v>100</v>
      </c>
      <c r="C410" s="15" t="s">
        <v>259</v>
      </c>
      <c r="D410" s="16">
        <v>45684</v>
      </c>
      <c r="E410" s="16">
        <v>45694</v>
      </c>
      <c r="F410" s="15" t="s">
        <v>103</v>
      </c>
      <c r="G410" s="15" t="s">
        <v>28</v>
      </c>
      <c r="H410" s="16">
        <v>32309</v>
      </c>
      <c r="I410" s="15" t="s">
        <v>30</v>
      </c>
      <c r="J410" s="15" t="s">
        <v>31</v>
      </c>
      <c r="K410" s="15" t="s">
        <v>122</v>
      </c>
      <c r="L410" s="15" t="s">
        <v>263</v>
      </c>
      <c r="M410" s="15">
        <v>18</v>
      </c>
      <c r="N410" s="15">
        <v>45</v>
      </c>
      <c r="O410" s="15">
        <v>10</v>
      </c>
      <c r="P410" s="15">
        <v>729</v>
      </c>
      <c r="Q410" s="15">
        <v>2</v>
      </c>
      <c r="R410" s="15" t="s">
        <v>48</v>
      </c>
      <c r="S410" s="15" t="s">
        <v>115</v>
      </c>
      <c r="T410" s="15" t="s">
        <v>144</v>
      </c>
      <c r="U410" s="18" t="s">
        <v>1778</v>
      </c>
      <c r="V410" s="15" t="s">
        <v>64</v>
      </c>
      <c r="W410" s="15">
        <f t="shared" ca="1" si="12"/>
        <v>38</v>
      </c>
      <c r="X410" s="15">
        <f t="shared" si="13"/>
        <v>10</v>
      </c>
      <c r="Y410" s="15" t="str" cm="1">
        <f t="array" ref="Y410">_xlfn.IFS(ISERROR(X410), "Pending", X410&lt;=5, "On Time", X410&gt;5, "Delayed")</f>
        <v>Delayed</v>
      </c>
    </row>
    <row r="411" spans="1:25" x14ac:dyDescent="0.3">
      <c r="A411" s="19" t="s">
        <v>1779</v>
      </c>
      <c r="B411" s="19" t="s">
        <v>127</v>
      </c>
      <c r="C411" s="19" t="s">
        <v>72</v>
      </c>
      <c r="D411" s="20">
        <v>46015</v>
      </c>
      <c r="E411" s="20">
        <v>46023</v>
      </c>
      <c r="F411" s="19" t="s">
        <v>200</v>
      </c>
      <c r="G411" s="19" t="s">
        <v>76</v>
      </c>
      <c r="H411" s="20">
        <v>34172</v>
      </c>
      <c r="I411" s="19" t="s">
        <v>294</v>
      </c>
      <c r="J411" s="19" t="s">
        <v>295</v>
      </c>
      <c r="K411" s="19" t="s">
        <v>46</v>
      </c>
      <c r="L411" s="19" t="s">
        <v>78</v>
      </c>
      <c r="M411" s="19">
        <v>13</v>
      </c>
      <c r="N411" s="19">
        <v>1200</v>
      </c>
      <c r="O411" s="19">
        <v>5</v>
      </c>
      <c r="P411" s="19">
        <v>14820</v>
      </c>
      <c r="Q411" s="19">
        <v>4</v>
      </c>
      <c r="R411" s="19" t="s">
        <v>79</v>
      </c>
      <c r="S411" s="19" t="s">
        <v>115</v>
      </c>
      <c r="T411" s="19" t="s">
        <v>132</v>
      </c>
      <c r="U411" s="21" t="s">
        <v>1781</v>
      </c>
      <c r="V411" s="19" t="s">
        <v>38</v>
      </c>
      <c r="W411" s="19">
        <f t="shared" ca="1" si="12"/>
        <v>33</v>
      </c>
      <c r="X411" s="19">
        <f t="shared" si="13"/>
        <v>8</v>
      </c>
      <c r="Y411" s="19" t="str" cm="1">
        <f t="array" ref="Y411">_xlfn.IFS(ISERROR(X411), "Pending", X411&lt;=5, "On Time", X411&gt;5, "Delayed")</f>
        <v>Delayed</v>
      </c>
    </row>
    <row r="412" spans="1:25" x14ac:dyDescent="0.3">
      <c r="A412" s="15" t="s">
        <v>1782</v>
      </c>
      <c r="B412" s="15" t="s">
        <v>23</v>
      </c>
      <c r="C412" s="15" t="s">
        <v>222</v>
      </c>
      <c r="D412" s="16">
        <v>46153</v>
      </c>
      <c r="E412" s="16">
        <v>46159</v>
      </c>
      <c r="F412" s="15" t="s">
        <v>27</v>
      </c>
      <c r="G412" s="15" t="s">
        <v>28</v>
      </c>
      <c r="H412" s="16">
        <v>38048</v>
      </c>
      <c r="I412" s="15" t="s">
        <v>30</v>
      </c>
      <c r="J412" s="15" t="s">
        <v>31</v>
      </c>
      <c r="K412" s="15" t="s">
        <v>122</v>
      </c>
      <c r="L412" s="15" t="s">
        <v>227</v>
      </c>
      <c r="M412" s="15">
        <v>14</v>
      </c>
      <c r="N412" s="15">
        <v>20</v>
      </c>
      <c r="O412" s="15">
        <v>20</v>
      </c>
      <c r="P412" s="15">
        <v>224</v>
      </c>
      <c r="Q412" s="15">
        <v>5</v>
      </c>
      <c r="R412" s="15" t="s">
        <v>88</v>
      </c>
      <c r="S412" s="15" t="s">
        <v>49</v>
      </c>
      <c r="T412" s="15" t="s">
        <v>50</v>
      </c>
      <c r="U412" s="18" t="s">
        <v>1785</v>
      </c>
      <c r="V412" s="15" t="s">
        <v>64</v>
      </c>
      <c r="W412" s="15">
        <f t="shared" ca="1" si="12"/>
        <v>22</v>
      </c>
      <c r="X412" s="15">
        <f t="shared" si="13"/>
        <v>6</v>
      </c>
      <c r="Y412" s="15" t="str" cm="1">
        <f t="array" ref="Y412">_xlfn.IFS(ISERROR(X412), "Pending", X412&lt;=5, "On Time", X412&gt;5, "Delayed")</f>
        <v>Delayed</v>
      </c>
    </row>
    <row r="413" spans="1:25" x14ac:dyDescent="0.3">
      <c r="A413" s="19" t="s">
        <v>1786</v>
      </c>
      <c r="B413" s="19" t="s">
        <v>100</v>
      </c>
      <c r="C413" s="19" t="s">
        <v>92</v>
      </c>
      <c r="D413" s="20">
        <v>46064</v>
      </c>
      <c r="E413" s="20">
        <v>46076</v>
      </c>
      <c r="F413" s="19" t="s">
        <v>103</v>
      </c>
      <c r="G413" s="19" t="s">
        <v>28</v>
      </c>
      <c r="H413" s="20">
        <v>28847</v>
      </c>
      <c r="I413" s="19" t="s">
        <v>30</v>
      </c>
      <c r="J413" s="19" t="s">
        <v>31</v>
      </c>
      <c r="K413" s="19" t="s">
        <v>32</v>
      </c>
      <c r="L413" s="19" t="s">
        <v>97</v>
      </c>
      <c r="M413" s="19">
        <v>16</v>
      </c>
      <c r="N413" s="19">
        <v>3500</v>
      </c>
      <c r="O413" s="19">
        <v>15</v>
      </c>
      <c r="P413" s="19">
        <v>47600</v>
      </c>
      <c r="Q413" s="19">
        <v>3</v>
      </c>
      <c r="R413" s="19" t="s">
        <v>88</v>
      </c>
      <c r="S413" s="19" t="s">
        <v>61</v>
      </c>
      <c r="T413" s="19" t="s">
        <v>144</v>
      </c>
      <c r="U413" s="21" t="s">
        <v>1789</v>
      </c>
      <c r="V413" s="19" t="s">
        <v>69</v>
      </c>
      <c r="W413" s="19">
        <f t="shared" ca="1" si="12"/>
        <v>47</v>
      </c>
      <c r="X413" s="19">
        <f t="shared" si="13"/>
        <v>12</v>
      </c>
      <c r="Y413" s="19" t="str" cm="1">
        <f t="array" ref="Y413">_xlfn.IFS(ISERROR(X413), "Pending", X413&lt;=5, "On Time", X413&gt;5, "Delayed")</f>
        <v>Delayed</v>
      </c>
    </row>
    <row r="414" spans="1:25" x14ac:dyDescent="0.3">
      <c r="A414" s="15" t="s">
        <v>1790</v>
      </c>
      <c r="B414" s="15" t="s">
        <v>251</v>
      </c>
      <c r="C414" s="15" t="s">
        <v>222</v>
      </c>
      <c r="D414" s="16">
        <v>45704</v>
      </c>
      <c r="E414" s="16">
        <v>45712</v>
      </c>
      <c r="F414" s="15" t="s">
        <v>254</v>
      </c>
      <c r="G414" s="15" t="s">
        <v>28</v>
      </c>
      <c r="H414" s="16">
        <v>34257</v>
      </c>
      <c r="I414" s="15" t="s">
        <v>59</v>
      </c>
      <c r="J414" s="15" t="s">
        <v>31</v>
      </c>
      <c r="K414" s="15" t="s">
        <v>122</v>
      </c>
      <c r="L414" s="15" t="s">
        <v>227</v>
      </c>
      <c r="M414" s="15">
        <v>20</v>
      </c>
      <c r="N414" s="15">
        <v>20</v>
      </c>
      <c r="O414" s="15">
        <v>15</v>
      </c>
      <c r="P414" s="15">
        <v>340</v>
      </c>
      <c r="Q414" s="15">
        <v>1</v>
      </c>
      <c r="R414" s="15" t="s">
        <v>48</v>
      </c>
      <c r="S414" s="15" t="s">
        <v>61</v>
      </c>
      <c r="T414" s="15" t="s">
        <v>256</v>
      </c>
      <c r="U414" s="18" t="s">
        <v>1792</v>
      </c>
      <c r="V414" s="15" t="s">
        <v>69</v>
      </c>
      <c r="W414" s="15">
        <f t="shared" ca="1" si="12"/>
        <v>32</v>
      </c>
      <c r="X414" s="15">
        <f t="shared" si="13"/>
        <v>8</v>
      </c>
      <c r="Y414" s="15" t="str" cm="1">
        <f t="array" ref="Y414">_xlfn.IFS(ISERROR(X414), "Pending", X414&lt;=5, "On Time", X414&gt;5, "Delayed")</f>
        <v>Delayed</v>
      </c>
    </row>
    <row r="415" spans="1:25" x14ac:dyDescent="0.3">
      <c r="A415" s="19" t="s">
        <v>1793</v>
      </c>
      <c r="B415" s="19" t="s">
        <v>168</v>
      </c>
      <c r="C415" s="19" t="s">
        <v>54</v>
      </c>
      <c r="D415" s="20">
        <v>45756</v>
      </c>
      <c r="E415" s="20">
        <v>45761</v>
      </c>
      <c r="F415" s="19" t="s">
        <v>361</v>
      </c>
      <c r="G415" s="19" t="s">
        <v>28</v>
      </c>
      <c r="H415" s="20">
        <v>29201</v>
      </c>
      <c r="I415" s="19" t="s">
        <v>138</v>
      </c>
      <c r="J415" s="19" t="s">
        <v>106</v>
      </c>
      <c r="K415" s="19" t="s">
        <v>46</v>
      </c>
      <c r="L415" s="19" t="s">
        <v>60</v>
      </c>
      <c r="M415" s="19">
        <v>1</v>
      </c>
      <c r="N415" s="19">
        <v>55000</v>
      </c>
      <c r="O415" s="19">
        <v>15</v>
      </c>
      <c r="P415" s="19">
        <v>46750</v>
      </c>
      <c r="Q415" s="19">
        <v>2</v>
      </c>
      <c r="R415" s="19" t="s">
        <v>88</v>
      </c>
      <c r="S415" s="19" t="s">
        <v>115</v>
      </c>
      <c r="T415" s="19" t="s">
        <v>175</v>
      </c>
      <c r="U415" s="21" t="s">
        <v>1795</v>
      </c>
      <c r="V415" s="19" t="s">
        <v>69</v>
      </c>
      <c r="W415" s="19">
        <f t="shared" ca="1" si="12"/>
        <v>46</v>
      </c>
      <c r="X415" s="19">
        <f t="shared" si="13"/>
        <v>5</v>
      </c>
      <c r="Y415" s="19" t="str" cm="1">
        <f t="array" ref="Y415">_xlfn.IFS(ISERROR(X415), "Pending", X415&lt;=5, "On Time", X415&gt;5, "Delayed")</f>
        <v>On Time</v>
      </c>
    </row>
    <row r="416" spans="1:25" x14ac:dyDescent="0.3">
      <c r="A416" s="15" t="s">
        <v>1796</v>
      </c>
      <c r="B416" s="15" t="s">
        <v>100</v>
      </c>
      <c r="C416" s="15" t="s">
        <v>118</v>
      </c>
      <c r="D416" s="16">
        <v>45672</v>
      </c>
      <c r="E416" s="16">
        <v>45677</v>
      </c>
      <c r="F416" s="15" t="s">
        <v>103</v>
      </c>
      <c r="G416" s="15" t="s">
        <v>28</v>
      </c>
      <c r="H416" s="16">
        <v>37400</v>
      </c>
      <c r="I416" s="15" t="s">
        <v>138</v>
      </c>
      <c r="J416" s="15" t="s">
        <v>106</v>
      </c>
      <c r="K416" s="15" t="s">
        <v>122</v>
      </c>
      <c r="L416" s="15" t="s">
        <v>123</v>
      </c>
      <c r="M416" s="15">
        <v>15</v>
      </c>
      <c r="N416" s="15">
        <v>60</v>
      </c>
      <c r="O416" s="15">
        <v>5</v>
      </c>
      <c r="P416" s="15">
        <v>855</v>
      </c>
      <c r="Q416" s="15">
        <v>4</v>
      </c>
      <c r="R416" s="15" t="s">
        <v>48</v>
      </c>
      <c r="S416" s="15" t="s">
        <v>61</v>
      </c>
      <c r="T416" s="15" t="s">
        <v>144</v>
      </c>
      <c r="U416" s="18" t="s">
        <v>1798</v>
      </c>
      <c r="V416" s="15" t="s">
        <v>38</v>
      </c>
      <c r="W416" s="15">
        <f t="shared" ca="1" si="12"/>
        <v>24</v>
      </c>
      <c r="X416" s="15">
        <f t="shared" si="13"/>
        <v>5</v>
      </c>
      <c r="Y416" s="15" t="str" cm="1">
        <f t="array" ref="Y416">_xlfn.IFS(ISERROR(X416), "Pending", X416&lt;=5, "On Time", X416&gt;5, "Delayed")</f>
        <v>On Time</v>
      </c>
    </row>
    <row r="417" spans="1:25" x14ac:dyDescent="0.3">
      <c r="A417" s="19" t="s">
        <v>1799</v>
      </c>
      <c r="B417" s="19" t="s">
        <v>83</v>
      </c>
      <c r="C417" s="19" t="s">
        <v>184</v>
      </c>
      <c r="D417" s="20">
        <v>46108</v>
      </c>
      <c r="E417" s="20">
        <v>46114</v>
      </c>
      <c r="F417" s="19" t="s">
        <v>180</v>
      </c>
      <c r="G417" s="19" t="s">
        <v>76</v>
      </c>
      <c r="H417" s="20">
        <v>28006</v>
      </c>
      <c r="I417" s="19" t="s">
        <v>105</v>
      </c>
      <c r="J417" s="19" t="s">
        <v>106</v>
      </c>
      <c r="K417" s="19" t="s">
        <v>46</v>
      </c>
      <c r="L417" s="19" t="s">
        <v>189</v>
      </c>
      <c r="M417" s="19">
        <v>15</v>
      </c>
      <c r="N417" s="19">
        <v>700</v>
      </c>
      <c r="O417" s="19">
        <v>0</v>
      </c>
      <c r="P417" s="19">
        <v>10500</v>
      </c>
      <c r="Q417" s="19">
        <v>5</v>
      </c>
      <c r="R417" s="19" t="s">
        <v>48</v>
      </c>
      <c r="S417" s="19" t="s">
        <v>115</v>
      </c>
      <c r="T417" s="19" t="s">
        <v>89</v>
      </c>
      <c r="U417" s="21" t="s">
        <v>1802</v>
      </c>
      <c r="V417" s="19" t="s">
        <v>38</v>
      </c>
      <c r="W417" s="19">
        <f t="shared" ca="1" si="12"/>
        <v>50</v>
      </c>
      <c r="X417" s="19">
        <f t="shared" si="13"/>
        <v>6</v>
      </c>
      <c r="Y417" s="19" t="str" cm="1">
        <f t="array" ref="Y417">_xlfn.IFS(ISERROR(X417), "Pending", X417&lt;=5, "On Time", X417&gt;5, "Delayed")</f>
        <v>Delayed</v>
      </c>
    </row>
    <row r="418" spans="1:25" x14ac:dyDescent="0.3">
      <c r="A418" s="15" t="s">
        <v>1803</v>
      </c>
      <c r="B418" s="15" t="s">
        <v>221</v>
      </c>
      <c r="C418" s="15" t="s">
        <v>40</v>
      </c>
      <c r="D418" s="16">
        <v>46027</v>
      </c>
      <c r="E418" s="16">
        <v>46031</v>
      </c>
      <c r="F418" s="15" t="s">
        <v>225</v>
      </c>
      <c r="G418" s="15" t="s">
        <v>76</v>
      </c>
      <c r="H418" s="16">
        <v>29484</v>
      </c>
      <c r="I418" s="15" t="s">
        <v>294</v>
      </c>
      <c r="J418" s="15" t="s">
        <v>295</v>
      </c>
      <c r="K418" s="15" t="s">
        <v>46</v>
      </c>
      <c r="L418" s="15" t="s">
        <v>47</v>
      </c>
      <c r="M418" s="15">
        <v>13</v>
      </c>
      <c r="N418" s="15">
        <v>12000</v>
      </c>
      <c r="O418" s="15">
        <v>10</v>
      </c>
      <c r="P418" s="15">
        <v>140400</v>
      </c>
      <c r="Q418" s="15">
        <v>1</v>
      </c>
      <c r="R418" s="15" t="s">
        <v>34</v>
      </c>
      <c r="S418" s="15" t="s">
        <v>151</v>
      </c>
      <c r="T418" s="15" t="s">
        <v>228</v>
      </c>
      <c r="U418" s="18" t="s">
        <v>1805</v>
      </c>
      <c r="V418" s="15" t="s">
        <v>69</v>
      </c>
      <c r="W418" s="15">
        <f t="shared" ca="1" si="12"/>
        <v>45</v>
      </c>
      <c r="X418" s="15">
        <f t="shared" si="13"/>
        <v>4</v>
      </c>
      <c r="Y418" s="15" t="str" cm="1">
        <f t="array" ref="Y418">_xlfn.IFS(ISERROR(X418), "Pending", X418&lt;=5, "On Time", X418&gt;5, "Delayed")</f>
        <v>On Time</v>
      </c>
    </row>
    <row r="419" spans="1:25" x14ac:dyDescent="0.3">
      <c r="A419" s="19" t="s">
        <v>1806</v>
      </c>
      <c r="B419" s="19" t="s">
        <v>83</v>
      </c>
      <c r="C419" s="19" t="s">
        <v>40</v>
      </c>
      <c r="D419" s="20">
        <v>46129</v>
      </c>
      <c r="E419" s="20">
        <v>46141</v>
      </c>
      <c r="F419" s="19" t="s">
        <v>180</v>
      </c>
      <c r="G419" s="19" t="s">
        <v>76</v>
      </c>
      <c r="H419" s="20">
        <v>32318</v>
      </c>
      <c r="I419" s="19" t="s">
        <v>30</v>
      </c>
      <c r="J419" s="19" t="s">
        <v>31</v>
      </c>
      <c r="K419" s="19" t="s">
        <v>46</v>
      </c>
      <c r="L419" s="19" t="s">
        <v>47</v>
      </c>
      <c r="M419" s="19">
        <v>12</v>
      </c>
      <c r="N419" s="19">
        <v>12000</v>
      </c>
      <c r="O419" s="19">
        <v>20</v>
      </c>
      <c r="P419" s="19">
        <v>115200</v>
      </c>
      <c r="Q419" s="19">
        <v>2</v>
      </c>
      <c r="R419" s="19" t="s">
        <v>34</v>
      </c>
      <c r="S419" s="19" t="s">
        <v>35</v>
      </c>
      <c r="T419" s="19" t="s">
        <v>89</v>
      </c>
      <c r="U419" s="21" t="s">
        <v>1809</v>
      </c>
      <c r="V419" s="19" t="s">
        <v>38</v>
      </c>
      <c r="W419" s="19">
        <f t="shared" ca="1" si="12"/>
        <v>38</v>
      </c>
      <c r="X419" s="19">
        <f t="shared" si="13"/>
        <v>12</v>
      </c>
      <c r="Y419" s="19" t="str" cm="1">
        <f t="array" ref="Y419">_xlfn.IFS(ISERROR(X419), "Pending", X419&lt;=5, "On Time", X419&gt;5, "Delayed")</f>
        <v>Delayed</v>
      </c>
    </row>
    <row r="420" spans="1:25" x14ac:dyDescent="0.3">
      <c r="A420" s="15" t="s">
        <v>1810</v>
      </c>
      <c r="B420" s="15" t="s">
        <v>83</v>
      </c>
      <c r="C420" s="15" t="s">
        <v>259</v>
      </c>
      <c r="D420" s="16">
        <v>45741</v>
      </c>
      <c r="E420" s="16">
        <v>45745</v>
      </c>
      <c r="F420" s="15" t="s">
        <v>180</v>
      </c>
      <c r="G420" s="15" t="s">
        <v>76</v>
      </c>
      <c r="H420" s="16">
        <v>37931</v>
      </c>
      <c r="I420" s="15" t="s">
        <v>105</v>
      </c>
      <c r="J420" s="15" t="s">
        <v>106</v>
      </c>
      <c r="K420" s="15" t="s">
        <v>122</v>
      </c>
      <c r="L420" s="15" t="s">
        <v>263</v>
      </c>
      <c r="M420" s="15">
        <v>10</v>
      </c>
      <c r="N420" s="15">
        <v>45</v>
      </c>
      <c r="O420" s="15">
        <v>0</v>
      </c>
      <c r="P420" s="15">
        <v>450</v>
      </c>
      <c r="Q420" s="15">
        <v>5</v>
      </c>
      <c r="R420" s="15" t="s">
        <v>79</v>
      </c>
      <c r="S420" s="15" t="s">
        <v>115</v>
      </c>
      <c r="T420" s="15" t="s">
        <v>89</v>
      </c>
      <c r="U420" s="18" t="s">
        <v>1812</v>
      </c>
      <c r="V420" s="15" t="s">
        <v>69</v>
      </c>
      <c r="W420" s="15">
        <f t="shared" ca="1" si="12"/>
        <v>22</v>
      </c>
      <c r="X420" s="15">
        <f t="shared" si="13"/>
        <v>4</v>
      </c>
      <c r="Y420" s="15" t="str" cm="1">
        <f t="array" ref="Y420">_xlfn.IFS(ISERROR(X420), "Pending", X420&lt;=5, "On Time", X420&gt;5, "Delayed")</f>
        <v>On Time</v>
      </c>
    </row>
    <row r="421" spans="1:25" x14ac:dyDescent="0.3">
      <c r="A421" s="19" t="s">
        <v>1813</v>
      </c>
      <c r="B421" s="19" t="s">
        <v>127</v>
      </c>
      <c r="C421" s="19" t="s">
        <v>72</v>
      </c>
      <c r="D421" s="20">
        <v>45774</v>
      </c>
      <c r="E421" s="20">
        <v>45786</v>
      </c>
      <c r="F421" s="19" t="s">
        <v>200</v>
      </c>
      <c r="G421" s="19" t="s">
        <v>76</v>
      </c>
      <c r="H421" s="20">
        <v>29871</v>
      </c>
      <c r="I421" s="19" t="s">
        <v>105</v>
      </c>
      <c r="J421" s="19" t="s">
        <v>106</v>
      </c>
      <c r="K421" s="19" t="s">
        <v>46</v>
      </c>
      <c r="L421" s="19" t="s">
        <v>78</v>
      </c>
      <c r="M421" s="19">
        <v>20</v>
      </c>
      <c r="N421" s="19">
        <v>1200</v>
      </c>
      <c r="O421" s="19">
        <v>20</v>
      </c>
      <c r="P421" s="19">
        <v>19200</v>
      </c>
      <c r="Q421" s="19">
        <v>5</v>
      </c>
      <c r="R421" s="19" t="s">
        <v>48</v>
      </c>
      <c r="S421" s="19" t="s">
        <v>61</v>
      </c>
      <c r="T421" s="19" t="s">
        <v>132</v>
      </c>
      <c r="U421" s="21" t="s">
        <v>1815</v>
      </c>
      <c r="V421" s="19" t="s">
        <v>69</v>
      </c>
      <c r="W421" s="19">
        <f t="shared" ca="1" si="12"/>
        <v>44</v>
      </c>
      <c r="X421" s="19">
        <f t="shared" si="13"/>
        <v>12</v>
      </c>
      <c r="Y421" s="19" t="str" cm="1">
        <f t="array" ref="Y421">_xlfn.IFS(ISERROR(X421), "Pending", X421&lt;=5, "On Time", X421&gt;5, "Delayed")</f>
        <v>Delayed</v>
      </c>
    </row>
    <row r="422" spans="1:25" x14ac:dyDescent="0.3">
      <c r="A422" s="15" t="s">
        <v>1816</v>
      </c>
      <c r="B422" s="15" t="s">
        <v>71</v>
      </c>
      <c r="C422" s="15" t="s">
        <v>72</v>
      </c>
      <c r="D422" s="16">
        <v>45919</v>
      </c>
      <c r="E422" s="16">
        <v>45926</v>
      </c>
      <c r="F422" s="15" t="s">
        <v>217</v>
      </c>
      <c r="G422" s="15" t="s">
        <v>76</v>
      </c>
      <c r="H422" s="16">
        <v>27449</v>
      </c>
      <c r="I422" s="15" t="s">
        <v>114</v>
      </c>
      <c r="J422" s="15" t="s">
        <v>106</v>
      </c>
      <c r="K422" s="15" t="s">
        <v>46</v>
      </c>
      <c r="L422" s="15" t="s">
        <v>78</v>
      </c>
      <c r="M422" s="15">
        <v>8</v>
      </c>
      <c r="N422" s="15">
        <v>1200</v>
      </c>
      <c r="O422" s="15">
        <v>10</v>
      </c>
      <c r="P422" s="15">
        <v>8640</v>
      </c>
      <c r="Q422" s="15">
        <v>4</v>
      </c>
      <c r="R422" s="15" t="s">
        <v>48</v>
      </c>
      <c r="S422" s="15" t="s">
        <v>61</v>
      </c>
      <c r="T422" s="15" t="s">
        <v>80</v>
      </c>
      <c r="U422" s="18" t="s">
        <v>1819</v>
      </c>
      <c r="V422" s="15" t="s">
        <v>38</v>
      </c>
      <c r="W422" s="15">
        <f t="shared" ca="1" si="12"/>
        <v>51</v>
      </c>
      <c r="X422" s="15">
        <f t="shared" si="13"/>
        <v>7</v>
      </c>
      <c r="Y422" s="15" t="str" cm="1">
        <f t="array" ref="Y422">_xlfn.IFS(ISERROR(X422), "Pending", X422&lt;=5, "On Time", X422&gt;5, "Delayed")</f>
        <v>Delayed</v>
      </c>
    </row>
    <row r="423" spans="1:25" x14ac:dyDescent="0.3">
      <c r="A423" s="19" t="s">
        <v>1820</v>
      </c>
      <c r="B423" s="19" t="s">
        <v>127</v>
      </c>
      <c r="C423" s="19" t="s">
        <v>72</v>
      </c>
      <c r="D423" s="20">
        <v>45795</v>
      </c>
      <c r="E423" s="20">
        <v>45797</v>
      </c>
      <c r="F423" s="19" t="s">
        <v>200</v>
      </c>
      <c r="G423" s="19" t="s">
        <v>76</v>
      </c>
      <c r="H423" s="20">
        <v>28395</v>
      </c>
      <c r="I423" s="19" t="s">
        <v>212</v>
      </c>
      <c r="J423" s="19" t="s">
        <v>45</v>
      </c>
      <c r="K423" s="19" t="s">
        <v>46</v>
      </c>
      <c r="L423" s="19" t="s">
        <v>78</v>
      </c>
      <c r="M423" s="19">
        <v>8</v>
      </c>
      <c r="N423" s="19">
        <v>1200</v>
      </c>
      <c r="O423" s="19">
        <v>10</v>
      </c>
      <c r="P423" s="19">
        <v>8640</v>
      </c>
      <c r="Q423" s="19">
        <v>5</v>
      </c>
      <c r="R423" s="19" t="s">
        <v>79</v>
      </c>
      <c r="S423" s="19" t="s">
        <v>49</v>
      </c>
      <c r="T423" s="19" t="s">
        <v>132</v>
      </c>
      <c r="U423" s="21" t="s">
        <v>1822</v>
      </c>
      <c r="V423" s="19" t="s">
        <v>69</v>
      </c>
      <c r="W423" s="19">
        <f t="shared" ca="1" si="12"/>
        <v>48</v>
      </c>
      <c r="X423" s="19">
        <f t="shared" si="13"/>
        <v>2</v>
      </c>
      <c r="Y423" s="19" t="str" cm="1">
        <f t="array" ref="Y423">_xlfn.IFS(ISERROR(X423), "Pending", X423&lt;=5, "On Time", X423&gt;5, "Delayed")</f>
        <v>On Time</v>
      </c>
    </row>
    <row r="424" spans="1:25" x14ac:dyDescent="0.3">
      <c r="A424" s="15" t="s">
        <v>1823</v>
      </c>
      <c r="B424" s="15" t="s">
        <v>327</v>
      </c>
      <c r="C424" s="15" t="s">
        <v>24</v>
      </c>
      <c r="D424" s="16">
        <v>46020</v>
      </c>
      <c r="E424" s="16">
        <v>46021</v>
      </c>
      <c r="F424" s="15" t="s">
        <v>394</v>
      </c>
      <c r="G424" s="15" t="s">
        <v>76</v>
      </c>
      <c r="H424" s="16">
        <v>32136</v>
      </c>
      <c r="I424" s="15" t="s">
        <v>212</v>
      </c>
      <c r="J424" s="15" t="s">
        <v>45</v>
      </c>
      <c r="K424" s="15" t="s">
        <v>32</v>
      </c>
      <c r="L424" s="15" t="s">
        <v>33</v>
      </c>
      <c r="M424" s="15">
        <v>9</v>
      </c>
      <c r="N424" s="15">
        <v>2200</v>
      </c>
      <c r="O424" s="15">
        <v>20</v>
      </c>
      <c r="P424" s="15">
        <v>15840</v>
      </c>
      <c r="Q424" s="15">
        <v>1</v>
      </c>
      <c r="R424" s="15" t="s">
        <v>48</v>
      </c>
      <c r="S424" s="15" t="s">
        <v>115</v>
      </c>
      <c r="T424" s="15" t="s">
        <v>332</v>
      </c>
      <c r="U424" s="18" t="s">
        <v>1826</v>
      </c>
      <c r="V424" s="15" t="s">
        <v>38</v>
      </c>
      <c r="W424" s="15">
        <f t="shared" ca="1" si="12"/>
        <v>38</v>
      </c>
      <c r="X424" s="15">
        <f t="shared" si="13"/>
        <v>1</v>
      </c>
      <c r="Y424" s="15" t="str" cm="1">
        <f t="array" ref="Y424">_xlfn.IFS(ISERROR(X424), "Pending", X424&lt;=5, "On Time", X424&gt;5, "Delayed")</f>
        <v>On Time</v>
      </c>
    </row>
    <row r="425" spans="1:25" x14ac:dyDescent="0.3">
      <c r="A425" s="19" t="s">
        <v>1827</v>
      </c>
      <c r="B425" s="19" t="s">
        <v>127</v>
      </c>
      <c r="C425" s="19" t="s">
        <v>222</v>
      </c>
      <c r="D425" s="20">
        <v>45669</v>
      </c>
      <c r="E425" s="20">
        <v>45673</v>
      </c>
      <c r="F425" s="19" t="s">
        <v>200</v>
      </c>
      <c r="G425" s="19" t="s">
        <v>76</v>
      </c>
      <c r="H425" s="20">
        <v>36973</v>
      </c>
      <c r="I425" s="19" t="s">
        <v>294</v>
      </c>
      <c r="J425" s="19" t="s">
        <v>295</v>
      </c>
      <c r="K425" s="19" t="s">
        <v>122</v>
      </c>
      <c r="L425" s="19" t="s">
        <v>227</v>
      </c>
      <c r="M425" s="19">
        <v>8</v>
      </c>
      <c r="N425" s="19">
        <v>20</v>
      </c>
      <c r="O425" s="19">
        <v>20</v>
      </c>
      <c r="P425" s="19">
        <v>128</v>
      </c>
      <c r="Q425" s="19">
        <v>4</v>
      </c>
      <c r="R425" s="19" t="s">
        <v>34</v>
      </c>
      <c r="S425" s="19" t="s">
        <v>35</v>
      </c>
      <c r="T425" s="19" t="s">
        <v>132</v>
      </c>
      <c r="U425" s="21" t="s">
        <v>1829</v>
      </c>
      <c r="V425" s="19" t="s">
        <v>69</v>
      </c>
      <c r="W425" s="19">
        <f t="shared" ca="1" si="12"/>
        <v>25</v>
      </c>
      <c r="X425" s="19">
        <f t="shared" si="13"/>
        <v>4</v>
      </c>
      <c r="Y425" s="19" t="str" cm="1">
        <f t="array" ref="Y425">_xlfn.IFS(ISERROR(X425), "Pending", X425&lt;=5, "On Time", X425&gt;5, "Delayed")</f>
        <v>On Time</v>
      </c>
    </row>
    <row r="426" spans="1:25" x14ac:dyDescent="0.3">
      <c r="A426" s="15" t="s">
        <v>1830</v>
      </c>
      <c r="B426" s="15" t="s">
        <v>221</v>
      </c>
      <c r="C426" s="15" t="s">
        <v>54</v>
      </c>
      <c r="D426" s="16">
        <v>46035</v>
      </c>
      <c r="E426" s="16">
        <v>46044</v>
      </c>
      <c r="F426" s="15" t="s">
        <v>225</v>
      </c>
      <c r="G426" s="15" t="s">
        <v>76</v>
      </c>
      <c r="H426" s="16">
        <v>30216</v>
      </c>
      <c r="I426" s="15" t="s">
        <v>114</v>
      </c>
      <c r="J426" s="15" t="s">
        <v>106</v>
      </c>
      <c r="K426" s="15" t="s">
        <v>46</v>
      </c>
      <c r="L426" s="15" t="s">
        <v>60</v>
      </c>
      <c r="M426" s="15">
        <v>5</v>
      </c>
      <c r="N426" s="15">
        <v>55000</v>
      </c>
      <c r="O426" s="15">
        <v>0</v>
      </c>
      <c r="P426" s="15">
        <v>275000</v>
      </c>
      <c r="Q426" s="15">
        <v>1</v>
      </c>
      <c r="R426" s="15" t="s">
        <v>79</v>
      </c>
      <c r="S426" s="15" t="s">
        <v>115</v>
      </c>
      <c r="T426" s="15" t="s">
        <v>228</v>
      </c>
      <c r="U426" s="18" t="s">
        <v>1832</v>
      </c>
      <c r="V426" s="15" t="s">
        <v>38</v>
      </c>
      <c r="W426" s="15">
        <f t="shared" ca="1" si="12"/>
        <v>43</v>
      </c>
      <c r="X426" s="15">
        <f t="shared" si="13"/>
        <v>9</v>
      </c>
      <c r="Y426" s="15" t="str" cm="1">
        <f t="array" ref="Y426">_xlfn.IFS(ISERROR(X426), "Pending", X426&lt;=5, "On Time", X426&gt;5, "Delayed")</f>
        <v>Delayed</v>
      </c>
    </row>
    <row r="427" spans="1:25" x14ac:dyDescent="0.3">
      <c r="A427" s="19" t="s">
        <v>1833</v>
      </c>
      <c r="B427" s="19" t="s">
        <v>100</v>
      </c>
      <c r="C427" s="19" t="s">
        <v>72</v>
      </c>
      <c r="D427" s="20">
        <v>46096</v>
      </c>
      <c r="E427" s="20">
        <v>46099</v>
      </c>
      <c r="F427" s="19" t="s">
        <v>103</v>
      </c>
      <c r="G427" s="19" t="s">
        <v>28</v>
      </c>
      <c r="H427" s="20">
        <v>31670</v>
      </c>
      <c r="I427" s="19" t="s">
        <v>105</v>
      </c>
      <c r="J427" s="19" t="s">
        <v>106</v>
      </c>
      <c r="K427" s="19" t="s">
        <v>46</v>
      </c>
      <c r="L427" s="19" t="s">
        <v>78</v>
      </c>
      <c r="M427" s="19">
        <v>13</v>
      </c>
      <c r="N427" s="19">
        <v>1200</v>
      </c>
      <c r="O427" s="19">
        <v>5</v>
      </c>
      <c r="P427" s="19">
        <v>14820</v>
      </c>
      <c r="Q427" s="19">
        <v>2</v>
      </c>
      <c r="R427" s="19" t="s">
        <v>79</v>
      </c>
      <c r="S427" s="19" t="s">
        <v>35</v>
      </c>
      <c r="T427" s="19" t="s">
        <v>144</v>
      </c>
      <c r="U427" s="21" t="s">
        <v>1836</v>
      </c>
      <c r="V427" s="19" t="s">
        <v>69</v>
      </c>
      <c r="W427" s="19">
        <f t="shared" ca="1" si="12"/>
        <v>39</v>
      </c>
      <c r="X427" s="19">
        <f t="shared" si="13"/>
        <v>3</v>
      </c>
      <c r="Y427" s="19" t="str" cm="1">
        <f t="array" ref="Y427">_xlfn.IFS(ISERROR(X427), "Pending", X427&lt;=5, "On Time", X427&gt;5, "Delayed")</f>
        <v>On Time</v>
      </c>
    </row>
    <row r="428" spans="1:25" x14ac:dyDescent="0.3">
      <c r="A428" s="15" t="s">
        <v>1837</v>
      </c>
      <c r="B428" s="15" t="s">
        <v>83</v>
      </c>
      <c r="C428" s="15" t="s">
        <v>169</v>
      </c>
      <c r="D428" s="16">
        <v>45986</v>
      </c>
      <c r="E428" s="16">
        <v>45991</v>
      </c>
      <c r="F428" s="15" t="s">
        <v>180</v>
      </c>
      <c r="G428" s="15" t="s">
        <v>76</v>
      </c>
      <c r="H428" s="16">
        <v>37602</v>
      </c>
      <c r="I428" s="15" t="s">
        <v>212</v>
      </c>
      <c r="J428" s="15" t="s">
        <v>45</v>
      </c>
      <c r="K428" s="15" t="s">
        <v>32</v>
      </c>
      <c r="L428" s="15" t="s">
        <v>174</v>
      </c>
      <c r="M428" s="15">
        <v>13</v>
      </c>
      <c r="N428" s="15">
        <v>8500</v>
      </c>
      <c r="O428" s="15">
        <v>20</v>
      </c>
      <c r="P428" s="15">
        <v>88400</v>
      </c>
      <c r="Q428" s="15">
        <v>5</v>
      </c>
      <c r="R428" s="15" t="s">
        <v>34</v>
      </c>
      <c r="S428" s="15" t="s">
        <v>49</v>
      </c>
      <c r="T428" s="15" t="s">
        <v>89</v>
      </c>
      <c r="U428" s="18" t="s">
        <v>1840</v>
      </c>
      <c r="V428" s="15" t="s">
        <v>64</v>
      </c>
      <c r="W428" s="15">
        <f t="shared" ca="1" si="12"/>
        <v>23</v>
      </c>
      <c r="X428" s="15">
        <f t="shared" si="13"/>
        <v>5</v>
      </c>
      <c r="Y428" s="15" t="str" cm="1">
        <f t="array" ref="Y428">_xlfn.IFS(ISERROR(X428), "Pending", X428&lt;=5, "On Time", X428&gt;5, "Delayed")</f>
        <v>On Time</v>
      </c>
    </row>
    <row r="429" spans="1:25" x14ac:dyDescent="0.3">
      <c r="A429" s="19" t="s">
        <v>1841</v>
      </c>
      <c r="B429" s="19" t="s">
        <v>71</v>
      </c>
      <c r="C429" s="19" t="s">
        <v>118</v>
      </c>
      <c r="D429" s="20">
        <v>45692</v>
      </c>
      <c r="E429" s="20">
        <v>45703</v>
      </c>
      <c r="F429" s="19" t="s">
        <v>217</v>
      </c>
      <c r="G429" s="19" t="s">
        <v>76</v>
      </c>
      <c r="H429" s="20">
        <v>36053</v>
      </c>
      <c r="I429" s="19" t="s">
        <v>114</v>
      </c>
      <c r="J429" s="19" t="s">
        <v>106</v>
      </c>
      <c r="K429" s="19" t="s">
        <v>122</v>
      </c>
      <c r="L429" s="19" t="s">
        <v>123</v>
      </c>
      <c r="M429" s="19">
        <v>14</v>
      </c>
      <c r="N429" s="19">
        <v>60</v>
      </c>
      <c r="O429" s="19">
        <v>10</v>
      </c>
      <c r="P429" s="19">
        <v>756</v>
      </c>
      <c r="Q429" s="19">
        <v>1</v>
      </c>
      <c r="R429" s="19" t="s">
        <v>34</v>
      </c>
      <c r="S429" s="19" t="s">
        <v>61</v>
      </c>
      <c r="T429" s="19" t="s">
        <v>80</v>
      </c>
      <c r="U429" s="21" t="s">
        <v>1844</v>
      </c>
      <c r="V429" s="19" t="s">
        <v>69</v>
      </c>
      <c r="W429" s="19">
        <f t="shared" ca="1" si="12"/>
        <v>27</v>
      </c>
      <c r="X429" s="19">
        <f t="shared" si="13"/>
        <v>11</v>
      </c>
      <c r="Y429" s="19" t="str" cm="1">
        <f t="array" ref="Y429">_xlfn.IFS(ISERROR(X429), "Pending", X429&lt;=5, "On Time", X429&gt;5, "Delayed")</f>
        <v>Delayed</v>
      </c>
    </row>
    <row r="430" spans="1:25" x14ac:dyDescent="0.3">
      <c r="A430" s="15" t="s">
        <v>1845</v>
      </c>
      <c r="B430" s="15" t="s">
        <v>251</v>
      </c>
      <c r="C430" s="15" t="s">
        <v>24</v>
      </c>
      <c r="D430" s="16">
        <v>45775</v>
      </c>
      <c r="E430" s="16">
        <v>45776</v>
      </c>
      <c r="F430" s="15" t="s">
        <v>254</v>
      </c>
      <c r="G430" s="15" t="s">
        <v>28</v>
      </c>
      <c r="H430" s="16">
        <v>31337</v>
      </c>
      <c r="I430" s="15" t="s">
        <v>59</v>
      </c>
      <c r="J430" s="15" t="s">
        <v>31</v>
      </c>
      <c r="K430" s="15" t="s">
        <v>32</v>
      </c>
      <c r="L430" s="15" t="s">
        <v>33</v>
      </c>
      <c r="M430" s="15">
        <v>15</v>
      </c>
      <c r="N430" s="15">
        <v>2200</v>
      </c>
      <c r="O430" s="15">
        <v>0</v>
      </c>
      <c r="P430" s="15">
        <v>33000</v>
      </c>
      <c r="Q430" s="15">
        <v>1</v>
      </c>
      <c r="R430" s="15" t="s">
        <v>34</v>
      </c>
      <c r="S430" s="15" t="s">
        <v>61</v>
      </c>
      <c r="T430" s="15" t="s">
        <v>256</v>
      </c>
      <c r="U430" s="18" t="s">
        <v>1847</v>
      </c>
      <c r="V430" s="15" t="s">
        <v>38</v>
      </c>
      <c r="W430" s="15">
        <f t="shared" ca="1" si="12"/>
        <v>40</v>
      </c>
      <c r="X430" s="15">
        <f t="shared" si="13"/>
        <v>1</v>
      </c>
      <c r="Y430" s="15" t="str" cm="1">
        <f t="array" ref="Y430">_xlfn.IFS(ISERROR(X430), "Pending", X430&lt;=5, "On Time", X430&gt;5, "Delayed")</f>
        <v>On Time</v>
      </c>
    </row>
    <row r="431" spans="1:25" x14ac:dyDescent="0.3">
      <c r="A431" s="19" t="s">
        <v>1848</v>
      </c>
      <c r="B431" s="19" t="s">
        <v>83</v>
      </c>
      <c r="C431" s="19" t="s">
        <v>118</v>
      </c>
      <c r="D431" s="20">
        <v>45896</v>
      </c>
      <c r="E431" s="20">
        <v>45898</v>
      </c>
      <c r="F431" s="19" t="s">
        <v>180</v>
      </c>
      <c r="G431" s="19" t="s">
        <v>76</v>
      </c>
      <c r="H431" s="20">
        <v>34926</v>
      </c>
      <c r="I431" s="19" t="s">
        <v>212</v>
      </c>
      <c r="J431" s="19" t="s">
        <v>45</v>
      </c>
      <c r="K431" s="19" t="s">
        <v>122</v>
      </c>
      <c r="L431" s="19" t="s">
        <v>123</v>
      </c>
      <c r="M431" s="19">
        <v>19</v>
      </c>
      <c r="N431" s="19">
        <v>60</v>
      </c>
      <c r="O431" s="19">
        <v>20</v>
      </c>
      <c r="P431" s="19">
        <v>912</v>
      </c>
      <c r="Q431" s="19">
        <v>3</v>
      </c>
      <c r="R431" s="19" t="s">
        <v>34</v>
      </c>
      <c r="S431" s="19" t="s">
        <v>151</v>
      </c>
      <c r="T431" s="19" t="s">
        <v>89</v>
      </c>
      <c r="U431" s="21" t="s">
        <v>1852</v>
      </c>
      <c r="V431" s="19" t="s">
        <v>64</v>
      </c>
      <c r="W431" s="19">
        <f t="shared" ca="1" si="12"/>
        <v>31</v>
      </c>
      <c r="X431" s="19">
        <f t="shared" si="13"/>
        <v>2</v>
      </c>
      <c r="Y431" s="19" t="str" cm="1">
        <f t="array" ref="Y431">_xlfn.IFS(ISERROR(X431), "Pending", X431&lt;=5, "On Time", X431&gt;5, "Delayed")</f>
        <v>On Time</v>
      </c>
    </row>
    <row r="432" spans="1:25" x14ac:dyDescent="0.3">
      <c r="A432" s="15" t="s">
        <v>1853</v>
      </c>
      <c r="B432" s="15" t="s">
        <v>53</v>
      </c>
      <c r="C432" s="15" t="s">
        <v>259</v>
      </c>
      <c r="D432" s="16">
        <v>45942</v>
      </c>
      <c r="E432" s="16">
        <v>45953</v>
      </c>
      <c r="F432" s="15" t="s">
        <v>163</v>
      </c>
      <c r="G432" s="15" t="s">
        <v>28</v>
      </c>
      <c r="H432" s="16">
        <v>31286</v>
      </c>
      <c r="I432" s="15" t="s">
        <v>212</v>
      </c>
      <c r="J432" s="15" t="s">
        <v>45</v>
      </c>
      <c r="K432" s="15" t="s">
        <v>122</v>
      </c>
      <c r="L432" s="15" t="s">
        <v>263</v>
      </c>
      <c r="M432" s="15">
        <v>13</v>
      </c>
      <c r="N432" s="15">
        <v>45</v>
      </c>
      <c r="O432" s="15">
        <v>15</v>
      </c>
      <c r="P432" s="15">
        <v>497.25</v>
      </c>
      <c r="Q432" s="15">
        <v>2</v>
      </c>
      <c r="R432" s="15" t="s">
        <v>34</v>
      </c>
      <c r="S432" s="15" t="s">
        <v>49</v>
      </c>
      <c r="T432" s="15" t="s">
        <v>62</v>
      </c>
      <c r="U432" s="18" t="s">
        <v>1855</v>
      </c>
      <c r="V432" s="15" t="s">
        <v>38</v>
      </c>
      <c r="W432" s="15">
        <f t="shared" ca="1" si="12"/>
        <v>41</v>
      </c>
      <c r="X432" s="15">
        <f t="shared" si="13"/>
        <v>11</v>
      </c>
      <c r="Y432" s="15" t="str" cm="1">
        <f t="array" ref="Y432">_xlfn.IFS(ISERROR(X432), "Pending", X432&lt;=5, "On Time", X432&gt;5, "Delayed")</f>
        <v>Delayed</v>
      </c>
    </row>
    <row r="433" spans="1:25" x14ac:dyDescent="0.3">
      <c r="A433" s="19" t="s">
        <v>1856</v>
      </c>
      <c r="B433" s="19" t="s">
        <v>251</v>
      </c>
      <c r="C433" s="19" t="s">
        <v>40</v>
      </c>
      <c r="D433" s="20">
        <v>46036</v>
      </c>
      <c r="E433" s="20">
        <v>46046</v>
      </c>
      <c r="F433" s="19" t="s">
        <v>254</v>
      </c>
      <c r="G433" s="19" t="s">
        <v>28</v>
      </c>
      <c r="H433" s="20">
        <v>27520</v>
      </c>
      <c r="I433" s="19" t="s">
        <v>105</v>
      </c>
      <c r="J433" s="19" t="s">
        <v>106</v>
      </c>
      <c r="K433" s="19" t="s">
        <v>46</v>
      </c>
      <c r="L433" s="19" t="s">
        <v>47</v>
      </c>
      <c r="M433" s="19">
        <v>7</v>
      </c>
      <c r="N433" s="19">
        <v>12000</v>
      </c>
      <c r="O433" s="19">
        <v>5</v>
      </c>
      <c r="P433" s="19">
        <v>79800</v>
      </c>
      <c r="Q433" s="19">
        <v>4</v>
      </c>
      <c r="R433" s="19" t="s">
        <v>79</v>
      </c>
      <c r="S433" s="19" t="s">
        <v>151</v>
      </c>
      <c r="T433" s="19" t="s">
        <v>256</v>
      </c>
      <c r="U433" s="21" t="s">
        <v>1858</v>
      </c>
      <c r="V433" s="19" t="s">
        <v>69</v>
      </c>
      <c r="W433" s="19">
        <f t="shared" ca="1" si="12"/>
        <v>51</v>
      </c>
      <c r="X433" s="19">
        <f t="shared" si="13"/>
        <v>10</v>
      </c>
      <c r="Y433" s="19" t="str" cm="1">
        <f t="array" ref="Y433">_xlfn.IFS(ISERROR(X433), "Pending", X433&lt;=5, "On Time", X433&gt;5, "Delayed")</f>
        <v>Delayed</v>
      </c>
    </row>
    <row r="434" spans="1:25" x14ac:dyDescent="0.3">
      <c r="A434" s="15" t="s">
        <v>1859</v>
      </c>
      <c r="B434" s="15" t="s">
        <v>327</v>
      </c>
      <c r="C434" s="15" t="s">
        <v>222</v>
      </c>
      <c r="D434" s="16">
        <v>46152</v>
      </c>
      <c r="E434" s="15"/>
      <c r="F434" s="15" t="s">
        <v>394</v>
      </c>
      <c r="G434" s="15" t="s">
        <v>76</v>
      </c>
      <c r="H434" s="16">
        <v>35514</v>
      </c>
      <c r="I434" s="15" t="s">
        <v>294</v>
      </c>
      <c r="J434" s="15" t="s">
        <v>295</v>
      </c>
      <c r="K434" s="15" t="s">
        <v>122</v>
      </c>
      <c r="L434" s="15" t="s">
        <v>227</v>
      </c>
      <c r="M434" s="15">
        <v>8</v>
      </c>
      <c r="N434" s="15">
        <v>20</v>
      </c>
      <c r="O434" s="15">
        <v>0</v>
      </c>
      <c r="P434" s="15">
        <v>160</v>
      </c>
      <c r="Q434" s="15">
        <v>4</v>
      </c>
      <c r="R434" s="15" t="s">
        <v>79</v>
      </c>
      <c r="S434" s="15" t="s">
        <v>61</v>
      </c>
      <c r="T434" s="15" t="s">
        <v>332</v>
      </c>
      <c r="U434" s="18" t="s">
        <v>1861</v>
      </c>
      <c r="V434" s="15" t="s">
        <v>64</v>
      </c>
      <c r="W434" s="15">
        <f t="shared" ca="1" si="12"/>
        <v>29</v>
      </c>
      <c r="X434" s="15" t="e">
        <f t="shared" si="13"/>
        <v>#NUM!</v>
      </c>
      <c r="Y434" s="15" t="str" cm="1">
        <f t="array" ref="Y434">_xlfn.IFS(ISERROR(X434), "Pending", X434&lt;=5, "On Time", X434&gt;5, "Delayed")</f>
        <v>Pending</v>
      </c>
    </row>
    <row r="435" spans="1:25" x14ac:dyDescent="0.3">
      <c r="A435" s="19" t="s">
        <v>1862</v>
      </c>
      <c r="B435" s="19" t="s">
        <v>23</v>
      </c>
      <c r="C435" s="19" t="s">
        <v>92</v>
      </c>
      <c r="D435" s="20">
        <v>45689</v>
      </c>
      <c r="E435" s="20">
        <v>45694</v>
      </c>
      <c r="F435" s="19" t="s">
        <v>27</v>
      </c>
      <c r="G435" s="19" t="s">
        <v>28</v>
      </c>
      <c r="H435" s="20">
        <v>35538</v>
      </c>
      <c r="I435" s="19" t="s">
        <v>294</v>
      </c>
      <c r="J435" s="19" t="s">
        <v>295</v>
      </c>
      <c r="K435" s="19" t="s">
        <v>32</v>
      </c>
      <c r="L435" s="19" t="s">
        <v>97</v>
      </c>
      <c r="M435" s="19">
        <v>16</v>
      </c>
      <c r="N435" s="19">
        <v>3500</v>
      </c>
      <c r="O435" s="19">
        <v>5</v>
      </c>
      <c r="P435" s="19">
        <v>53200</v>
      </c>
      <c r="Q435" s="19">
        <v>1</v>
      </c>
      <c r="R435" s="19" t="s">
        <v>79</v>
      </c>
      <c r="S435" s="19" t="s">
        <v>61</v>
      </c>
      <c r="T435" s="19" t="s">
        <v>50</v>
      </c>
      <c r="U435" s="21" t="s">
        <v>1865</v>
      </c>
      <c r="V435" s="19" t="s">
        <v>69</v>
      </c>
      <c r="W435" s="19">
        <f t="shared" ca="1" si="12"/>
        <v>29</v>
      </c>
      <c r="X435" s="19">
        <f t="shared" si="13"/>
        <v>5</v>
      </c>
      <c r="Y435" s="19" t="str" cm="1">
        <f t="array" ref="Y435">_xlfn.IFS(ISERROR(X435), "Pending", X435&lt;=5, "On Time", X435&gt;5, "Delayed")</f>
        <v>On Time</v>
      </c>
    </row>
    <row r="436" spans="1:25" x14ac:dyDescent="0.3">
      <c r="A436" s="15" t="s">
        <v>1866</v>
      </c>
      <c r="B436" s="15" t="s">
        <v>327</v>
      </c>
      <c r="C436" s="15" t="s">
        <v>169</v>
      </c>
      <c r="D436" s="16">
        <v>45710</v>
      </c>
      <c r="E436" s="16">
        <v>45720</v>
      </c>
      <c r="F436" s="15" t="s">
        <v>394</v>
      </c>
      <c r="G436" s="15" t="s">
        <v>76</v>
      </c>
      <c r="H436" s="16">
        <v>36308</v>
      </c>
      <c r="I436" s="15" t="s">
        <v>105</v>
      </c>
      <c r="J436" s="15" t="s">
        <v>106</v>
      </c>
      <c r="K436" s="15" t="s">
        <v>32</v>
      </c>
      <c r="L436" s="15" t="s">
        <v>174</v>
      </c>
      <c r="M436" s="15">
        <v>12</v>
      </c>
      <c r="N436" s="15">
        <v>8500</v>
      </c>
      <c r="O436" s="15">
        <v>10</v>
      </c>
      <c r="P436" s="15">
        <v>91800</v>
      </c>
      <c r="Q436" s="15">
        <v>3</v>
      </c>
      <c r="R436" s="15" t="s">
        <v>79</v>
      </c>
      <c r="S436" s="15" t="s">
        <v>35</v>
      </c>
      <c r="T436" s="15" t="s">
        <v>332</v>
      </c>
      <c r="U436" s="18" t="s">
        <v>1869</v>
      </c>
      <c r="V436" s="15" t="s">
        <v>38</v>
      </c>
      <c r="W436" s="15">
        <f t="shared" ca="1" si="12"/>
        <v>27</v>
      </c>
      <c r="X436" s="15">
        <f t="shared" si="13"/>
        <v>10</v>
      </c>
      <c r="Y436" s="15" t="str" cm="1">
        <f t="array" ref="Y436">_xlfn.IFS(ISERROR(X436), "Pending", X436&lt;=5, "On Time", X436&gt;5, "Delayed")</f>
        <v>Delayed</v>
      </c>
    </row>
    <row r="437" spans="1:25" x14ac:dyDescent="0.3">
      <c r="A437" s="19" t="s">
        <v>1870</v>
      </c>
      <c r="B437" s="19" t="s">
        <v>23</v>
      </c>
      <c r="C437" s="19" t="s">
        <v>118</v>
      </c>
      <c r="D437" s="20">
        <v>45765</v>
      </c>
      <c r="E437" s="20">
        <v>45767</v>
      </c>
      <c r="F437" s="19" t="s">
        <v>27</v>
      </c>
      <c r="G437" s="19" t="s">
        <v>28</v>
      </c>
      <c r="H437" s="20">
        <v>30492</v>
      </c>
      <c r="I437" s="19" t="s">
        <v>138</v>
      </c>
      <c r="J437" s="19" t="s">
        <v>106</v>
      </c>
      <c r="K437" s="19" t="s">
        <v>122</v>
      </c>
      <c r="L437" s="19" t="s">
        <v>123</v>
      </c>
      <c r="M437" s="19">
        <v>1</v>
      </c>
      <c r="N437" s="19">
        <v>60</v>
      </c>
      <c r="O437" s="19">
        <v>20</v>
      </c>
      <c r="P437" s="19">
        <v>48</v>
      </c>
      <c r="Q437" s="19">
        <v>2</v>
      </c>
      <c r="R437" s="19" t="s">
        <v>79</v>
      </c>
      <c r="S437" s="19" t="s">
        <v>151</v>
      </c>
      <c r="T437" s="19" t="s">
        <v>50</v>
      </c>
      <c r="U437" s="21" t="s">
        <v>1872</v>
      </c>
      <c r="V437" s="19" t="s">
        <v>38</v>
      </c>
      <c r="W437" s="19">
        <f t="shared" ca="1" si="12"/>
        <v>43</v>
      </c>
      <c r="X437" s="19">
        <f t="shared" si="13"/>
        <v>2</v>
      </c>
      <c r="Y437" s="19" t="str" cm="1">
        <f t="array" ref="Y437">_xlfn.IFS(ISERROR(X437), "Pending", X437&lt;=5, "On Time", X437&gt;5, "Delayed")</f>
        <v>On Time</v>
      </c>
    </row>
    <row r="438" spans="1:25" x14ac:dyDescent="0.3">
      <c r="A438" s="15" t="s">
        <v>1873</v>
      </c>
      <c r="B438" s="15" t="s">
        <v>127</v>
      </c>
      <c r="C438" s="15" t="s">
        <v>118</v>
      </c>
      <c r="D438" s="16">
        <v>45967</v>
      </c>
      <c r="E438" s="16">
        <v>45972</v>
      </c>
      <c r="F438" s="15" t="s">
        <v>200</v>
      </c>
      <c r="G438" s="15" t="s">
        <v>76</v>
      </c>
      <c r="H438" s="16">
        <v>33995</v>
      </c>
      <c r="I438" s="15" t="s">
        <v>30</v>
      </c>
      <c r="J438" s="15" t="s">
        <v>31</v>
      </c>
      <c r="K438" s="15" t="s">
        <v>122</v>
      </c>
      <c r="L438" s="15" t="s">
        <v>123</v>
      </c>
      <c r="M438" s="15">
        <v>3</v>
      </c>
      <c r="N438" s="15">
        <v>60</v>
      </c>
      <c r="O438" s="15">
        <v>15</v>
      </c>
      <c r="P438" s="15">
        <v>153</v>
      </c>
      <c r="Q438" s="15">
        <v>4</v>
      </c>
      <c r="R438" s="15" t="s">
        <v>79</v>
      </c>
      <c r="S438" s="15" t="s">
        <v>35</v>
      </c>
      <c r="T438" s="15" t="s">
        <v>132</v>
      </c>
      <c r="U438" s="18" t="s">
        <v>1875</v>
      </c>
      <c r="V438" s="15" t="s">
        <v>38</v>
      </c>
      <c r="W438" s="15">
        <f t="shared" ca="1" si="12"/>
        <v>33</v>
      </c>
      <c r="X438" s="15">
        <f t="shared" si="13"/>
        <v>5</v>
      </c>
      <c r="Y438" s="15" t="str" cm="1">
        <f t="array" ref="Y438">_xlfn.IFS(ISERROR(X438), "Pending", X438&lt;=5, "On Time", X438&gt;5, "Delayed")</f>
        <v>On Time</v>
      </c>
    </row>
    <row r="439" spans="1:25" x14ac:dyDescent="0.3">
      <c r="A439" s="19" t="s">
        <v>1876</v>
      </c>
      <c r="B439" s="19" t="s">
        <v>100</v>
      </c>
      <c r="C439" s="19" t="s">
        <v>184</v>
      </c>
      <c r="D439" s="20">
        <v>45736</v>
      </c>
      <c r="E439" s="20">
        <v>45741</v>
      </c>
      <c r="F439" s="19" t="s">
        <v>103</v>
      </c>
      <c r="G439" s="19" t="s">
        <v>28</v>
      </c>
      <c r="H439" s="20">
        <v>28917</v>
      </c>
      <c r="I439" s="19" t="s">
        <v>294</v>
      </c>
      <c r="J439" s="19" t="s">
        <v>295</v>
      </c>
      <c r="K439" s="19" t="s">
        <v>46</v>
      </c>
      <c r="L439" s="19" t="s">
        <v>189</v>
      </c>
      <c r="M439" s="19">
        <v>10</v>
      </c>
      <c r="N439" s="19">
        <v>700</v>
      </c>
      <c r="O439" s="19">
        <v>15</v>
      </c>
      <c r="P439" s="19">
        <v>5950</v>
      </c>
      <c r="Q439" s="19">
        <v>3</v>
      </c>
      <c r="R439" s="19" t="s">
        <v>48</v>
      </c>
      <c r="S439" s="19" t="s">
        <v>35</v>
      </c>
      <c r="T439" s="19" t="s">
        <v>144</v>
      </c>
      <c r="U439" s="21" t="s">
        <v>1878</v>
      </c>
      <c r="V439" s="19" t="s">
        <v>64</v>
      </c>
      <c r="W439" s="19">
        <f t="shared" ca="1" si="12"/>
        <v>47</v>
      </c>
      <c r="X439" s="19">
        <f t="shared" si="13"/>
        <v>5</v>
      </c>
      <c r="Y439" s="19" t="str" cm="1">
        <f t="array" ref="Y439">_xlfn.IFS(ISERROR(X439), "Pending", X439&lt;=5, "On Time", X439&gt;5, "Delayed")</f>
        <v>On Time</v>
      </c>
    </row>
    <row r="440" spans="1:25" x14ac:dyDescent="0.3">
      <c r="A440" s="15" t="s">
        <v>1879</v>
      </c>
      <c r="B440" s="15" t="s">
        <v>83</v>
      </c>
      <c r="C440" s="15" t="s">
        <v>222</v>
      </c>
      <c r="D440" s="16">
        <v>45952</v>
      </c>
      <c r="E440" s="16">
        <v>45955</v>
      </c>
      <c r="F440" s="15" t="s">
        <v>180</v>
      </c>
      <c r="G440" s="15" t="s">
        <v>76</v>
      </c>
      <c r="H440" s="16">
        <v>28016</v>
      </c>
      <c r="I440" s="15" t="s">
        <v>138</v>
      </c>
      <c r="J440" s="15" t="s">
        <v>106</v>
      </c>
      <c r="K440" s="15" t="s">
        <v>122</v>
      </c>
      <c r="L440" s="15" t="s">
        <v>227</v>
      </c>
      <c r="M440" s="15">
        <v>2</v>
      </c>
      <c r="N440" s="15">
        <v>20</v>
      </c>
      <c r="O440" s="15">
        <v>10</v>
      </c>
      <c r="P440" s="15">
        <v>36</v>
      </c>
      <c r="Q440" s="15">
        <v>2</v>
      </c>
      <c r="R440" s="15" t="s">
        <v>88</v>
      </c>
      <c r="S440" s="15" t="s">
        <v>61</v>
      </c>
      <c r="T440" s="15" t="s">
        <v>89</v>
      </c>
      <c r="U440" s="18" t="s">
        <v>1883</v>
      </c>
      <c r="V440" s="15" t="s">
        <v>38</v>
      </c>
      <c r="W440" s="15">
        <f t="shared" ca="1" si="12"/>
        <v>49</v>
      </c>
      <c r="X440" s="15">
        <f t="shared" si="13"/>
        <v>3</v>
      </c>
      <c r="Y440" s="15" t="str" cm="1">
        <f t="array" ref="Y440">_xlfn.IFS(ISERROR(X440), "Pending", X440&lt;=5, "On Time", X440&gt;5, "Delayed")</f>
        <v>On Time</v>
      </c>
    </row>
    <row r="441" spans="1:25" x14ac:dyDescent="0.3">
      <c r="A441" s="19" t="s">
        <v>1884</v>
      </c>
      <c r="B441" s="19" t="s">
        <v>83</v>
      </c>
      <c r="C441" s="19" t="s">
        <v>222</v>
      </c>
      <c r="D441" s="20">
        <v>46022</v>
      </c>
      <c r="E441" s="20">
        <v>46027</v>
      </c>
      <c r="F441" s="19" t="s">
        <v>180</v>
      </c>
      <c r="G441" s="19" t="s">
        <v>76</v>
      </c>
      <c r="H441" s="20">
        <v>33446</v>
      </c>
      <c r="I441" s="19" t="s">
        <v>44</v>
      </c>
      <c r="J441" s="19" t="s">
        <v>45</v>
      </c>
      <c r="K441" s="19" t="s">
        <v>122</v>
      </c>
      <c r="L441" s="19" t="s">
        <v>227</v>
      </c>
      <c r="M441" s="19">
        <v>14</v>
      </c>
      <c r="N441" s="19">
        <v>20</v>
      </c>
      <c r="O441" s="19">
        <v>20</v>
      </c>
      <c r="P441" s="19">
        <v>224</v>
      </c>
      <c r="Q441" s="19">
        <v>5</v>
      </c>
      <c r="R441" s="19" t="s">
        <v>34</v>
      </c>
      <c r="S441" s="19" t="s">
        <v>151</v>
      </c>
      <c r="T441" s="19" t="s">
        <v>89</v>
      </c>
      <c r="U441" s="21" t="s">
        <v>1887</v>
      </c>
      <c r="V441" s="19" t="s">
        <v>64</v>
      </c>
      <c r="W441" s="19">
        <f t="shared" ca="1" si="12"/>
        <v>35</v>
      </c>
      <c r="X441" s="19">
        <f t="shared" si="13"/>
        <v>5</v>
      </c>
      <c r="Y441" s="19" t="str" cm="1">
        <f t="array" ref="Y441">_xlfn.IFS(ISERROR(X441), "Pending", X441&lt;=5, "On Time", X441&gt;5, "Delayed")</f>
        <v>On Time</v>
      </c>
    </row>
    <row r="442" spans="1:25" x14ac:dyDescent="0.3">
      <c r="A442" s="15" t="s">
        <v>1888</v>
      </c>
      <c r="B442" s="15" t="s">
        <v>327</v>
      </c>
      <c r="C442" s="15" t="s">
        <v>92</v>
      </c>
      <c r="D442" s="16">
        <v>45829</v>
      </c>
      <c r="E442" s="16">
        <v>45833</v>
      </c>
      <c r="F442" s="15" t="s">
        <v>394</v>
      </c>
      <c r="G442" s="15" t="s">
        <v>76</v>
      </c>
      <c r="H442" s="16">
        <v>32075</v>
      </c>
      <c r="I442" s="15" t="s">
        <v>138</v>
      </c>
      <c r="J442" s="15" t="s">
        <v>106</v>
      </c>
      <c r="K442" s="15" t="s">
        <v>32</v>
      </c>
      <c r="L442" s="15" t="s">
        <v>97</v>
      </c>
      <c r="M442" s="15">
        <v>4</v>
      </c>
      <c r="N442" s="15">
        <v>3500</v>
      </c>
      <c r="O442" s="15">
        <v>0</v>
      </c>
      <c r="P442" s="15">
        <v>14000</v>
      </c>
      <c r="Q442" s="15">
        <v>2</v>
      </c>
      <c r="R442" s="15" t="s">
        <v>88</v>
      </c>
      <c r="S442" s="15" t="s">
        <v>35</v>
      </c>
      <c r="T442" s="15" t="s">
        <v>332</v>
      </c>
      <c r="U442" s="18" t="s">
        <v>1890</v>
      </c>
      <c r="V442" s="15" t="s">
        <v>69</v>
      </c>
      <c r="W442" s="15">
        <f t="shared" ca="1" si="12"/>
        <v>38</v>
      </c>
      <c r="X442" s="15">
        <f t="shared" si="13"/>
        <v>4</v>
      </c>
      <c r="Y442" s="15" t="str" cm="1">
        <f t="array" ref="Y442">_xlfn.IFS(ISERROR(X442), "Pending", X442&lt;=5, "On Time", X442&gt;5, "Delayed")</f>
        <v>On Time</v>
      </c>
    </row>
    <row r="443" spans="1:25" x14ac:dyDescent="0.3">
      <c r="A443" s="19" t="s">
        <v>1891</v>
      </c>
      <c r="B443" s="19" t="s">
        <v>83</v>
      </c>
      <c r="C443" s="19" t="s">
        <v>92</v>
      </c>
      <c r="D443" s="20">
        <v>45812</v>
      </c>
      <c r="E443" s="20">
        <v>45813</v>
      </c>
      <c r="F443" s="19" t="s">
        <v>180</v>
      </c>
      <c r="G443" s="19" t="s">
        <v>76</v>
      </c>
      <c r="H443" s="20">
        <v>30570</v>
      </c>
      <c r="I443" s="19" t="s">
        <v>212</v>
      </c>
      <c r="J443" s="19" t="s">
        <v>45</v>
      </c>
      <c r="K443" s="19" t="s">
        <v>32</v>
      </c>
      <c r="L443" s="19" t="s">
        <v>97</v>
      </c>
      <c r="M443" s="19">
        <v>9</v>
      </c>
      <c r="N443" s="19">
        <v>3500</v>
      </c>
      <c r="O443" s="19">
        <v>5</v>
      </c>
      <c r="P443" s="19">
        <v>29925</v>
      </c>
      <c r="Q443" s="19">
        <v>3</v>
      </c>
      <c r="R443" s="19" t="s">
        <v>79</v>
      </c>
      <c r="S443" s="19" t="s">
        <v>61</v>
      </c>
      <c r="T443" s="19" t="s">
        <v>89</v>
      </c>
      <c r="U443" s="21" t="s">
        <v>1893</v>
      </c>
      <c r="V443" s="19" t="s">
        <v>38</v>
      </c>
      <c r="W443" s="19">
        <f t="shared" ca="1" si="12"/>
        <v>42</v>
      </c>
      <c r="X443" s="19">
        <f t="shared" si="13"/>
        <v>1</v>
      </c>
      <c r="Y443" s="19" t="str" cm="1">
        <f t="array" ref="Y443">_xlfn.IFS(ISERROR(X443), "Pending", X443&lt;=5, "On Time", X443&gt;5, "Delayed")</f>
        <v>On Time</v>
      </c>
    </row>
    <row r="444" spans="1:25" x14ac:dyDescent="0.3">
      <c r="A444" s="15" t="s">
        <v>1894</v>
      </c>
      <c r="B444" s="15" t="s">
        <v>127</v>
      </c>
      <c r="C444" s="15" t="s">
        <v>118</v>
      </c>
      <c r="D444" s="16">
        <v>45807</v>
      </c>
      <c r="E444" s="16">
        <v>45811</v>
      </c>
      <c r="F444" s="15" t="s">
        <v>200</v>
      </c>
      <c r="G444" s="15" t="s">
        <v>76</v>
      </c>
      <c r="H444" s="16">
        <v>30678</v>
      </c>
      <c r="I444" s="15" t="s">
        <v>105</v>
      </c>
      <c r="J444" s="15" t="s">
        <v>106</v>
      </c>
      <c r="K444" s="15" t="s">
        <v>122</v>
      </c>
      <c r="L444" s="15" t="s">
        <v>123</v>
      </c>
      <c r="M444" s="15">
        <v>9</v>
      </c>
      <c r="N444" s="15">
        <v>60</v>
      </c>
      <c r="O444" s="15">
        <v>0</v>
      </c>
      <c r="P444" s="15">
        <v>540</v>
      </c>
      <c r="Q444" s="15">
        <v>3</v>
      </c>
      <c r="R444" s="15" t="s">
        <v>88</v>
      </c>
      <c r="S444" s="15" t="s">
        <v>35</v>
      </c>
      <c r="T444" s="15" t="s">
        <v>132</v>
      </c>
      <c r="U444" s="18" t="s">
        <v>1896</v>
      </c>
      <c r="V444" s="15" t="s">
        <v>64</v>
      </c>
      <c r="W444" s="15">
        <f t="shared" ca="1" si="12"/>
        <v>42</v>
      </c>
      <c r="X444" s="15">
        <f t="shared" si="13"/>
        <v>4</v>
      </c>
      <c r="Y444" s="15" t="str" cm="1">
        <f t="array" ref="Y444">_xlfn.IFS(ISERROR(X444), "Pending", X444&lt;=5, "On Time", X444&gt;5, "Delayed")</f>
        <v>On Time</v>
      </c>
    </row>
    <row r="445" spans="1:25" x14ac:dyDescent="0.3">
      <c r="A445" s="19" t="s">
        <v>1897</v>
      </c>
      <c r="B445" s="19" t="s">
        <v>168</v>
      </c>
      <c r="C445" s="19" t="s">
        <v>72</v>
      </c>
      <c r="D445" s="20">
        <v>45779</v>
      </c>
      <c r="E445" s="20">
        <v>45780</v>
      </c>
      <c r="F445" s="19" t="s">
        <v>361</v>
      </c>
      <c r="G445" s="19" t="s">
        <v>28</v>
      </c>
      <c r="H445" s="20">
        <v>33862</v>
      </c>
      <c r="I445" s="19" t="s">
        <v>138</v>
      </c>
      <c r="J445" s="19" t="s">
        <v>106</v>
      </c>
      <c r="K445" s="19" t="s">
        <v>46</v>
      </c>
      <c r="L445" s="19" t="s">
        <v>78</v>
      </c>
      <c r="M445" s="19">
        <v>4</v>
      </c>
      <c r="N445" s="19">
        <v>1200</v>
      </c>
      <c r="O445" s="19">
        <v>0</v>
      </c>
      <c r="P445" s="19">
        <v>4800</v>
      </c>
      <c r="Q445" s="19">
        <v>1</v>
      </c>
      <c r="R445" s="19" t="s">
        <v>48</v>
      </c>
      <c r="S445" s="19" t="s">
        <v>61</v>
      </c>
      <c r="T445" s="19" t="s">
        <v>175</v>
      </c>
      <c r="U445" s="21" t="s">
        <v>1900</v>
      </c>
      <c r="V445" s="19" t="s">
        <v>38</v>
      </c>
      <c r="W445" s="19">
        <f t="shared" ca="1" si="12"/>
        <v>33</v>
      </c>
      <c r="X445" s="19">
        <f t="shared" si="13"/>
        <v>1</v>
      </c>
      <c r="Y445" s="19" t="str" cm="1">
        <f t="array" ref="Y445">_xlfn.IFS(ISERROR(X445), "Pending", X445&lt;=5, "On Time", X445&gt;5, "Delayed")</f>
        <v>On Time</v>
      </c>
    </row>
    <row r="446" spans="1:25" x14ac:dyDescent="0.3">
      <c r="A446" s="15" t="s">
        <v>1901</v>
      </c>
      <c r="B446" s="15" t="s">
        <v>53</v>
      </c>
      <c r="C446" s="15" t="s">
        <v>54</v>
      </c>
      <c r="D446" s="16">
        <v>45691</v>
      </c>
      <c r="E446" s="16">
        <v>45701</v>
      </c>
      <c r="F446" s="15" t="s">
        <v>163</v>
      </c>
      <c r="G446" s="15" t="s">
        <v>28</v>
      </c>
      <c r="H446" s="16">
        <v>36411</v>
      </c>
      <c r="I446" s="15" t="s">
        <v>30</v>
      </c>
      <c r="J446" s="15" t="s">
        <v>31</v>
      </c>
      <c r="K446" s="15" t="s">
        <v>46</v>
      </c>
      <c r="L446" s="15" t="s">
        <v>60</v>
      </c>
      <c r="M446" s="15">
        <v>10</v>
      </c>
      <c r="N446" s="15">
        <v>55000</v>
      </c>
      <c r="O446" s="15">
        <v>5</v>
      </c>
      <c r="P446" s="15">
        <v>522500</v>
      </c>
      <c r="Q446" s="15">
        <v>5</v>
      </c>
      <c r="R446" s="15" t="s">
        <v>88</v>
      </c>
      <c r="S446" s="15" t="s">
        <v>115</v>
      </c>
      <c r="T446" s="15" t="s">
        <v>62</v>
      </c>
      <c r="U446" s="18" t="s">
        <v>1903</v>
      </c>
      <c r="V446" s="15" t="s">
        <v>38</v>
      </c>
      <c r="W446" s="15">
        <f t="shared" ca="1" si="12"/>
        <v>26</v>
      </c>
      <c r="X446" s="15">
        <f t="shared" si="13"/>
        <v>10</v>
      </c>
      <c r="Y446" s="15" t="str" cm="1">
        <f t="array" ref="Y446">_xlfn.IFS(ISERROR(X446), "Pending", X446&lt;=5, "On Time", X446&gt;5, "Delayed")</f>
        <v>Delayed</v>
      </c>
    </row>
    <row r="447" spans="1:25" x14ac:dyDescent="0.3">
      <c r="A447" s="19" t="s">
        <v>1904</v>
      </c>
      <c r="B447" s="19" t="s">
        <v>221</v>
      </c>
      <c r="C447" s="19" t="s">
        <v>259</v>
      </c>
      <c r="D447" s="20">
        <v>45837</v>
      </c>
      <c r="E447" s="20">
        <v>45844</v>
      </c>
      <c r="F447" s="19" t="s">
        <v>225</v>
      </c>
      <c r="G447" s="19" t="s">
        <v>76</v>
      </c>
      <c r="H447" s="20">
        <v>32931</v>
      </c>
      <c r="I447" s="19" t="s">
        <v>30</v>
      </c>
      <c r="J447" s="19" t="s">
        <v>31</v>
      </c>
      <c r="K447" s="19" t="s">
        <v>122</v>
      </c>
      <c r="L447" s="19" t="s">
        <v>263</v>
      </c>
      <c r="M447" s="19">
        <v>20</v>
      </c>
      <c r="N447" s="19">
        <v>45</v>
      </c>
      <c r="O447" s="19">
        <v>15</v>
      </c>
      <c r="P447" s="19">
        <v>765</v>
      </c>
      <c r="Q447" s="19">
        <v>2</v>
      </c>
      <c r="R447" s="19" t="s">
        <v>79</v>
      </c>
      <c r="S447" s="19" t="s">
        <v>35</v>
      </c>
      <c r="T447" s="19" t="s">
        <v>228</v>
      </c>
      <c r="U447" s="21" t="s">
        <v>1907</v>
      </c>
      <c r="V447" s="19" t="s">
        <v>69</v>
      </c>
      <c r="W447" s="19">
        <f t="shared" ca="1" si="12"/>
        <v>36</v>
      </c>
      <c r="X447" s="19">
        <f t="shared" si="13"/>
        <v>7</v>
      </c>
      <c r="Y447" s="19" t="str" cm="1">
        <f t="array" ref="Y447">_xlfn.IFS(ISERROR(X447), "Pending", X447&lt;=5, "On Time", X447&gt;5, "Delayed")</f>
        <v>Delayed</v>
      </c>
    </row>
    <row r="448" spans="1:25" x14ac:dyDescent="0.3">
      <c r="A448" s="15" t="s">
        <v>1908</v>
      </c>
      <c r="B448" s="15" t="s">
        <v>23</v>
      </c>
      <c r="C448" s="15" t="s">
        <v>222</v>
      </c>
      <c r="D448" s="16">
        <v>46065</v>
      </c>
      <c r="E448" s="16">
        <v>46075</v>
      </c>
      <c r="F448" s="15" t="s">
        <v>27</v>
      </c>
      <c r="G448" s="15" t="s">
        <v>28</v>
      </c>
      <c r="H448" s="16">
        <v>34420</v>
      </c>
      <c r="I448" s="15" t="s">
        <v>105</v>
      </c>
      <c r="J448" s="15" t="s">
        <v>106</v>
      </c>
      <c r="K448" s="15" t="s">
        <v>122</v>
      </c>
      <c r="L448" s="15" t="s">
        <v>227</v>
      </c>
      <c r="M448" s="15">
        <v>9</v>
      </c>
      <c r="N448" s="15">
        <v>20</v>
      </c>
      <c r="O448" s="15">
        <v>20</v>
      </c>
      <c r="P448" s="15">
        <v>144</v>
      </c>
      <c r="Q448" s="15">
        <v>3</v>
      </c>
      <c r="R448" s="15" t="s">
        <v>79</v>
      </c>
      <c r="S448" s="15" t="s">
        <v>61</v>
      </c>
      <c r="T448" s="15" t="s">
        <v>50</v>
      </c>
      <c r="U448" s="18" t="s">
        <v>1910</v>
      </c>
      <c r="V448" s="15" t="s">
        <v>38</v>
      </c>
      <c r="W448" s="15">
        <f t="shared" ca="1" si="12"/>
        <v>32</v>
      </c>
      <c r="X448" s="15">
        <f t="shared" si="13"/>
        <v>10</v>
      </c>
      <c r="Y448" s="15" t="str" cm="1">
        <f t="array" ref="Y448">_xlfn.IFS(ISERROR(X448), "Pending", X448&lt;=5, "On Time", X448&gt;5, "Delayed")</f>
        <v>Delayed</v>
      </c>
    </row>
    <row r="449" spans="1:25" x14ac:dyDescent="0.3">
      <c r="A449" s="19" t="s">
        <v>1911</v>
      </c>
      <c r="B449" s="19" t="s">
        <v>23</v>
      </c>
      <c r="C449" s="19" t="s">
        <v>54</v>
      </c>
      <c r="D449" s="20">
        <v>45719</v>
      </c>
      <c r="E449" s="20">
        <v>45730</v>
      </c>
      <c r="F449" s="19" t="s">
        <v>27</v>
      </c>
      <c r="G449" s="19" t="s">
        <v>28</v>
      </c>
      <c r="H449" s="20">
        <v>29531</v>
      </c>
      <c r="I449" s="19" t="s">
        <v>114</v>
      </c>
      <c r="J449" s="19" t="s">
        <v>106</v>
      </c>
      <c r="K449" s="19" t="s">
        <v>46</v>
      </c>
      <c r="L449" s="19" t="s">
        <v>60</v>
      </c>
      <c r="M449" s="19">
        <v>8</v>
      </c>
      <c r="N449" s="19">
        <v>55000</v>
      </c>
      <c r="O449" s="19">
        <v>0</v>
      </c>
      <c r="P449" s="19">
        <v>440000</v>
      </c>
      <c r="Q449" s="19">
        <v>4</v>
      </c>
      <c r="R449" s="19" t="s">
        <v>34</v>
      </c>
      <c r="S449" s="19" t="s">
        <v>115</v>
      </c>
      <c r="T449" s="19" t="s">
        <v>50</v>
      </c>
      <c r="U449" s="21" t="s">
        <v>1914</v>
      </c>
      <c r="V449" s="19" t="s">
        <v>38</v>
      </c>
      <c r="W449" s="19">
        <f t="shared" ca="1" si="12"/>
        <v>45</v>
      </c>
      <c r="X449" s="19">
        <f t="shared" si="13"/>
        <v>11</v>
      </c>
      <c r="Y449" s="19" t="str" cm="1">
        <f t="array" ref="Y449">_xlfn.IFS(ISERROR(X449), "Pending", X449&lt;=5, "On Time", X449&gt;5, "Delayed")</f>
        <v>Delayed</v>
      </c>
    </row>
    <row r="450" spans="1:25" x14ac:dyDescent="0.3">
      <c r="A450" s="15" t="s">
        <v>1915</v>
      </c>
      <c r="B450" s="15" t="s">
        <v>327</v>
      </c>
      <c r="C450" s="15" t="s">
        <v>72</v>
      </c>
      <c r="D450" s="16">
        <v>46136</v>
      </c>
      <c r="E450" s="16">
        <v>46140</v>
      </c>
      <c r="F450" s="15" t="s">
        <v>394</v>
      </c>
      <c r="G450" s="15" t="s">
        <v>76</v>
      </c>
      <c r="H450" s="16">
        <v>36805</v>
      </c>
      <c r="I450" s="15" t="s">
        <v>138</v>
      </c>
      <c r="J450" s="15" t="s">
        <v>106</v>
      </c>
      <c r="K450" s="15" t="s">
        <v>46</v>
      </c>
      <c r="L450" s="15" t="s">
        <v>78</v>
      </c>
      <c r="M450" s="15">
        <v>4</v>
      </c>
      <c r="N450" s="15">
        <v>1200</v>
      </c>
      <c r="O450" s="15">
        <v>10</v>
      </c>
      <c r="P450" s="15">
        <v>4320</v>
      </c>
      <c r="Q450" s="15">
        <v>4</v>
      </c>
      <c r="R450" s="15" t="s">
        <v>88</v>
      </c>
      <c r="S450" s="15" t="s">
        <v>35</v>
      </c>
      <c r="T450" s="17" t="s">
        <v>1918</v>
      </c>
      <c r="U450" s="18" t="s">
        <v>1919</v>
      </c>
      <c r="V450" s="15" t="s">
        <v>69</v>
      </c>
      <c r="W450" s="15">
        <f t="shared" ca="1" si="12"/>
        <v>25</v>
      </c>
      <c r="X450" s="15">
        <f t="shared" si="13"/>
        <v>4</v>
      </c>
      <c r="Y450" s="15" t="str" cm="1">
        <f t="array" ref="Y450">_xlfn.IFS(ISERROR(X450), "Pending", X450&lt;=5, "On Time", X450&gt;5, "Delayed")</f>
        <v>On Time</v>
      </c>
    </row>
    <row r="451" spans="1:25" x14ac:dyDescent="0.3">
      <c r="A451" s="19" t="s">
        <v>1920</v>
      </c>
      <c r="B451" s="19" t="s">
        <v>327</v>
      </c>
      <c r="C451" s="19" t="s">
        <v>169</v>
      </c>
      <c r="D451" s="20">
        <v>46145</v>
      </c>
      <c r="E451" s="20">
        <v>46155</v>
      </c>
      <c r="F451" s="19" t="s">
        <v>394</v>
      </c>
      <c r="G451" s="19" t="s">
        <v>76</v>
      </c>
      <c r="H451" s="20">
        <v>35906</v>
      </c>
      <c r="I451" s="19" t="s">
        <v>294</v>
      </c>
      <c r="J451" s="19" t="s">
        <v>295</v>
      </c>
      <c r="K451" s="19" t="s">
        <v>32</v>
      </c>
      <c r="L451" s="19" t="s">
        <v>174</v>
      </c>
      <c r="M451" s="19">
        <v>14</v>
      </c>
      <c r="N451" s="19">
        <v>8500</v>
      </c>
      <c r="O451" s="19">
        <v>10</v>
      </c>
      <c r="P451" s="19">
        <v>107100</v>
      </c>
      <c r="Q451" s="19">
        <v>4</v>
      </c>
      <c r="R451" s="19" t="s">
        <v>34</v>
      </c>
      <c r="S451" s="19" t="s">
        <v>35</v>
      </c>
      <c r="T451" s="19" t="s">
        <v>332</v>
      </c>
      <c r="U451" s="21" t="s">
        <v>1922</v>
      </c>
      <c r="V451" s="19" t="s">
        <v>38</v>
      </c>
      <c r="W451" s="19">
        <f t="shared" ref="W451:W501" ca="1" si="14">DATEDIF(H451,TODAY(),"Y")</f>
        <v>28</v>
      </c>
      <c r="X451" s="19">
        <f t="shared" ref="X451:X501" si="15">DATEDIF(D451,E451,"D")</f>
        <v>10</v>
      </c>
      <c r="Y451" s="19" t="str" cm="1">
        <f t="array" ref="Y451">_xlfn.IFS(ISERROR(X451), "Pending", X451&lt;=5, "On Time", X451&gt;5, "Delayed")</f>
        <v>Delayed</v>
      </c>
    </row>
    <row r="452" spans="1:25" x14ac:dyDescent="0.3">
      <c r="A452" s="15" t="s">
        <v>1923</v>
      </c>
      <c r="B452" s="15" t="s">
        <v>71</v>
      </c>
      <c r="C452" s="15" t="s">
        <v>259</v>
      </c>
      <c r="D452" s="16">
        <v>45807</v>
      </c>
      <c r="E452" s="16">
        <v>45815</v>
      </c>
      <c r="F452" s="15" t="s">
        <v>217</v>
      </c>
      <c r="G452" s="15" t="s">
        <v>76</v>
      </c>
      <c r="H452" s="16">
        <v>30960</v>
      </c>
      <c r="I452" s="15" t="s">
        <v>30</v>
      </c>
      <c r="J452" s="15" t="s">
        <v>31</v>
      </c>
      <c r="K452" s="15" t="s">
        <v>122</v>
      </c>
      <c r="L452" s="15" t="s">
        <v>263</v>
      </c>
      <c r="M452" s="15">
        <v>1</v>
      </c>
      <c r="N452" s="15">
        <v>45</v>
      </c>
      <c r="O452" s="15">
        <v>0</v>
      </c>
      <c r="P452" s="15">
        <v>45</v>
      </c>
      <c r="Q452" s="15">
        <v>3</v>
      </c>
      <c r="R452" s="15" t="s">
        <v>88</v>
      </c>
      <c r="S452" s="15" t="s">
        <v>151</v>
      </c>
      <c r="T452" s="15" t="s">
        <v>80</v>
      </c>
      <c r="U452" s="18" t="s">
        <v>1926</v>
      </c>
      <c r="V452" s="15" t="s">
        <v>69</v>
      </c>
      <c r="W452" s="15">
        <f t="shared" ca="1" si="14"/>
        <v>41</v>
      </c>
      <c r="X452" s="15">
        <f t="shared" si="15"/>
        <v>8</v>
      </c>
      <c r="Y452" s="15" t="str" cm="1">
        <f t="array" ref="Y452">_xlfn.IFS(ISERROR(X452), "Pending", X452&lt;=5, "On Time", X452&gt;5, "Delayed")</f>
        <v>Delayed</v>
      </c>
    </row>
    <row r="453" spans="1:25" x14ac:dyDescent="0.3">
      <c r="A453" s="19" t="s">
        <v>1927</v>
      </c>
      <c r="B453" s="19" t="s">
        <v>71</v>
      </c>
      <c r="C453" s="19" t="s">
        <v>54</v>
      </c>
      <c r="D453" s="20">
        <v>45705</v>
      </c>
      <c r="E453" s="20">
        <v>45716</v>
      </c>
      <c r="F453" s="19" t="s">
        <v>217</v>
      </c>
      <c r="G453" s="19" t="s">
        <v>76</v>
      </c>
      <c r="H453" s="20">
        <v>31603</v>
      </c>
      <c r="I453" s="19" t="s">
        <v>44</v>
      </c>
      <c r="J453" s="19" t="s">
        <v>45</v>
      </c>
      <c r="K453" s="19" t="s">
        <v>46</v>
      </c>
      <c r="L453" s="19" t="s">
        <v>60</v>
      </c>
      <c r="M453" s="19">
        <v>16</v>
      </c>
      <c r="N453" s="19">
        <v>55000</v>
      </c>
      <c r="O453" s="19">
        <v>15</v>
      </c>
      <c r="P453" s="19">
        <v>748000</v>
      </c>
      <c r="Q453" s="19">
        <v>1</v>
      </c>
      <c r="R453" s="19" t="s">
        <v>79</v>
      </c>
      <c r="S453" s="19" t="s">
        <v>151</v>
      </c>
      <c r="T453" s="19" t="s">
        <v>80</v>
      </c>
      <c r="U453" s="21" t="s">
        <v>1929</v>
      </c>
      <c r="V453" s="19" t="s">
        <v>69</v>
      </c>
      <c r="W453" s="19">
        <f t="shared" ca="1" si="14"/>
        <v>40</v>
      </c>
      <c r="X453" s="19">
        <f t="shared" si="15"/>
        <v>11</v>
      </c>
      <c r="Y453" s="19" t="str" cm="1">
        <f t="array" ref="Y453">_xlfn.IFS(ISERROR(X453), "Pending", X453&lt;=5, "On Time", X453&gt;5, "Delayed")</f>
        <v>Delayed</v>
      </c>
    </row>
    <row r="454" spans="1:25" x14ac:dyDescent="0.3">
      <c r="A454" s="15" t="s">
        <v>1930</v>
      </c>
      <c r="B454" s="15" t="s">
        <v>53</v>
      </c>
      <c r="C454" s="15" t="s">
        <v>184</v>
      </c>
      <c r="D454" s="16">
        <v>46103</v>
      </c>
      <c r="E454" s="16">
        <v>46110</v>
      </c>
      <c r="F454" s="15" t="s">
        <v>163</v>
      </c>
      <c r="G454" s="15" t="s">
        <v>28</v>
      </c>
      <c r="H454" s="16">
        <v>37632</v>
      </c>
      <c r="I454" s="15" t="s">
        <v>138</v>
      </c>
      <c r="J454" s="15" t="s">
        <v>106</v>
      </c>
      <c r="K454" s="15" t="s">
        <v>46</v>
      </c>
      <c r="L454" s="15" t="s">
        <v>189</v>
      </c>
      <c r="M454" s="15">
        <v>8</v>
      </c>
      <c r="N454" s="15">
        <v>700</v>
      </c>
      <c r="O454" s="15">
        <v>0</v>
      </c>
      <c r="P454" s="15">
        <v>5600</v>
      </c>
      <c r="Q454" s="15">
        <v>3</v>
      </c>
      <c r="R454" s="15" t="s">
        <v>34</v>
      </c>
      <c r="S454" s="15" t="s">
        <v>49</v>
      </c>
      <c r="T454" s="15" t="s">
        <v>62</v>
      </c>
      <c r="U454" s="18" t="s">
        <v>1934</v>
      </c>
      <c r="V454" s="15" t="s">
        <v>38</v>
      </c>
      <c r="W454" s="15">
        <f t="shared" ca="1" si="14"/>
        <v>23</v>
      </c>
      <c r="X454" s="15">
        <f t="shared" si="15"/>
        <v>7</v>
      </c>
      <c r="Y454" s="15" t="str" cm="1">
        <f t="array" ref="Y454">_xlfn.IFS(ISERROR(X454), "Pending", X454&lt;=5, "On Time", X454&gt;5, "Delayed")</f>
        <v>Delayed</v>
      </c>
    </row>
    <row r="455" spans="1:25" x14ac:dyDescent="0.3">
      <c r="A455" s="19" t="s">
        <v>1935</v>
      </c>
      <c r="B455" s="19" t="s">
        <v>251</v>
      </c>
      <c r="C455" s="19" t="s">
        <v>72</v>
      </c>
      <c r="D455" s="20">
        <v>46114</v>
      </c>
      <c r="E455" s="20">
        <v>46125</v>
      </c>
      <c r="F455" s="19" t="s">
        <v>254</v>
      </c>
      <c r="G455" s="19" t="s">
        <v>28</v>
      </c>
      <c r="H455" s="20">
        <v>37900</v>
      </c>
      <c r="I455" s="19" t="s">
        <v>138</v>
      </c>
      <c r="J455" s="19" t="s">
        <v>106</v>
      </c>
      <c r="K455" s="19" t="s">
        <v>46</v>
      </c>
      <c r="L455" s="19" t="s">
        <v>78</v>
      </c>
      <c r="M455" s="19">
        <v>3</v>
      </c>
      <c r="N455" s="19">
        <v>1200</v>
      </c>
      <c r="O455" s="19">
        <v>0</v>
      </c>
      <c r="P455" s="19">
        <v>3600</v>
      </c>
      <c r="Q455" s="19">
        <v>1</v>
      </c>
      <c r="R455" s="19" t="s">
        <v>79</v>
      </c>
      <c r="S455" s="19" t="s">
        <v>49</v>
      </c>
      <c r="T455" s="19" t="s">
        <v>256</v>
      </c>
      <c r="U455" s="21" t="s">
        <v>1938</v>
      </c>
      <c r="V455" s="19" t="s">
        <v>69</v>
      </c>
      <c r="W455" s="19">
        <f t="shared" ca="1" si="14"/>
        <v>22</v>
      </c>
      <c r="X455" s="19">
        <f t="shared" si="15"/>
        <v>11</v>
      </c>
      <c r="Y455" s="19" t="str" cm="1">
        <f t="array" ref="Y455">_xlfn.IFS(ISERROR(X455), "Pending", X455&lt;=5, "On Time", X455&gt;5, "Delayed")</f>
        <v>Delayed</v>
      </c>
    </row>
    <row r="456" spans="1:25" x14ac:dyDescent="0.3">
      <c r="A456" s="15" t="s">
        <v>1939</v>
      </c>
      <c r="B456" s="15" t="s">
        <v>71</v>
      </c>
      <c r="C456" s="15" t="s">
        <v>92</v>
      </c>
      <c r="D456" s="16">
        <v>45706</v>
      </c>
      <c r="E456" s="16">
        <v>45714</v>
      </c>
      <c r="F456" s="15" t="s">
        <v>217</v>
      </c>
      <c r="G456" s="15" t="s">
        <v>76</v>
      </c>
      <c r="H456" s="16">
        <v>32959</v>
      </c>
      <c r="I456" s="15" t="s">
        <v>294</v>
      </c>
      <c r="J456" s="15" t="s">
        <v>295</v>
      </c>
      <c r="K456" s="15" t="s">
        <v>32</v>
      </c>
      <c r="L456" s="15" t="s">
        <v>97</v>
      </c>
      <c r="M456" s="15">
        <v>7</v>
      </c>
      <c r="N456" s="15">
        <v>3500</v>
      </c>
      <c r="O456" s="15">
        <v>15</v>
      </c>
      <c r="P456" s="15">
        <v>20825</v>
      </c>
      <c r="Q456" s="15">
        <v>4</v>
      </c>
      <c r="R456" s="15" t="s">
        <v>79</v>
      </c>
      <c r="S456" s="15" t="s">
        <v>61</v>
      </c>
      <c r="T456" s="15" t="s">
        <v>80</v>
      </c>
      <c r="U456" s="18" t="s">
        <v>1941</v>
      </c>
      <c r="V456" s="15" t="s">
        <v>64</v>
      </c>
      <c r="W456" s="15">
        <f t="shared" ca="1" si="14"/>
        <v>36</v>
      </c>
      <c r="X456" s="15">
        <f t="shared" si="15"/>
        <v>8</v>
      </c>
      <c r="Y456" s="15" t="str" cm="1">
        <f t="array" ref="Y456">_xlfn.IFS(ISERROR(X456), "Pending", X456&lt;=5, "On Time", X456&gt;5, "Delayed")</f>
        <v>Delayed</v>
      </c>
    </row>
    <row r="457" spans="1:25" x14ac:dyDescent="0.3">
      <c r="A457" s="19" t="s">
        <v>1942</v>
      </c>
      <c r="B457" s="19" t="s">
        <v>53</v>
      </c>
      <c r="C457" s="19" t="s">
        <v>54</v>
      </c>
      <c r="D457" s="20">
        <v>46110</v>
      </c>
      <c r="E457" s="20">
        <v>46116</v>
      </c>
      <c r="F457" s="19" t="s">
        <v>163</v>
      </c>
      <c r="G457" s="19" t="s">
        <v>28</v>
      </c>
      <c r="H457" s="20">
        <v>37769</v>
      </c>
      <c r="I457" s="19" t="s">
        <v>114</v>
      </c>
      <c r="J457" s="19" t="s">
        <v>106</v>
      </c>
      <c r="K457" s="19" t="s">
        <v>46</v>
      </c>
      <c r="L457" s="19" t="s">
        <v>60</v>
      </c>
      <c r="M457" s="19">
        <v>9</v>
      </c>
      <c r="N457" s="19">
        <v>55000</v>
      </c>
      <c r="O457" s="19">
        <v>15</v>
      </c>
      <c r="P457" s="19">
        <v>420750</v>
      </c>
      <c r="Q457" s="19">
        <v>3</v>
      </c>
      <c r="R457" s="19" t="s">
        <v>88</v>
      </c>
      <c r="S457" s="19" t="s">
        <v>35</v>
      </c>
      <c r="T457" s="19" t="s">
        <v>62</v>
      </c>
      <c r="U457" s="21" t="s">
        <v>1944</v>
      </c>
      <c r="V457" s="19" t="s">
        <v>69</v>
      </c>
      <c r="W457" s="19">
        <f t="shared" ca="1" si="14"/>
        <v>23</v>
      </c>
      <c r="X457" s="19">
        <f t="shared" si="15"/>
        <v>6</v>
      </c>
      <c r="Y457" s="19" t="str" cm="1">
        <f t="array" ref="Y457">_xlfn.IFS(ISERROR(X457), "Pending", X457&lt;=5, "On Time", X457&gt;5, "Delayed")</f>
        <v>Delayed</v>
      </c>
    </row>
    <row r="458" spans="1:25" x14ac:dyDescent="0.3">
      <c r="A458" s="15" t="s">
        <v>1945</v>
      </c>
      <c r="B458" s="15" t="s">
        <v>327</v>
      </c>
      <c r="C458" s="15" t="s">
        <v>40</v>
      </c>
      <c r="D458" s="16">
        <v>45992</v>
      </c>
      <c r="E458" s="16">
        <v>45993</v>
      </c>
      <c r="F458" s="15" t="s">
        <v>394</v>
      </c>
      <c r="G458" s="15" t="s">
        <v>76</v>
      </c>
      <c r="H458" s="16">
        <v>34122</v>
      </c>
      <c r="I458" s="15" t="s">
        <v>59</v>
      </c>
      <c r="J458" s="15" t="s">
        <v>31</v>
      </c>
      <c r="K458" s="15" t="s">
        <v>46</v>
      </c>
      <c r="L458" s="15" t="s">
        <v>47</v>
      </c>
      <c r="M458" s="15">
        <v>12</v>
      </c>
      <c r="N458" s="15">
        <v>12000</v>
      </c>
      <c r="O458" s="15">
        <v>0</v>
      </c>
      <c r="P458" s="15">
        <v>144000</v>
      </c>
      <c r="Q458" s="15">
        <v>3</v>
      </c>
      <c r="R458" s="15" t="s">
        <v>79</v>
      </c>
      <c r="S458" s="15" t="s">
        <v>151</v>
      </c>
      <c r="T458" s="15" t="s">
        <v>332</v>
      </c>
      <c r="U458" s="18" t="s">
        <v>1947</v>
      </c>
      <c r="V458" s="15" t="s">
        <v>69</v>
      </c>
      <c r="W458" s="15">
        <f t="shared" ca="1" si="14"/>
        <v>33</v>
      </c>
      <c r="X458" s="15">
        <f t="shared" si="15"/>
        <v>1</v>
      </c>
      <c r="Y458" s="15" t="str" cm="1">
        <f t="array" ref="Y458">_xlfn.IFS(ISERROR(X458), "Pending", X458&lt;=5, "On Time", X458&gt;5, "Delayed")</f>
        <v>On Time</v>
      </c>
    </row>
    <row r="459" spans="1:25" x14ac:dyDescent="0.3">
      <c r="A459" s="19" t="s">
        <v>1948</v>
      </c>
      <c r="B459" s="19" t="s">
        <v>100</v>
      </c>
      <c r="C459" s="19" t="s">
        <v>118</v>
      </c>
      <c r="D459" s="20">
        <v>45781</v>
      </c>
      <c r="E459" s="20">
        <v>45788</v>
      </c>
      <c r="F459" s="19" t="s">
        <v>103</v>
      </c>
      <c r="G459" s="19" t="s">
        <v>28</v>
      </c>
      <c r="H459" s="20">
        <v>27434</v>
      </c>
      <c r="I459" s="19" t="s">
        <v>138</v>
      </c>
      <c r="J459" s="19" t="s">
        <v>106</v>
      </c>
      <c r="K459" s="19" t="s">
        <v>122</v>
      </c>
      <c r="L459" s="19" t="s">
        <v>123</v>
      </c>
      <c r="M459" s="19">
        <v>7</v>
      </c>
      <c r="N459" s="19">
        <v>60</v>
      </c>
      <c r="O459" s="19">
        <v>10</v>
      </c>
      <c r="P459" s="19">
        <v>378</v>
      </c>
      <c r="Q459" s="19">
        <v>4</v>
      </c>
      <c r="R459" s="19" t="s">
        <v>34</v>
      </c>
      <c r="S459" s="19" t="s">
        <v>49</v>
      </c>
      <c r="T459" s="19" t="s">
        <v>144</v>
      </c>
      <c r="U459" s="21" t="s">
        <v>1950</v>
      </c>
      <c r="V459" s="19" t="s">
        <v>69</v>
      </c>
      <c r="W459" s="19">
        <f t="shared" ca="1" si="14"/>
        <v>51</v>
      </c>
      <c r="X459" s="19">
        <f t="shared" si="15"/>
        <v>7</v>
      </c>
      <c r="Y459" s="19" t="str" cm="1">
        <f t="array" ref="Y459">_xlfn.IFS(ISERROR(X459), "Pending", X459&lt;=5, "On Time", X459&gt;5, "Delayed")</f>
        <v>Delayed</v>
      </c>
    </row>
    <row r="460" spans="1:25" x14ac:dyDescent="0.3">
      <c r="A460" s="15" t="s">
        <v>1951</v>
      </c>
      <c r="B460" s="15" t="s">
        <v>221</v>
      </c>
      <c r="C460" s="15" t="s">
        <v>24</v>
      </c>
      <c r="D460" s="16">
        <v>45892</v>
      </c>
      <c r="E460" s="16">
        <v>45900</v>
      </c>
      <c r="F460" s="15" t="s">
        <v>225</v>
      </c>
      <c r="G460" s="15" t="s">
        <v>76</v>
      </c>
      <c r="H460" s="16">
        <v>34586</v>
      </c>
      <c r="I460" s="15" t="s">
        <v>105</v>
      </c>
      <c r="J460" s="15" t="s">
        <v>106</v>
      </c>
      <c r="K460" s="15" t="s">
        <v>32</v>
      </c>
      <c r="L460" s="15" t="s">
        <v>33</v>
      </c>
      <c r="M460" s="15">
        <v>17</v>
      </c>
      <c r="N460" s="15">
        <v>2200</v>
      </c>
      <c r="O460" s="15">
        <v>15</v>
      </c>
      <c r="P460" s="15">
        <v>31790</v>
      </c>
      <c r="Q460" s="15">
        <v>3</v>
      </c>
      <c r="R460" s="15" t="s">
        <v>88</v>
      </c>
      <c r="S460" s="15" t="s">
        <v>151</v>
      </c>
      <c r="T460" s="15" t="s">
        <v>228</v>
      </c>
      <c r="U460" s="18" t="s">
        <v>1953</v>
      </c>
      <c r="V460" s="15" t="s">
        <v>64</v>
      </c>
      <c r="W460" s="15">
        <f t="shared" ca="1" si="14"/>
        <v>31</v>
      </c>
      <c r="X460" s="15">
        <f t="shared" si="15"/>
        <v>8</v>
      </c>
      <c r="Y460" s="15" t="str" cm="1">
        <f t="array" ref="Y460">_xlfn.IFS(ISERROR(X460), "Pending", X460&lt;=5, "On Time", X460&gt;5, "Delayed")</f>
        <v>Delayed</v>
      </c>
    </row>
    <row r="461" spans="1:25" x14ac:dyDescent="0.3">
      <c r="A461" s="19" t="s">
        <v>1954</v>
      </c>
      <c r="B461" s="19" t="s">
        <v>327</v>
      </c>
      <c r="C461" s="19" t="s">
        <v>184</v>
      </c>
      <c r="D461" s="20">
        <v>45988</v>
      </c>
      <c r="E461" s="20">
        <v>45997</v>
      </c>
      <c r="F461" s="19" t="s">
        <v>394</v>
      </c>
      <c r="G461" s="19" t="s">
        <v>76</v>
      </c>
      <c r="H461" s="20">
        <v>33795</v>
      </c>
      <c r="I461" s="19" t="s">
        <v>59</v>
      </c>
      <c r="J461" s="19" t="s">
        <v>31</v>
      </c>
      <c r="K461" s="19" t="s">
        <v>46</v>
      </c>
      <c r="L461" s="19" t="s">
        <v>189</v>
      </c>
      <c r="M461" s="19">
        <v>17</v>
      </c>
      <c r="N461" s="19">
        <v>700</v>
      </c>
      <c r="O461" s="19">
        <v>10</v>
      </c>
      <c r="P461" s="19">
        <v>10710</v>
      </c>
      <c r="Q461" s="19">
        <v>2</v>
      </c>
      <c r="R461" s="19" t="s">
        <v>34</v>
      </c>
      <c r="S461" s="19" t="s">
        <v>61</v>
      </c>
      <c r="T461" s="19" t="s">
        <v>332</v>
      </c>
      <c r="U461" s="21" t="s">
        <v>1956</v>
      </c>
      <c r="V461" s="19" t="s">
        <v>64</v>
      </c>
      <c r="W461" s="19">
        <f t="shared" ca="1" si="14"/>
        <v>34</v>
      </c>
      <c r="X461" s="19">
        <f t="shared" si="15"/>
        <v>9</v>
      </c>
      <c r="Y461" s="19" t="str" cm="1">
        <f t="array" ref="Y461">_xlfn.IFS(ISERROR(X461), "Pending", X461&lt;=5, "On Time", X461&gt;5, "Delayed")</f>
        <v>Delayed</v>
      </c>
    </row>
    <row r="462" spans="1:25" x14ac:dyDescent="0.3">
      <c r="A462" s="15" t="s">
        <v>1957</v>
      </c>
      <c r="B462" s="15" t="s">
        <v>327</v>
      </c>
      <c r="C462" s="15" t="s">
        <v>54</v>
      </c>
      <c r="D462" s="16">
        <v>45806</v>
      </c>
      <c r="E462" s="16">
        <v>45809</v>
      </c>
      <c r="F462" s="15" t="s">
        <v>394</v>
      </c>
      <c r="G462" s="15" t="s">
        <v>76</v>
      </c>
      <c r="H462" s="16">
        <v>37454</v>
      </c>
      <c r="I462" s="15" t="s">
        <v>44</v>
      </c>
      <c r="J462" s="15" t="s">
        <v>45</v>
      </c>
      <c r="K462" s="15" t="s">
        <v>46</v>
      </c>
      <c r="L462" s="15" t="s">
        <v>60</v>
      </c>
      <c r="M462" s="15">
        <v>19</v>
      </c>
      <c r="N462" s="15">
        <v>55000</v>
      </c>
      <c r="O462" s="15">
        <v>20</v>
      </c>
      <c r="P462" s="15">
        <v>836000</v>
      </c>
      <c r="Q462" s="15">
        <v>5</v>
      </c>
      <c r="R462" s="15" t="s">
        <v>48</v>
      </c>
      <c r="S462" s="15" t="s">
        <v>61</v>
      </c>
      <c r="T462" s="15" t="s">
        <v>332</v>
      </c>
      <c r="U462" s="18" t="s">
        <v>1960</v>
      </c>
      <c r="V462" s="15" t="s">
        <v>38</v>
      </c>
      <c r="W462" s="15">
        <f t="shared" ca="1" si="14"/>
        <v>24</v>
      </c>
      <c r="X462" s="15">
        <f t="shared" si="15"/>
        <v>3</v>
      </c>
      <c r="Y462" s="15" t="str" cm="1">
        <f t="array" ref="Y462">_xlfn.IFS(ISERROR(X462), "Pending", X462&lt;=5, "On Time", X462&gt;5, "Delayed")</f>
        <v>On Time</v>
      </c>
    </row>
    <row r="463" spans="1:25" x14ac:dyDescent="0.3">
      <c r="A463" s="19" t="s">
        <v>1961</v>
      </c>
      <c r="B463" s="19" t="s">
        <v>127</v>
      </c>
      <c r="C463" s="19" t="s">
        <v>118</v>
      </c>
      <c r="D463" s="20">
        <v>45912</v>
      </c>
      <c r="E463" s="20">
        <v>45919</v>
      </c>
      <c r="F463" s="19" t="s">
        <v>200</v>
      </c>
      <c r="G463" s="19" t="s">
        <v>76</v>
      </c>
      <c r="H463" s="20">
        <v>36952</v>
      </c>
      <c r="I463" s="19" t="s">
        <v>44</v>
      </c>
      <c r="J463" s="19" t="s">
        <v>45</v>
      </c>
      <c r="K463" s="19" t="s">
        <v>122</v>
      </c>
      <c r="L463" s="19" t="s">
        <v>123</v>
      </c>
      <c r="M463" s="19">
        <v>1</v>
      </c>
      <c r="N463" s="19">
        <v>60</v>
      </c>
      <c r="O463" s="19">
        <v>10</v>
      </c>
      <c r="P463" s="19">
        <v>54</v>
      </c>
      <c r="Q463" s="19">
        <v>4</v>
      </c>
      <c r="R463" s="19" t="s">
        <v>48</v>
      </c>
      <c r="S463" s="19"/>
      <c r="T463" s="22" t="s">
        <v>1963</v>
      </c>
      <c r="U463" s="21" t="s">
        <v>1964</v>
      </c>
      <c r="V463" s="19" t="s">
        <v>69</v>
      </c>
      <c r="W463" s="19">
        <f t="shared" ca="1" si="14"/>
        <v>25</v>
      </c>
      <c r="X463" s="19">
        <f t="shared" si="15"/>
        <v>7</v>
      </c>
      <c r="Y463" s="19" t="str" cm="1">
        <f t="array" ref="Y463">_xlfn.IFS(ISERROR(X463), "Pending", X463&lt;=5, "On Time", X463&gt;5, "Delayed")</f>
        <v>Delayed</v>
      </c>
    </row>
    <row r="464" spans="1:25" x14ac:dyDescent="0.3">
      <c r="A464" s="15" t="s">
        <v>1965</v>
      </c>
      <c r="B464" s="15" t="s">
        <v>71</v>
      </c>
      <c r="C464" s="15" t="s">
        <v>92</v>
      </c>
      <c r="D464" s="16">
        <v>46085</v>
      </c>
      <c r="E464" s="16">
        <v>46092</v>
      </c>
      <c r="F464" s="15" t="s">
        <v>217</v>
      </c>
      <c r="G464" s="15" t="s">
        <v>76</v>
      </c>
      <c r="H464" s="16">
        <v>33047</v>
      </c>
      <c r="I464" s="15" t="s">
        <v>30</v>
      </c>
      <c r="J464" s="15" t="s">
        <v>31</v>
      </c>
      <c r="K464" s="15" t="s">
        <v>32</v>
      </c>
      <c r="L464" s="15" t="s">
        <v>97</v>
      </c>
      <c r="M464" s="15">
        <v>16</v>
      </c>
      <c r="N464" s="15">
        <v>3500</v>
      </c>
      <c r="O464" s="15">
        <v>0</v>
      </c>
      <c r="P464" s="15">
        <v>56000</v>
      </c>
      <c r="Q464" s="15">
        <v>4</v>
      </c>
      <c r="R464" s="15" t="s">
        <v>48</v>
      </c>
      <c r="S464" s="15" t="s">
        <v>35</v>
      </c>
      <c r="T464" s="15" t="s">
        <v>80</v>
      </c>
      <c r="U464" s="18" t="s">
        <v>1967</v>
      </c>
      <c r="V464" s="15" t="s">
        <v>64</v>
      </c>
      <c r="W464" s="15">
        <f t="shared" ca="1" si="14"/>
        <v>36</v>
      </c>
      <c r="X464" s="15">
        <f t="shared" si="15"/>
        <v>7</v>
      </c>
      <c r="Y464" s="15" t="str" cm="1">
        <f t="array" ref="Y464">_xlfn.IFS(ISERROR(X464), "Pending", X464&lt;=5, "On Time", X464&gt;5, "Delayed")</f>
        <v>Delayed</v>
      </c>
    </row>
    <row r="465" spans="1:25" x14ac:dyDescent="0.3">
      <c r="A465" s="19" t="s">
        <v>1968</v>
      </c>
      <c r="B465" s="19" t="s">
        <v>127</v>
      </c>
      <c r="C465" s="19" t="s">
        <v>222</v>
      </c>
      <c r="D465" s="20">
        <v>45681</v>
      </c>
      <c r="E465" s="20">
        <v>45693</v>
      </c>
      <c r="F465" s="19" t="s">
        <v>200</v>
      </c>
      <c r="G465" s="19" t="s">
        <v>76</v>
      </c>
      <c r="H465" s="20">
        <v>28623</v>
      </c>
      <c r="I465" s="19" t="s">
        <v>114</v>
      </c>
      <c r="J465" s="19" t="s">
        <v>106</v>
      </c>
      <c r="K465" s="19" t="s">
        <v>122</v>
      </c>
      <c r="L465" s="19" t="s">
        <v>227</v>
      </c>
      <c r="M465" s="19">
        <v>14</v>
      </c>
      <c r="N465" s="19">
        <v>20</v>
      </c>
      <c r="O465" s="19">
        <v>10</v>
      </c>
      <c r="P465" s="19">
        <v>252</v>
      </c>
      <c r="Q465" s="19">
        <v>1</v>
      </c>
      <c r="R465" s="19" t="s">
        <v>48</v>
      </c>
      <c r="S465" s="19" t="s">
        <v>61</v>
      </c>
      <c r="T465" s="19" t="s">
        <v>132</v>
      </c>
      <c r="U465" s="21" t="s">
        <v>1969</v>
      </c>
      <c r="V465" s="19" t="s">
        <v>64</v>
      </c>
      <c r="W465" s="19">
        <f t="shared" ca="1" si="14"/>
        <v>48</v>
      </c>
      <c r="X465" s="19">
        <f t="shared" si="15"/>
        <v>12</v>
      </c>
      <c r="Y465" s="19" t="str" cm="1">
        <f t="array" ref="Y465">_xlfn.IFS(ISERROR(X465), "Pending", X465&lt;=5, "On Time", X465&gt;5, "Delayed")</f>
        <v>Delayed</v>
      </c>
    </row>
    <row r="466" spans="1:25" x14ac:dyDescent="0.3">
      <c r="A466" s="15" t="s">
        <v>1970</v>
      </c>
      <c r="B466" s="15" t="s">
        <v>71</v>
      </c>
      <c r="C466" s="15" t="s">
        <v>24</v>
      </c>
      <c r="D466" s="16">
        <v>46004</v>
      </c>
      <c r="E466" s="16">
        <v>46005</v>
      </c>
      <c r="F466" s="15" t="s">
        <v>217</v>
      </c>
      <c r="G466" s="15" t="s">
        <v>76</v>
      </c>
      <c r="H466" s="16">
        <v>36729</v>
      </c>
      <c r="I466" s="15" t="s">
        <v>59</v>
      </c>
      <c r="J466" s="15" t="s">
        <v>31</v>
      </c>
      <c r="K466" s="15" t="s">
        <v>32</v>
      </c>
      <c r="L466" s="15" t="s">
        <v>33</v>
      </c>
      <c r="M466" s="15">
        <v>11</v>
      </c>
      <c r="N466" s="15">
        <v>2200</v>
      </c>
      <c r="O466" s="15">
        <v>15</v>
      </c>
      <c r="P466" s="15">
        <v>20570</v>
      </c>
      <c r="Q466" s="15">
        <v>4</v>
      </c>
      <c r="R466" s="15" t="s">
        <v>48</v>
      </c>
      <c r="S466" s="15" t="s">
        <v>49</v>
      </c>
      <c r="T466" s="15" t="s">
        <v>80</v>
      </c>
      <c r="U466" s="18" t="s">
        <v>1972</v>
      </c>
      <c r="V466" s="15" t="s">
        <v>69</v>
      </c>
      <c r="W466" s="15">
        <f t="shared" ca="1" si="14"/>
        <v>26</v>
      </c>
      <c r="X466" s="15">
        <f t="shared" si="15"/>
        <v>1</v>
      </c>
      <c r="Y466" s="15" t="str" cm="1">
        <f t="array" ref="Y466">_xlfn.IFS(ISERROR(X466), "Pending", X466&lt;=5, "On Time", X466&gt;5, "Delayed")</f>
        <v>On Time</v>
      </c>
    </row>
    <row r="467" spans="1:25" x14ac:dyDescent="0.3">
      <c r="A467" s="19" t="s">
        <v>1973</v>
      </c>
      <c r="B467" s="19" t="s">
        <v>83</v>
      </c>
      <c r="C467" s="19" t="s">
        <v>54</v>
      </c>
      <c r="D467" s="20">
        <v>45870</v>
      </c>
      <c r="E467" s="20">
        <v>45878</v>
      </c>
      <c r="F467" s="19" t="s">
        <v>180</v>
      </c>
      <c r="G467" s="19" t="s">
        <v>76</v>
      </c>
      <c r="H467" s="20">
        <v>31126</v>
      </c>
      <c r="I467" s="19" t="s">
        <v>212</v>
      </c>
      <c r="J467" s="19" t="s">
        <v>45</v>
      </c>
      <c r="K467" s="19" t="s">
        <v>46</v>
      </c>
      <c r="L467" s="19" t="s">
        <v>60</v>
      </c>
      <c r="M467" s="19">
        <v>2</v>
      </c>
      <c r="N467" s="19">
        <v>55000</v>
      </c>
      <c r="O467" s="19">
        <v>0</v>
      </c>
      <c r="P467" s="19">
        <v>110000</v>
      </c>
      <c r="Q467" s="19">
        <v>4</v>
      </c>
      <c r="R467" s="19" t="s">
        <v>48</v>
      </c>
      <c r="S467" s="19" t="s">
        <v>49</v>
      </c>
      <c r="T467" s="19" t="s">
        <v>89</v>
      </c>
      <c r="U467" s="21" t="s">
        <v>1975</v>
      </c>
      <c r="V467" s="19" t="s">
        <v>69</v>
      </c>
      <c r="W467" s="19">
        <f t="shared" ca="1" si="14"/>
        <v>41</v>
      </c>
      <c r="X467" s="19">
        <f t="shared" si="15"/>
        <v>8</v>
      </c>
      <c r="Y467" s="19" t="str" cm="1">
        <f t="array" ref="Y467">_xlfn.IFS(ISERROR(X467), "Pending", X467&lt;=5, "On Time", X467&gt;5, "Delayed")</f>
        <v>Delayed</v>
      </c>
    </row>
    <row r="468" spans="1:25" x14ac:dyDescent="0.3">
      <c r="A468" s="15" t="s">
        <v>1976</v>
      </c>
      <c r="B468" s="15" t="s">
        <v>53</v>
      </c>
      <c r="C468" s="15" t="s">
        <v>24</v>
      </c>
      <c r="D468" s="16">
        <v>45658</v>
      </c>
      <c r="E468" s="16">
        <v>45664</v>
      </c>
      <c r="F468" s="15" t="s">
        <v>163</v>
      </c>
      <c r="G468" s="15" t="s">
        <v>28</v>
      </c>
      <c r="H468" s="16">
        <v>32357</v>
      </c>
      <c r="I468" s="15" t="s">
        <v>114</v>
      </c>
      <c r="J468" s="15" t="s">
        <v>106</v>
      </c>
      <c r="K468" s="15" t="s">
        <v>32</v>
      </c>
      <c r="L468" s="15" t="s">
        <v>33</v>
      </c>
      <c r="M468" s="15">
        <v>7</v>
      </c>
      <c r="N468" s="15">
        <v>2200</v>
      </c>
      <c r="O468" s="15">
        <v>5</v>
      </c>
      <c r="P468" s="15">
        <v>14630</v>
      </c>
      <c r="Q468" s="15">
        <v>4</v>
      </c>
      <c r="R468" s="15" t="s">
        <v>79</v>
      </c>
      <c r="S468" s="15" t="s">
        <v>115</v>
      </c>
      <c r="T468" s="15" t="s">
        <v>62</v>
      </c>
      <c r="U468" s="18" t="s">
        <v>1978</v>
      </c>
      <c r="V468" s="15" t="s">
        <v>69</v>
      </c>
      <c r="W468" s="15">
        <f t="shared" ca="1" si="14"/>
        <v>38</v>
      </c>
      <c r="X468" s="15">
        <f t="shared" si="15"/>
        <v>6</v>
      </c>
      <c r="Y468" s="15" t="str" cm="1">
        <f t="array" ref="Y468">_xlfn.IFS(ISERROR(X468), "Pending", X468&lt;=5, "On Time", X468&gt;5, "Delayed")</f>
        <v>Delayed</v>
      </c>
    </row>
    <row r="469" spans="1:25" x14ac:dyDescent="0.3">
      <c r="A469" s="19" t="s">
        <v>1979</v>
      </c>
      <c r="B469" s="19" t="s">
        <v>23</v>
      </c>
      <c r="C469" s="19" t="s">
        <v>259</v>
      </c>
      <c r="D469" s="20">
        <v>45755</v>
      </c>
      <c r="E469" s="20">
        <v>45759</v>
      </c>
      <c r="F469" s="19" t="s">
        <v>27</v>
      </c>
      <c r="G469" s="19" t="s">
        <v>28</v>
      </c>
      <c r="H469" s="20">
        <v>35546</v>
      </c>
      <c r="I469" s="19" t="s">
        <v>138</v>
      </c>
      <c r="J469" s="19" t="s">
        <v>106</v>
      </c>
      <c r="K469" s="19" t="s">
        <v>122</v>
      </c>
      <c r="L469" s="19" t="s">
        <v>263</v>
      </c>
      <c r="M469" s="19">
        <v>11</v>
      </c>
      <c r="N469" s="19">
        <v>45</v>
      </c>
      <c r="O469" s="19">
        <v>15</v>
      </c>
      <c r="P469" s="19">
        <v>420.75</v>
      </c>
      <c r="Q469" s="19">
        <v>4</v>
      </c>
      <c r="R469" s="19" t="s">
        <v>79</v>
      </c>
      <c r="S469" s="19" t="s">
        <v>61</v>
      </c>
      <c r="T469" s="19" t="s">
        <v>50</v>
      </c>
      <c r="U469" s="21" t="s">
        <v>1981</v>
      </c>
      <c r="V469" s="19" t="s">
        <v>64</v>
      </c>
      <c r="W469" s="19">
        <f t="shared" ca="1" si="14"/>
        <v>29</v>
      </c>
      <c r="X469" s="19">
        <f t="shared" si="15"/>
        <v>4</v>
      </c>
      <c r="Y469" s="19" t="str" cm="1">
        <f t="array" ref="Y469">_xlfn.IFS(ISERROR(X469), "Pending", X469&lt;=5, "On Time", X469&gt;5, "Delayed")</f>
        <v>On Time</v>
      </c>
    </row>
    <row r="470" spans="1:25" x14ac:dyDescent="0.3">
      <c r="A470" s="15" t="s">
        <v>1982</v>
      </c>
      <c r="B470" s="15" t="s">
        <v>100</v>
      </c>
      <c r="C470" s="15" t="s">
        <v>118</v>
      </c>
      <c r="D470" s="16">
        <v>45767</v>
      </c>
      <c r="E470" s="16">
        <v>45777</v>
      </c>
      <c r="F470" s="15" t="s">
        <v>103</v>
      </c>
      <c r="G470" s="15" t="s">
        <v>28</v>
      </c>
      <c r="H470" s="16">
        <v>37033</v>
      </c>
      <c r="I470" s="15" t="s">
        <v>105</v>
      </c>
      <c r="J470" s="15" t="s">
        <v>106</v>
      </c>
      <c r="K470" s="15" t="s">
        <v>122</v>
      </c>
      <c r="L470" s="15" t="s">
        <v>123</v>
      </c>
      <c r="M470" s="15">
        <v>16</v>
      </c>
      <c r="N470" s="15">
        <v>60</v>
      </c>
      <c r="O470" s="15">
        <v>5</v>
      </c>
      <c r="P470" s="15">
        <v>912</v>
      </c>
      <c r="Q470" s="15">
        <v>2</v>
      </c>
      <c r="R470" s="15" t="s">
        <v>34</v>
      </c>
      <c r="S470" s="15" t="s">
        <v>115</v>
      </c>
      <c r="T470" s="15" t="s">
        <v>144</v>
      </c>
      <c r="U470" s="18" t="s">
        <v>1984</v>
      </c>
      <c r="V470" s="15" t="s">
        <v>69</v>
      </c>
      <c r="W470" s="15">
        <f t="shared" ca="1" si="14"/>
        <v>25</v>
      </c>
      <c r="X470" s="15">
        <f t="shared" si="15"/>
        <v>10</v>
      </c>
      <c r="Y470" s="15" t="str" cm="1">
        <f t="array" ref="Y470">_xlfn.IFS(ISERROR(X470), "Pending", X470&lt;=5, "On Time", X470&gt;5, "Delayed")</f>
        <v>Delayed</v>
      </c>
    </row>
    <row r="471" spans="1:25" x14ac:dyDescent="0.3">
      <c r="A471" s="19" t="s">
        <v>1985</v>
      </c>
      <c r="B471" s="19" t="s">
        <v>327</v>
      </c>
      <c r="C471" s="19" t="s">
        <v>54</v>
      </c>
      <c r="D471" s="20">
        <v>45963</v>
      </c>
      <c r="E471" s="20">
        <v>45965</v>
      </c>
      <c r="F471" s="19" t="s">
        <v>394</v>
      </c>
      <c r="G471" s="19" t="s">
        <v>76</v>
      </c>
      <c r="H471" s="20">
        <v>30121</v>
      </c>
      <c r="I471" s="19" t="s">
        <v>114</v>
      </c>
      <c r="J471" s="19" t="s">
        <v>106</v>
      </c>
      <c r="K471" s="19" t="s">
        <v>46</v>
      </c>
      <c r="L471" s="19" t="s">
        <v>60</v>
      </c>
      <c r="M471" s="19">
        <v>18</v>
      </c>
      <c r="N471" s="19">
        <v>55000</v>
      </c>
      <c r="O471" s="19">
        <v>0</v>
      </c>
      <c r="P471" s="19">
        <v>990000</v>
      </c>
      <c r="Q471" s="19">
        <v>5</v>
      </c>
      <c r="R471" s="19" t="s">
        <v>48</v>
      </c>
      <c r="S471" s="19" t="s">
        <v>49</v>
      </c>
      <c r="T471" s="19" t="s">
        <v>332</v>
      </c>
      <c r="U471" s="21" t="s">
        <v>1987</v>
      </c>
      <c r="V471" s="19" t="s">
        <v>64</v>
      </c>
      <c r="W471" s="19">
        <f t="shared" ca="1" si="14"/>
        <v>44</v>
      </c>
      <c r="X471" s="19">
        <f t="shared" si="15"/>
        <v>2</v>
      </c>
      <c r="Y471" s="19" t="str" cm="1">
        <f t="array" ref="Y471">_xlfn.IFS(ISERROR(X471), "Pending", X471&lt;=5, "On Time", X471&gt;5, "Delayed")</f>
        <v>On Time</v>
      </c>
    </row>
    <row r="472" spans="1:25" x14ac:dyDescent="0.3">
      <c r="A472" s="15" t="s">
        <v>1988</v>
      </c>
      <c r="B472" s="15" t="s">
        <v>23</v>
      </c>
      <c r="C472" s="15" t="s">
        <v>72</v>
      </c>
      <c r="D472" s="16">
        <v>45948</v>
      </c>
      <c r="E472" s="16">
        <v>45952</v>
      </c>
      <c r="F472" s="15" t="s">
        <v>27</v>
      </c>
      <c r="G472" s="15" t="s">
        <v>28</v>
      </c>
      <c r="H472" s="16">
        <v>36334</v>
      </c>
      <c r="I472" s="15" t="s">
        <v>59</v>
      </c>
      <c r="J472" s="15" t="s">
        <v>31</v>
      </c>
      <c r="K472" s="15" t="s">
        <v>46</v>
      </c>
      <c r="L472" s="15" t="s">
        <v>78</v>
      </c>
      <c r="M472" s="15">
        <v>17</v>
      </c>
      <c r="N472" s="15">
        <v>1200</v>
      </c>
      <c r="O472" s="15">
        <v>5</v>
      </c>
      <c r="P472" s="15">
        <v>19380</v>
      </c>
      <c r="Q472" s="15">
        <v>1</v>
      </c>
      <c r="R472" s="15" t="s">
        <v>48</v>
      </c>
      <c r="S472" s="15" t="s">
        <v>35</v>
      </c>
      <c r="T472" s="15" t="s">
        <v>50</v>
      </c>
      <c r="U472" s="18" t="s">
        <v>1991</v>
      </c>
      <c r="V472" s="15" t="s">
        <v>64</v>
      </c>
      <c r="W472" s="15">
        <f t="shared" ca="1" si="14"/>
        <v>27</v>
      </c>
      <c r="X472" s="15">
        <f t="shared" si="15"/>
        <v>4</v>
      </c>
      <c r="Y472" s="15" t="str" cm="1">
        <f t="array" ref="Y472">_xlfn.IFS(ISERROR(X472), "Pending", X472&lt;=5, "On Time", X472&gt;5, "Delayed")</f>
        <v>On Time</v>
      </c>
    </row>
    <row r="473" spans="1:25" x14ac:dyDescent="0.3">
      <c r="A473" s="19" t="s">
        <v>1992</v>
      </c>
      <c r="B473" s="19" t="s">
        <v>53</v>
      </c>
      <c r="C473" s="19" t="s">
        <v>54</v>
      </c>
      <c r="D473" s="20">
        <v>45774</v>
      </c>
      <c r="E473" s="20">
        <v>45782</v>
      </c>
      <c r="F473" s="19" t="s">
        <v>163</v>
      </c>
      <c r="G473" s="19" t="s">
        <v>28</v>
      </c>
      <c r="H473" s="20">
        <v>36924</v>
      </c>
      <c r="I473" s="19" t="s">
        <v>114</v>
      </c>
      <c r="J473" s="19" t="s">
        <v>106</v>
      </c>
      <c r="K473" s="19" t="s">
        <v>46</v>
      </c>
      <c r="L473" s="19" t="s">
        <v>60</v>
      </c>
      <c r="M473" s="19">
        <v>11</v>
      </c>
      <c r="N473" s="19">
        <v>55000</v>
      </c>
      <c r="O473" s="19">
        <v>0</v>
      </c>
      <c r="P473" s="19">
        <v>605000</v>
      </c>
      <c r="Q473" s="19">
        <v>2</v>
      </c>
      <c r="R473" s="19" t="s">
        <v>34</v>
      </c>
      <c r="S473" s="19" t="s">
        <v>61</v>
      </c>
      <c r="T473" s="19" t="s">
        <v>62</v>
      </c>
      <c r="U473" s="21" t="s">
        <v>1994</v>
      </c>
      <c r="V473" s="19" t="s">
        <v>64</v>
      </c>
      <c r="W473" s="19">
        <f t="shared" ca="1" si="14"/>
        <v>25</v>
      </c>
      <c r="X473" s="19">
        <f t="shared" si="15"/>
        <v>8</v>
      </c>
      <c r="Y473" s="19" t="str" cm="1">
        <f t="array" ref="Y473">_xlfn.IFS(ISERROR(X473), "Pending", X473&lt;=5, "On Time", X473&gt;5, "Delayed")</f>
        <v>Delayed</v>
      </c>
    </row>
    <row r="474" spans="1:25" x14ac:dyDescent="0.3">
      <c r="A474" s="15" t="s">
        <v>1995</v>
      </c>
      <c r="B474" s="15" t="s">
        <v>251</v>
      </c>
      <c r="C474" s="15" t="s">
        <v>184</v>
      </c>
      <c r="D474" s="16">
        <v>45799</v>
      </c>
      <c r="E474" s="16">
        <v>45808</v>
      </c>
      <c r="F474" s="15" t="s">
        <v>254</v>
      </c>
      <c r="G474" s="15" t="s">
        <v>28</v>
      </c>
      <c r="H474" s="16">
        <v>36405</v>
      </c>
      <c r="I474" s="15" t="s">
        <v>44</v>
      </c>
      <c r="J474" s="15" t="s">
        <v>45</v>
      </c>
      <c r="K474" s="15" t="s">
        <v>46</v>
      </c>
      <c r="L474" s="15" t="s">
        <v>189</v>
      </c>
      <c r="M474" s="15">
        <v>20</v>
      </c>
      <c r="N474" s="15">
        <v>700</v>
      </c>
      <c r="O474" s="15">
        <v>20</v>
      </c>
      <c r="P474" s="15">
        <v>11200</v>
      </c>
      <c r="Q474" s="15">
        <v>5</v>
      </c>
      <c r="R474" s="15" t="s">
        <v>48</v>
      </c>
      <c r="S474" s="15" t="s">
        <v>61</v>
      </c>
      <c r="T474" s="15" t="s">
        <v>256</v>
      </c>
      <c r="U474" s="18" t="s">
        <v>1997</v>
      </c>
      <c r="V474" s="15" t="s">
        <v>38</v>
      </c>
      <c r="W474" s="15">
        <f t="shared" ca="1" si="14"/>
        <v>27</v>
      </c>
      <c r="X474" s="15">
        <f t="shared" si="15"/>
        <v>9</v>
      </c>
      <c r="Y474" s="15" t="str" cm="1">
        <f t="array" ref="Y474">_xlfn.IFS(ISERROR(X474), "Pending", X474&lt;=5, "On Time", X474&gt;5, "Delayed")</f>
        <v>Delayed</v>
      </c>
    </row>
    <row r="475" spans="1:25" x14ac:dyDescent="0.3">
      <c r="A475" s="19" t="s">
        <v>1998</v>
      </c>
      <c r="B475" s="19" t="s">
        <v>71</v>
      </c>
      <c r="C475" s="19" t="s">
        <v>222</v>
      </c>
      <c r="D475" s="20">
        <v>46050</v>
      </c>
      <c r="E475" s="20">
        <v>46061</v>
      </c>
      <c r="F475" s="19" t="s">
        <v>217</v>
      </c>
      <c r="G475" s="19" t="s">
        <v>76</v>
      </c>
      <c r="H475" s="20">
        <v>32299</v>
      </c>
      <c r="I475" s="19" t="s">
        <v>44</v>
      </c>
      <c r="J475" s="19" t="s">
        <v>45</v>
      </c>
      <c r="K475" s="19" t="s">
        <v>122</v>
      </c>
      <c r="L475" s="19" t="s">
        <v>227</v>
      </c>
      <c r="M475" s="19">
        <v>5</v>
      </c>
      <c r="N475" s="19">
        <v>20</v>
      </c>
      <c r="O475" s="19">
        <v>5</v>
      </c>
      <c r="P475" s="19">
        <v>95</v>
      </c>
      <c r="Q475" s="19">
        <v>4</v>
      </c>
      <c r="R475" s="19" t="s">
        <v>34</v>
      </c>
      <c r="S475" s="19" t="s">
        <v>49</v>
      </c>
      <c r="T475" s="19" t="s">
        <v>80</v>
      </c>
      <c r="U475" s="21" t="s">
        <v>2000</v>
      </c>
      <c r="V475" s="19" t="s">
        <v>69</v>
      </c>
      <c r="W475" s="19">
        <f t="shared" ca="1" si="14"/>
        <v>38</v>
      </c>
      <c r="X475" s="19">
        <f t="shared" si="15"/>
        <v>11</v>
      </c>
      <c r="Y475" s="19" t="str" cm="1">
        <f t="array" ref="Y475">_xlfn.IFS(ISERROR(X475), "Pending", X475&lt;=5, "On Time", X475&gt;5, "Delayed")</f>
        <v>Delayed</v>
      </c>
    </row>
    <row r="476" spans="1:25" x14ac:dyDescent="0.3">
      <c r="A476" s="15" t="s">
        <v>2001</v>
      </c>
      <c r="B476" s="15" t="s">
        <v>327</v>
      </c>
      <c r="C476" s="15" t="s">
        <v>54</v>
      </c>
      <c r="D476" s="16">
        <v>45692</v>
      </c>
      <c r="E476" s="16">
        <v>45699</v>
      </c>
      <c r="F476" s="15" t="s">
        <v>394</v>
      </c>
      <c r="G476" s="15" t="s">
        <v>76</v>
      </c>
      <c r="H476" s="16">
        <v>27730</v>
      </c>
      <c r="I476" s="15" t="s">
        <v>105</v>
      </c>
      <c r="J476" s="15" t="s">
        <v>106</v>
      </c>
      <c r="K476" s="15" t="s">
        <v>46</v>
      </c>
      <c r="L476" s="15" t="s">
        <v>60</v>
      </c>
      <c r="M476" s="15">
        <v>13</v>
      </c>
      <c r="N476" s="15">
        <v>55000</v>
      </c>
      <c r="O476" s="15">
        <v>5</v>
      </c>
      <c r="P476" s="15">
        <v>679250</v>
      </c>
      <c r="Q476" s="15">
        <v>1</v>
      </c>
      <c r="R476" s="15" t="s">
        <v>48</v>
      </c>
      <c r="S476" s="15" t="s">
        <v>49</v>
      </c>
      <c r="T476" s="15" t="s">
        <v>332</v>
      </c>
      <c r="U476" s="18" t="s">
        <v>2003</v>
      </c>
      <c r="V476" s="15" t="s">
        <v>64</v>
      </c>
      <c r="W476" s="15">
        <f t="shared" ca="1" si="14"/>
        <v>50</v>
      </c>
      <c r="X476" s="15">
        <f t="shared" si="15"/>
        <v>7</v>
      </c>
      <c r="Y476" s="15" t="str" cm="1">
        <f t="array" ref="Y476">_xlfn.IFS(ISERROR(X476), "Pending", X476&lt;=5, "On Time", X476&gt;5, "Delayed")</f>
        <v>Delayed</v>
      </c>
    </row>
    <row r="477" spans="1:25" x14ac:dyDescent="0.3">
      <c r="A477" s="19" t="s">
        <v>2004</v>
      </c>
      <c r="B477" s="19" t="s">
        <v>127</v>
      </c>
      <c r="C477" s="19" t="s">
        <v>54</v>
      </c>
      <c r="D477" s="20">
        <v>45766</v>
      </c>
      <c r="E477" s="20">
        <v>45767</v>
      </c>
      <c r="F477" s="19" t="s">
        <v>200</v>
      </c>
      <c r="G477" s="19" t="s">
        <v>76</v>
      </c>
      <c r="H477" s="20">
        <v>37987</v>
      </c>
      <c r="I477" s="19" t="s">
        <v>294</v>
      </c>
      <c r="J477" s="19" t="s">
        <v>295</v>
      </c>
      <c r="K477" s="19" t="s">
        <v>46</v>
      </c>
      <c r="L477" s="19" t="s">
        <v>60</v>
      </c>
      <c r="M477" s="19">
        <v>12</v>
      </c>
      <c r="N477" s="19">
        <v>55000</v>
      </c>
      <c r="O477" s="19">
        <v>5</v>
      </c>
      <c r="P477" s="19">
        <v>627000</v>
      </c>
      <c r="Q477" s="19">
        <v>1</v>
      </c>
      <c r="R477" s="19" t="s">
        <v>48</v>
      </c>
      <c r="S477" s="19" t="s">
        <v>115</v>
      </c>
      <c r="T477" s="19" t="s">
        <v>132</v>
      </c>
      <c r="U477" s="21" t="s">
        <v>2006</v>
      </c>
      <c r="V477" s="19" t="s">
        <v>69</v>
      </c>
      <c r="W477" s="19">
        <f t="shared" ca="1" si="14"/>
        <v>22</v>
      </c>
      <c r="X477" s="19">
        <f t="shared" si="15"/>
        <v>1</v>
      </c>
      <c r="Y477" s="19" t="str" cm="1">
        <f t="array" ref="Y477">_xlfn.IFS(ISERROR(X477), "Pending", X477&lt;=5, "On Time", X477&gt;5, "Delayed")</f>
        <v>On Time</v>
      </c>
    </row>
    <row r="478" spans="1:25" x14ac:dyDescent="0.3">
      <c r="A478" s="15" t="s">
        <v>2007</v>
      </c>
      <c r="B478" s="15" t="s">
        <v>53</v>
      </c>
      <c r="C478" s="15" t="s">
        <v>259</v>
      </c>
      <c r="D478" s="16">
        <v>45678</v>
      </c>
      <c r="E478" s="16">
        <v>45685</v>
      </c>
      <c r="F478" s="15" t="s">
        <v>163</v>
      </c>
      <c r="G478" s="15" t="s">
        <v>28</v>
      </c>
      <c r="H478" s="16">
        <v>37126</v>
      </c>
      <c r="I478" s="15" t="s">
        <v>105</v>
      </c>
      <c r="J478" s="15" t="s">
        <v>106</v>
      </c>
      <c r="K478" s="15" t="s">
        <v>122</v>
      </c>
      <c r="L478" s="15" t="s">
        <v>263</v>
      </c>
      <c r="M478" s="15">
        <v>16</v>
      </c>
      <c r="N478" s="15">
        <v>45</v>
      </c>
      <c r="O478" s="15">
        <v>20</v>
      </c>
      <c r="P478" s="15">
        <v>576</v>
      </c>
      <c r="Q478" s="15">
        <v>2</v>
      </c>
      <c r="R478" s="15" t="s">
        <v>34</v>
      </c>
      <c r="S478" s="15" t="s">
        <v>49</v>
      </c>
      <c r="T478" s="15" t="s">
        <v>62</v>
      </c>
      <c r="U478" s="18" t="s">
        <v>2009</v>
      </c>
      <c r="V478" s="15" t="s">
        <v>64</v>
      </c>
      <c r="W478" s="15">
        <f t="shared" ca="1" si="14"/>
        <v>25</v>
      </c>
      <c r="X478" s="15">
        <f t="shared" si="15"/>
        <v>7</v>
      </c>
      <c r="Y478" s="15" t="str" cm="1">
        <f t="array" ref="Y478">_xlfn.IFS(ISERROR(X478), "Pending", X478&lt;=5, "On Time", X478&gt;5, "Delayed")</f>
        <v>Delayed</v>
      </c>
    </row>
    <row r="479" spans="1:25" x14ac:dyDescent="0.3">
      <c r="A479" s="19" t="s">
        <v>2010</v>
      </c>
      <c r="B479" s="19" t="s">
        <v>23</v>
      </c>
      <c r="C479" s="19" t="s">
        <v>72</v>
      </c>
      <c r="D479" s="20">
        <v>45918</v>
      </c>
      <c r="E479" s="20">
        <v>45927</v>
      </c>
      <c r="F479" s="19" t="s">
        <v>27</v>
      </c>
      <c r="G479" s="19" t="s">
        <v>28</v>
      </c>
      <c r="H479" s="20">
        <v>35818</v>
      </c>
      <c r="I479" s="19" t="s">
        <v>59</v>
      </c>
      <c r="J479" s="19" t="s">
        <v>31</v>
      </c>
      <c r="K479" s="19" t="s">
        <v>46</v>
      </c>
      <c r="L479" s="19" t="s">
        <v>78</v>
      </c>
      <c r="M479" s="19">
        <v>5</v>
      </c>
      <c r="N479" s="19">
        <v>1200</v>
      </c>
      <c r="O479" s="19">
        <v>10</v>
      </c>
      <c r="P479" s="19">
        <v>5400</v>
      </c>
      <c r="Q479" s="19">
        <v>1</v>
      </c>
      <c r="R479" s="19" t="s">
        <v>34</v>
      </c>
      <c r="S479" s="19"/>
      <c r="T479" s="22" t="s">
        <v>2012</v>
      </c>
      <c r="U479" s="21" t="s">
        <v>2013</v>
      </c>
      <c r="V479" s="19" t="s">
        <v>38</v>
      </c>
      <c r="W479" s="19">
        <f t="shared" ca="1" si="14"/>
        <v>28</v>
      </c>
      <c r="X479" s="19">
        <f t="shared" si="15"/>
        <v>9</v>
      </c>
      <c r="Y479" s="19" t="str" cm="1">
        <f t="array" ref="Y479">_xlfn.IFS(ISERROR(X479), "Pending", X479&lt;=5, "On Time", X479&gt;5, "Delayed")</f>
        <v>Delayed</v>
      </c>
    </row>
    <row r="480" spans="1:25" x14ac:dyDescent="0.3">
      <c r="A480" s="15" t="s">
        <v>2014</v>
      </c>
      <c r="B480" s="15" t="s">
        <v>168</v>
      </c>
      <c r="C480" s="15" t="s">
        <v>259</v>
      </c>
      <c r="D480" s="16">
        <v>45949</v>
      </c>
      <c r="E480" s="16">
        <v>45950</v>
      </c>
      <c r="F480" s="15" t="s">
        <v>2015</v>
      </c>
      <c r="G480" s="15" t="s">
        <v>28</v>
      </c>
      <c r="H480" s="16">
        <v>38135</v>
      </c>
      <c r="I480" s="15" t="s">
        <v>294</v>
      </c>
      <c r="J480" s="15" t="s">
        <v>295</v>
      </c>
      <c r="K480" s="15" t="s">
        <v>122</v>
      </c>
      <c r="L480" s="15" t="s">
        <v>263</v>
      </c>
      <c r="M480" s="15">
        <v>2</v>
      </c>
      <c r="N480" s="15">
        <v>45</v>
      </c>
      <c r="O480" s="15">
        <v>10</v>
      </c>
      <c r="P480" s="15">
        <v>81</v>
      </c>
      <c r="Q480" s="15">
        <v>4</v>
      </c>
      <c r="R480" s="15" t="s">
        <v>88</v>
      </c>
      <c r="S480" s="15" t="s">
        <v>49</v>
      </c>
      <c r="T480" s="15" t="s">
        <v>175</v>
      </c>
      <c r="U480" s="18" t="s">
        <v>2017</v>
      </c>
      <c r="V480" s="15" t="s">
        <v>64</v>
      </c>
      <c r="W480" s="15">
        <f t="shared" ca="1" si="14"/>
        <v>22</v>
      </c>
      <c r="X480" s="15">
        <f t="shared" si="15"/>
        <v>1</v>
      </c>
      <c r="Y480" s="15" t="str" cm="1">
        <f t="array" ref="Y480">_xlfn.IFS(ISERROR(X480), "Pending", X480&lt;=5, "On Time", X480&gt;5, "Delayed")</f>
        <v>On Time</v>
      </c>
    </row>
    <row r="481" spans="1:25" x14ac:dyDescent="0.3">
      <c r="A481" s="19" t="s">
        <v>2018</v>
      </c>
      <c r="B481" s="19" t="s">
        <v>127</v>
      </c>
      <c r="C481" s="19" t="s">
        <v>40</v>
      </c>
      <c r="D481" s="20">
        <v>46034</v>
      </c>
      <c r="E481" s="20">
        <v>46040</v>
      </c>
      <c r="F481" s="19" t="s">
        <v>200</v>
      </c>
      <c r="G481" s="19" t="s">
        <v>76</v>
      </c>
      <c r="H481" s="20">
        <v>31201</v>
      </c>
      <c r="I481" s="19" t="s">
        <v>138</v>
      </c>
      <c r="J481" s="19" t="s">
        <v>106</v>
      </c>
      <c r="K481" s="19" t="s">
        <v>46</v>
      </c>
      <c r="L481" s="19" t="s">
        <v>47</v>
      </c>
      <c r="M481" s="19">
        <v>3</v>
      </c>
      <c r="N481" s="19">
        <v>12000</v>
      </c>
      <c r="O481" s="19">
        <v>0</v>
      </c>
      <c r="P481" s="19">
        <v>36000</v>
      </c>
      <c r="Q481" s="19">
        <v>2</v>
      </c>
      <c r="R481" s="19" t="s">
        <v>88</v>
      </c>
      <c r="S481" s="19" t="s">
        <v>151</v>
      </c>
      <c r="T481" s="19" t="s">
        <v>132</v>
      </c>
      <c r="U481" s="21" t="s">
        <v>2020</v>
      </c>
      <c r="V481" s="19" t="s">
        <v>64</v>
      </c>
      <c r="W481" s="19">
        <f t="shared" ca="1" si="14"/>
        <v>41</v>
      </c>
      <c r="X481" s="19">
        <f t="shared" si="15"/>
        <v>6</v>
      </c>
      <c r="Y481" s="19" t="str" cm="1">
        <f t="array" ref="Y481">_xlfn.IFS(ISERROR(X481), "Pending", X481&lt;=5, "On Time", X481&gt;5, "Delayed")</f>
        <v>Delayed</v>
      </c>
    </row>
    <row r="482" spans="1:25" x14ac:dyDescent="0.3">
      <c r="A482" s="15" t="s">
        <v>2021</v>
      </c>
      <c r="B482" s="15" t="s">
        <v>23</v>
      </c>
      <c r="C482" s="15" t="s">
        <v>40</v>
      </c>
      <c r="D482" s="16">
        <v>45683</v>
      </c>
      <c r="E482" s="16">
        <v>45689</v>
      </c>
      <c r="F482" s="15" t="s">
        <v>95</v>
      </c>
      <c r="G482" s="15" t="s">
        <v>28</v>
      </c>
      <c r="H482" s="16">
        <v>31572</v>
      </c>
      <c r="I482" s="15" t="s">
        <v>59</v>
      </c>
      <c r="J482" s="15" t="s">
        <v>31</v>
      </c>
      <c r="K482" s="15" t="s">
        <v>46</v>
      </c>
      <c r="L482" s="15" t="s">
        <v>47</v>
      </c>
      <c r="M482" s="15">
        <v>3</v>
      </c>
      <c r="N482" s="15">
        <v>12000</v>
      </c>
      <c r="O482" s="15">
        <v>20</v>
      </c>
      <c r="P482" s="15">
        <v>28800</v>
      </c>
      <c r="Q482" s="15">
        <v>3</v>
      </c>
      <c r="R482" s="15" t="s">
        <v>88</v>
      </c>
      <c r="S482" s="15" t="s">
        <v>115</v>
      </c>
      <c r="T482" s="15" t="s">
        <v>50</v>
      </c>
      <c r="U482" s="18" t="s">
        <v>2024</v>
      </c>
      <c r="V482" s="15" t="s">
        <v>38</v>
      </c>
      <c r="W482" s="15">
        <f t="shared" ca="1" si="14"/>
        <v>40</v>
      </c>
      <c r="X482" s="15">
        <f t="shared" si="15"/>
        <v>6</v>
      </c>
      <c r="Y482" s="15" t="str" cm="1">
        <f t="array" ref="Y482">_xlfn.IFS(ISERROR(X482), "Pending", X482&lt;=5, "On Time", X482&gt;5, "Delayed")</f>
        <v>Delayed</v>
      </c>
    </row>
    <row r="483" spans="1:25" x14ac:dyDescent="0.3">
      <c r="A483" s="19" t="s">
        <v>2025</v>
      </c>
      <c r="B483" s="19" t="s">
        <v>127</v>
      </c>
      <c r="C483" s="19" t="s">
        <v>169</v>
      </c>
      <c r="D483" s="20">
        <v>46119</v>
      </c>
      <c r="E483" s="20">
        <v>46120</v>
      </c>
      <c r="F483" s="19" t="s">
        <v>200</v>
      </c>
      <c r="G483" s="19" t="s">
        <v>76</v>
      </c>
      <c r="H483" s="20">
        <v>29819</v>
      </c>
      <c r="I483" s="19" t="s">
        <v>294</v>
      </c>
      <c r="J483" s="19" t="s">
        <v>295</v>
      </c>
      <c r="K483" s="19" t="s">
        <v>32</v>
      </c>
      <c r="L483" s="19" t="s">
        <v>174</v>
      </c>
      <c r="M483" s="19">
        <v>9</v>
      </c>
      <c r="N483" s="19">
        <v>8500</v>
      </c>
      <c r="O483" s="19">
        <v>15</v>
      </c>
      <c r="P483" s="19">
        <v>65025</v>
      </c>
      <c r="Q483" s="19">
        <v>5</v>
      </c>
      <c r="R483" s="19" t="s">
        <v>34</v>
      </c>
      <c r="S483" s="19" t="s">
        <v>49</v>
      </c>
      <c r="T483" s="19" t="s">
        <v>132</v>
      </c>
      <c r="U483" s="21" t="s">
        <v>2027</v>
      </c>
      <c r="V483" s="19" t="s">
        <v>64</v>
      </c>
      <c r="W483" s="19">
        <f t="shared" ca="1" si="14"/>
        <v>45</v>
      </c>
      <c r="X483" s="19">
        <f t="shared" si="15"/>
        <v>1</v>
      </c>
      <c r="Y483" s="19" t="str" cm="1">
        <f t="array" ref="Y483">_xlfn.IFS(ISERROR(X483), "Pending", X483&lt;=5, "On Time", X483&gt;5, "Delayed")</f>
        <v>On Time</v>
      </c>
    </row>
    <row r="484" spans="1:25" x14ac:dyDescent="0.3">
      <c r="A484" s="15" t="s">
        <v>2028</v>
      </c>
      <c r="B484" s="15" t="s">
        <v>71</v>
      </c>
      <c r="C484" s="15" t="s">
        <v>184</v>
      </c>
      <c r="D484" s="16">
        <v>45834</v>
      </c>
      <c r="E484" s="16">
        <v>45844</v>
      </c>
      <c r="F484" s="15" t="s">
        <v>2029</v>
      </c>
      <c r="G484" s="15" t="s">
        <v>76</v>
      </c>
      <c r="H484" s="16">
        <v>33717</v>
      </c>
      <c r="I484" s="15" t="s">
        <v>294</v>
      </c>
      <c r="J484" s="15" t="s">
        <v>295</v>
      </c>
      <c r="K484" s="15" t="s">
        <v>46</v>
      </c>
      <c r="L484" s="15" t="s">
        <v>189</v>
      </c>
      <c r="M484" s="15">
        <v>17</v>
      </c>
      <c r="N484" s="15">
        <v>700</v>
      </c>
      <c r="O484" s="15">
        <v>0</v>
      </c>
      <c r="P484" s="15">
        <v>11900</v>
      </c>
      <c r="Q484" s="15">
        <v>2</v>
      </c>
      <c r="R484" s="15" t="s">
        <v>34</v>
      </c>
      <c r="S484" s="15" t="s">
        <v>61</v>
      </c>
      <c r="T484" s="15" t="s">
        <v>80</v>
      </c>
      <c r="U484" s="18" t="s">
        <v>2031</v>
      </c>
      <c r="V484" s="15" t="s">
        <v>69</v>
      </c>
      <c r="W484" s="15">
        <f t="shared" ca="1" si="14"/>
        <v>34</v>
      </c>
      <c r="X484" s="15">
        <f t="shared" si="15"/>
        <v>10</v>
      </c>
      <c r="Y484" s="15" t="str" cm="1">
        <f t="array" ref="Y484">_xlfn.IFS(ISERROR(X484), "Pending", X484&lt;=5, "On Time", X484&gt;5, "Delayed")</f>
        <v>Delayed</v>
      </c>
    </row>
    <row r="485" spans="1:25" x14ac:dyDescent="0.3">
      <c r="A485" s="19" t="s">
        <v>2032</v>
      </c>
      <c r="B485" s="19" t="s">
        <v>23</v>
      </c>
      <c r="C485" s="19" t="s">
        <v>184</v>
      </c>
      <c r="D485" s="20">
        <v>45846</v>
      </c>
      <c r="E485" s="20">
        <v>45856</v>
      </c>
      <c r="F485" s="19" t="s">
        <v>27</v>
      </c>
      <c r="G485" s="19" t="s">
        <v>28</v>
      </c>
      <c r="H485" s="20">
        <v>33304</v>
      </c>
      <c r="I485" s="19" t="s">
        <v>30</v>
      </c>
      <c r="J485" s="19" t="s">
        <v>31</v>
      </c>
      <c r="K485" s="19" t="s">
        <v>46</v>
      </c>
      <c r="L485" s="19" t="s">
        <v>189</v>
      </c>
      <c r="M485" s="19">
        <v>20</v>
      </c>
      <c r="N485" s="19">
        <v>700</v>
      </c>
      <c r="O485" s="19">
        <v>5</v>
      </c>
      <c r="P485" s="19">
        <v>13300</v>
      </c>
      <c r="Q485" s="19">
        <v>2</v>
      </c>
      <c r="R485" s="19" t="s">
        <v>88</v>
      </c>
      <c r="S485" s="19" t="s">
        <v>35</v>
      </c>
      <c r="T485" s="19" t="s">
        <v>50</v>
      </c>
      <c r="U485" s="21" t="s">
        <v>2034</v>
      </c>
      <c r="V485" s="19" t="s">
        <v>38</v>
      </c>
      <c r="W485" s="19">
        <f t="shared" ca="1" si="14"/>
        <v>35</v>
      </c>
      <c r="X485" s="19">
        <f t="shared" si="15"/>
        <v>10</v>
      </c>
      <c r="Y485" s="19" t="str" cm="1">
        <f t="array" ref="Y485">_xlfn.IFS(ISERROR(X485), "Pending", X485&lt;=5, "On Time", X485&gt;5, "Delayed")</f>
        <v>Delayed</v>
      </c>
    </row>
    <row r="486" spans="1:25" x14ac:dyDescent="0.3">
      <c r="A486" s="15" t="s">
        <v>2035</v>
      </c>
      <c r="B486" s="15" t="s">
        <v>327</v>
      </c>
      <c r="C486" s="15" t="s">
        <v>72</v>
      </c>
      <c r="D486" s="16">
        <v>46092</v>
      </c>
      <c r="E486" s="16">
        <v>46102</v>
      </c>
      <c r="F486" s="15" t="s">
        <v>2036</v>
      </c>
      <c r="G486" s="15" t="s">
        <v>76</v>
      </c>
      <c r="H486" s="16">
        <v>28612</v>
      </c>
      <c r="I486" s="15" t="s">
        <v>138</v>
      </c>
      <c r="J486" s="15" t="s">
        <v>106</v>
      </c>
      <c r="K486" s="15" t="s">
        <v>46</v>
      </c>
      <c r="L486" s="15" t="s">
        <v>78</v>
      </c>
      <c r="M486" s="15">
        <v>13</v>
      </c>
      <c r="N486" s="15">
        <v>1200</v>
      </c>
      <c r="O486" s="15">
        <v>20</v>
      </c>
      <c r="P486" s="15">
        <v>12480</v>
      </c>
      <c r="Q486" s="15">
        <v>5</v>
      </c>
      <c r="R486" s="15" t="s">
        <v>79</v>
      </c>
      <c r="S486" s="15" t="s">
        <v>115</v>
      </c>
      <c r="T486" s="15" t="s">
        <v>332</v>
      </c>
      <c r="U486" s="18" t="s">
        <v>2038</v>
      </c>
      <c r="V486" s="15" t="s">
        <v>38</v>
      </c>
      <c r="W486" s="15">
        <f t="shared" ca="1" si="14"/>
        <v>48</v>
      </c>
      <c r="X486" s="15">
        <f t="shared" si="15"/>
        <v>10</v>
      </c>
      <c r="Y486" s="15" t="str" cm="1">
        <f t="array" ref="Y486">_xlfn.IFS(ISERROR(X486), "Pending", X486&lt;=5, "On Time", X486&gt;5, "Delayed")</f>
        <v>Delayed</v>
      </c>
    </row>
    <row r="487" spans="1:25" x14ac:dyDescent="0.3">
      <c r="A487" s="19" t="s">
        <v>2039</v>
      </c>
      <c r="B487" s="19" t="s">
        <v>100</v>
      </c>
      <c r="C487" s="19" t="s">
        <v>54</v>
      </c>
      <c r="D487" s="20">
        <v>46104</v>
      </c>
      <c r="E487" s="20">
        <v>46110</v>
      </c>
      <c r="F487" s="19" t="s">
        <v>103</v>
      </c>
      <c r="G487" s="19" t="s">
        <v>28</v>
      </c>
      <c r="H487" s="20">
        <v>36359</v>
      </c>
      <c r="I487" s="19" t="s">
        <v>212</v>
      </c>
      <c r="J487" s="19" t="s">
        <v>45</v>
      </c>
      <c r="K487" s="19" t="s">
        <v>46</v>
      </c>
      <c r="L487" s="19" t="s">
        <v>60</v>
      </c>
      <c r="M487" s="19">
        <v>20</v>
      </c>
      <c r="N487" s="19">
        <v>55000</v>
      </c>
      <c r="O487" s="19">
        <v>10</v>
      </c>
      <c r="P487" s="19">
        <v>990000</v>
      </c>
      <c r="Q487" s="19">
        <v>1</v>
      </c>
      <c r="R487" s="19" t="s">
        <v>88</v>
      </c>
      <c r="S487" s="19" t="s">
        <v>35</v>
      </c>
      <c r="T487" s="19" t="s">
        <v>144</v>
      </c>
      <c r="U487" s="21" t="s">
        <v>2041</v>
      </c>
      <c r="V487" s="19" t="s">
        <v>64</v>
      </c>
      <c r="W487" s="19">
        <f t="shared" ca="1" si="14"/>
        <v>27</v>
      </c>
      <c r="X487" s="19">
        <f t="shared" si="15"/>
        <v>6</v>
      </c>
      <c r="Y487" s="19" t="str" cm="1">
        <f t="array" ref="Y487">_xlfn.IFS(ISERROR(X487), "Pending", X487&lt;=5, "On Time", X487&gt;5, "Delayed")</f>
        <v>Delayed</v>
      </c>
    </row>
    <row r="488" spans="1:25" x14ac:dyDescent="0.3">
      <c r="A488" s="15" t="s">
        <v>2042</v>
      </c>
      <c r="B488" s="15" t="s">
        <v>251</v>
      </c>
      <c r="C488" s="15" t="s">
        <v>72</v>
      </c>
      <c r="D488" s="16">
        <v>45961</v>
      </c>
      <c r="E488" s="16">
        <v>45966</v>
      </c>
      <c r="F488" s="15" t="s">
        <v>254</v>
      </c>
      <c r="G488" s="15" t="s">
        <v>28</v>
      </c>
      <c r="H488" s="16">
        <v>32206</v>
      </c>
      <c r="I488" s="15" t="s">
        <v>294</v>
      </c>
      <c r="J488" s="15" t="s">
        <v>295</v>
      </c>
      <c r="K488" s="15" t="s">
        <v>46</v>
      </c>
      <c r="L488" s="15" t="s">
        <v>78</v>
      </c>
      <c r="M488" s="15">
        <v>8</v>
      </c>
      <c r="N488" s="15">
        <v>1200</v>
      </c>
      <c r="O488" s="15">
        <v>0</v>
      </c>
      <c r="P488" s="15">
        <v>9600</v>
      </c>
      <c r="Q488" s="15">
        <v>2</v>
      </c>
      <c r="R488" s="15" t="s">
        <v>48</v>
      </c>
      <c r="S488" s="15" t="s">
        <v>151</v>
      </c>
      <c r="T488" s="15" t="s">
        <v>256</v>
      </c>
      <c r="U488" s="18" t="s">
        <v>2044</v>
      </c>
      <c r="V488" s="15" t="s">
        <v>38</v>
      </c>
      <c r="W488" s="15">
        <f t="shared" ca="1" si="14"/>
        <v>38</v>
      </c>
      <c r="X488" s="15">
        <f t="shared" si="15"/>
        <v>5</v>
      </c>
      <c r="Y488" s="15" t="str" cm="1">
        <f t="array" ref="Y488">_xlfn.IFS(ISERROR(X488), "Pending", X488&lt;=5, "On Time", X488&gt;5, "Delayed")</f>
        <v>On Time</v>
      </c>
    </row>
    <row r="489" spans="1:25" x14ac:dyDescent="0.3">
      <c r="A489" s="19" t="s">
        <v>2045</v>
      </c>
      <c r="B489" s="19" t="s">
        <v>53</v>
      </c>
      <c r="C489" s="19" t="s">
        <v>222</v>
      </c>
      <c r="D489" s="20">
        <v>46147</v>
      </c>
      <c r="E489" s="20">
        <v>46151</v>
      </c>
      <c r="F489" s="19" t="s">
        <v>163</v>
      </c>
      <c r="G489" s="19" t="s">
        <v>28</v>
      </c>
      <c r="H489" s="20">
        <v>28805</v>
      </c>
      <c r="I489" s="19" t="s">
        <v>294</v>
      </c>
      <c r="J489" s="19" t="s">
        <v>295</v>
      </c>
      <c r="K489" s="19" t="s">
        <v>122</v>
      </c>
      <c r="L489" s="19" t="s">
        <v>227</v>
      </c>
      <c r="M489" s="19">
        <v>18</v>
      </c>
      <c r="N489" s="19">
        <v>20</v>
      </c>
      <c r="O489" s="19">
        <v>10</v>
      </c>
      <c r="P489" s="19">
        <v>324</v>
      </c>
      <c r="Q489" s="19">
        <v>5</v>
      </c>
      <c r="R489" s="19" t="s">
        <v>79</v>
      </c>
      <c r="S489" s="19"/>
      <c r="T489" s="22" t="s">
        <v>2048</v>
      </c>
      <c r="U489" s="21" t="s">
        <v>2049</v>
      </c>
      <c r="V489" s="19" t="s">
        <v>64</v>
      </c>
      <c r="W489" s="19">
        <f t="shared" ca="1" si="14"/>
        <v>47</v>
      </c>
      <c r="X489" s="19">
        <f t="shared" si="15"/>
        <v>4</v>
      </c>
      <c r="Y489" s="19" t="str" cm="1">
        <f t="array" ref="Y489">_xlfn.IFS(ISERROR(X489), "Pending", X489&lt;=5, "On Time", X489&gt;5, "Delayed")</f>
        <v>On Time</v>
      </c>
    </row>
    <row r="490" spans="1:25" x14ac:dyDescent="0.3">
      <c r="A490" s="15" t="s">
        <v>2050</v>
      </c>
      <c r="B490" s="15" t="s">
        <v>168</v>
      </c>
      <c r="C490" s="15" t="s">
        <v>40</v>
      </c>
      <c r="D490" s="16">
        <v>45711</v>
      </c>
      <c r="E490" s="16">
        <v>45723</v>
      </c>
      <c r="F490" s="15" t="s">
        <v>361</v>
      </c>
      <c r="G490" s="15" t="s">
        <v>28</v>
      </c>
      <c r="H490" s="16">
        <v>34369</v>
      </c>
      <c r="I490" s="15" t="s">
        <v>114</v>
      </c>
      <c r="J490" s="15" t="s">
        <v>106</v>
      </c>
      <c r="K490" s="15" t="s">
        <v>46</v>
      </c>
      <c r="L490" s="15" t="s">
        <v>47</v>
      </c>
      <c r="M490" s="15">
        <v>11</v>
      </c>
      <c r="N490" s="15">
        <v>12000</v>
      </c>
      <c r="O490" s="15">
        <v>10</v>
      </c>
      <c r="P490" s="15">
        <v>118800</v>
      </c>
      <c r="Q490" s="15">
        <v>1</v>
      </c>
      <c r="R490" s="15" t="s">
        <v>79</v>
      </c>
      <c r="S490" s="15" t="s">
        <v>49</v>
      </c>
      <c r="T490" s="15" t="s">
        <v>175</v>
      </c>
      <c r="U490" s="18" t="s">
        <v>2053</v>
      </c>
      <c r="V490" s="15" t="s">
        <v>69</v>
      </c>
      <c r="W490" s="15">
        <f t="shared" ca="1" si="14"/>
        <v>32</v>
      </c>
      <c r="X490" s="15">
        <f t="shared" si="15"/>
        <v>12</v>
      </c>
      <c r="Y490" s="15" t="str" cm="1">
        <f t="array" ref="Y490">_xlfn.IFS(ISERROR(X490), "Pending", X490&lt;=5, "On Time", X490&gt;5, "Delayed")</f>
        <v>Delayed</v>
      </c>
    </row>
    <row r="491" spans="1:25" x14ac:dyDescent="0.3">
      <c r="A491" s="19" t="s">
        <v>2054</v>
      </c>
      <c r="B491" s="19" t="s">
        <v>327</v>
      </c>
      <c r="C491" s="19" t="s">
        <v>169</v>
      </c>
      <c r="D491" s="20">
        <v>45672</v>
      </c>
      <c r="E491" s="20">
        <v>45674</v>
      </c>
      <c r="F491" s="19" t="s">
        <v>394</v>
      </c>
      <c r="G491" s="19" t="s">
        <v>76</v>
      </c>
      <c r="H491" s="20">
        <v>34217</v>
      </c>
      <c r="I491" s="19" t="s">
        <v>30</v>
      </c>
      <c r="J491" s="19" t="s">
        <v>31</v>
      </c>
      <c r="K491" s="19" t="s">
        <v>32</v>
      </c>
      <c r="L491" s="19" t="s">
        <v>174</v>
      </c>
      <c r="M491" s="19">
        <v>2</v>
      </c>
      <c r="N491" s="19">
        <v>8500</v>
      </c>
      <c r="O491" s="19">
        <v>5</v>
      </c>
      <c r="P491" s="19">
        <v>16150</v>
      </c>
      <c r="Q491" s="19">
        <v>1</v>
      </c>
      <c r="R491" s="19" t="s">
        <v>79</v>
      </c>
      <c r="S491" s="19" t="s">
        <v>61</v>
      </c>
      <c r="T491" s="19" t="s">
        <v>332</v>
      </c>
      <c r="U491" s="21" t="s">
        <v>2056</v>
      </c>
      <c r="V491" s="19" t="s">
        <v>38</v>
      </c>
      <c r="W491" s="19">
        <f t="shared" ca="1" si="14"/>
        <v>33</v>
      </c>
      <c r="X491" s="19">
        <f t="shared" si="15"/>
        <v>2</v>
      </c>
      <c r="Y491" s="19" t="str" cm="1">
        <f t="array" ref="Y491">_xlfn.IFS(ISERROR(X491), "Pending", X491&lt;=5, "On Time", X491&gt;5, "Delayed")</f>
        <v>On Time</v>
      </c>
    </row>
    <row r="492" spans="1:25" x14ac:dyDescent="0.3">
      <c r="A492" s="15" t="s">
        <v>2057</v>
      </c>
      <c r="B492" s="15" t="s">
        <v>100</v>
      </c>
      <c r="C492" s="15" t="s">
        <v>24</v>
      </c>
      <c r="D492" s="16">
        <v>45746</v>
      </c>
      <c r="E492" s="16">
        <v>45755</v>
      </c>
      <c r="F492" s="15" t="s">
        <v>2058</v>
      </c>
      <c r="G492" s="15" t="s">
        <v>28</v>
      </c>
      <c r="H492" s="16">
        <v>34645</v>
      </c>
      <c r="I492" s="15" t="s">
        <v>114</v>
      </c>
      <c r="J492" s="15" t="s">
        <v>106</v>
      </c>
      <c r="K492" s="15" t="s">
        <v>32</v>
      </c>
      <c r="L492" s="15" t="s">
        <v>33</v>
      </c>
      <c r="M492" s="15">
        <v>7</v>
      </c>
      <c r="N492" s="15">
        <v>2200</v>
      </c>
      <c r="O492" s="15">
        <v>0</v>
      </c>
      <c r="P492" s="15">
        <v>15400</v>
      </c>
      <c r="Q492" s="15">
        <v>5</v>
      </c>
      <c r="R492" s="15" t="s">
        <v>48</v>
      </c>
      <c r="S492" s="15" t="s">
        <v>35</v>
      </c>
      <c r="T492" s="15" t="s">
        <v>144</v>
      </c>
      <c r="U492" s="18" t="s">
        <v>2060</v>
      </c>
      <c r="V492" s="15" t="s">
        <v>64</v>
      </c>
      <c r="W492" s="15">
        <f t="shared" ca="1" si="14"/>
        <v>31</v>
      </c>
      <c r="X492" s="15">
        <f t="shared" si="15"/>
        <v>9</v>
      </c>
      <c r="Y492" s="15" t="str" cm="1">
        <f t="array" ref="Y492">_xlfn.IFS(ISERROR(X492), "Pending", X492&lt;=5, "On Time", X492&gt;5, "Delayed")</f>
        <v>Delayed</v>
      </c>
    </row>
    <row r="493" spans="1:25" x14ac:dyDescent="0.3">
      <c r="A493" s="19" t="s">
        <v>2061</v>
      </c>
      <c r="B493" s="19" t="s">
        <v>83</v>
      </c>
      <c r="C493" s="19" t="s">
        <v>169</v>
      </c>
      <c r="D493" s="20">
        <v>46136</v>
      </c>
      <c r="E493" s="20">
        <v>46144</v>
      </c>
      <c r="F493" s="19" t="s">
        <v>180</v>
      </c>
      <c r="G493" s="19" t="s">
        <v>76</v>
      </c>
      <c r="H493" s="20">
        <v>30304</v>
      </c>
      <c r="I493" s="19" t="s">
        <v>44</v>
      </c>
      <c r="J493" s="19" t="s">
        <v>45</v>
      </c>
      <c r="K493" s="19" t="s">
        <v>32</v>
      </c>
      <c r="L493" s="19" t="s">
        <v>174</v>
      </c>
      <c r="M493" s="19">
        <v>20</v>
      </c>
      <c r="N493" s="19">
        <v>8500</v>
      </c>
      <c r="O493" s="19">
        <v>0</v>
      </c>
      <c r="P493" s="19">
        <v>170000</v>
      </c>
      <c r="Q493" s="19">
        <v>3</v>
      </c>
      <c r="R493" s="19" t="s">
        <v>48</v>
      </c>
      <c r="S493" s="19" t="s">
        <v>49</v>
      </c>
      <c r="T493" s="19" t="s">
        <v>89</v>
      </c>
      <c r="U493" s="21" t="s">
        <v>2063</v>
      </c>
      <c r="V493" s="19" t="s">
        <v>38</v>
      </c>
      <c r="W493" s="19">
        <f t="shared" ca="1" si="14"/>
        <v>43</v>
      </c>
      <c r="X493" s="19">
        <f t="shared" si="15"/>
        <v>8</v>
      </c>
      <c r="Y493" s="19" t="str" cm="1">
        <f t="array" ref="Y493">_xlfn.IFS(ISERROR(X493), "Pending", X493&lt;=5, "On Time", X493&gt;5, "Delayed")</f>
        <v>Delayed</v>
      </c>
    </row>
    <row r="494" spans="1:25" x14ac:dyDescent="0.3">
      <c r="A494" s="15" t="s">
        <v>2064</v>
      </c>
      <c r="B494" s="15" t="s">
        <v>127</v>
      </c>
      <c r="C494" s="15" t="s">
        <v>72</v>
      </c>
      <c r="D494" s="16">
        <v>45858</v>
      </c>
      <c r="E494" s="16">
        <v>45867</v>
      </c>
      <c r="F494" s="15" t="s">
        <v>2065</v>
      </c>
      <c r="G494" s="15" t="s">
        <v>76</v>
      </c>
      <c r="H494" s="16">
        <v>36933</v>
      </c>
      <c r="I494" s="15" t="s">
        <v>30</v>
      </c>
      <c r="J494" s="15" t="s">
        <v>31</v>
      </c>
      <c r="K494" s="15" t="s">
        <v>46</v>
      </c>
      <c r="L494" s="15" t="s">
        <v>78</v>
      </c>
      <c r="M494" s="15">
        <v>11</v>
      </c>
      <c r="N494" s="15">
        <v>1200</v>
      </c>
      <c r="O494" s="15">
        <v>5</v>
      </c>
      <c r="P494" s="15">
        <v>12540</v>
      </c>
      <c r="Q494" s="15">
        <v>2</v>
      </c>
      <c r="R494" s="15" t="s">
        <v>34</v>
      </c>
      <c r="S494" s="15" t="s">
        <v>35</v>
      </c>
      <c r="T494" s="15" t="s">
        <v>132</v>
      </c>
      <c r="U494" s="18" t="s">
        <v>2067</v>
      </c>
      <c r="V494" s="15" t="s">
        <v>64</v>
      </c>
      <c r="W494" s="15">
        <f t="shared" ca="1" si="14"/>
        <v>25</v>
      </c>
      <c r="X494" s="15">
        <f t="shared" si="15"/>
        <v>9</v>
      </c>
      <c r="Y494" s="15" t="str" cm="1">
        <f t="array" ref="Y494">_xlfn.IFS(ISERROR(X494), "Pending", X494&lt;=5, "On Time", X494&gt;5, "Delayed")</f>
        <v>Delayed</v>
      </c>
    </row>
    <row r="495" spans="1:25" x14ac:dyDescent="0.3">
      <c r="A495" s="19" t="s">
        <v>2068</v>
      </c>
      <c r="B495" s="19" t="s">
        <v>83</v>
      </c>
      <c r="C495" s="19" t="s">
        <v>184</v>
      </c>
      <c r="D495" s="20">
        <v>45867</v>
      </c>
      <c r="E495" s="20">
        <v>45870</v>
      </c>
      <c r="F495" s="19" t="s">
        <v>180</v>
      </c>
      <c r="G495" s="19" t="s">
        <v>76</v>
      </c>
      <c r="H495" s="20">
        <v>37182</v>
      </c>
      <c r="I495" s="19" t="s">
        <v>138</v>
      </c>
      <c r="J495" s="19" t="s">
        <v>106</v>
      </c>
      <c r="K495" s="19" t="s">
        <v>46</v>
      </c>
      <c r="L495" s="19" t="s">
        <v>189</v>
      </c>
      <c r="M495" s="19">
        <v>14</v>
      </c>
      <c r="N495" s="19">
        <v>700</v>
      </c>
      <c r="O495" s="19">
        <v>0</v>
      </c>
      <c r="P495" s="19">
        <v>9800</v>
      </c>
      <c r="Q495" s="19">
        <v>2</v>
      </c>
      <c r="R495" s="19" t="s">
        <v>79</v>
      </c>
      <c r="S495" s="19" t="s">
        <v>151</v>
      </c>
      <c r="T495" s="19" t="s">
        <v>89</v>
      </c>
      <c r="U495" s="21" t="s">
        <v>2070</v>
      </c>
      <c r="V495" s="19" t="s">
        <v>69</v>
      </c>
      <c r="W495" s="19">
        <f t="shared" ca="1" si="14"/>
        <v>24</v>
      </c>
      <c r="X495" s="19">
        <f t="shared" si="15"/>
        <v>3</v>
      </c>
      <c r="Y495" s="19" t="str" cm="1">
        <f t="array" ref="Y495">_xlfn.IFS(ISERROR(X495), "Pending", X495&lt;=5, "On Time", X495&gt;5, "Delayed")</f>
        <v>On Time</v>
      </c>
    </row>
    <row r="496" spans="1:25" x14ac:dyDescent="0.3">
      <c r="A496" s="15" t="s">
        <v>2071</v>
      </c>
      <c r="B496" s="15" t="s">
        <v>71</v>
      </c>
      <c r="C496" s="15" t="s">
        <v>72</v>
      </c>
      <c r="D496" s="16">
        <v>45951</v>
      </c>
      <c r="E496" s="16">
        <v>45962</v>
      </c>
      <c r="F496" s="15" t="s">
        <v>217</v>
      </c>
      <c r="G496" s="15" t="s">
        <v>76</v>
      </c>
      <c r="H496" s="16">
        <v>36881</v>
      </c>
      <c r="I496" s="15" t="s">
        <v>114</v>
      </c>
      <c r="J496" s="15" t="s">
        <v>106</v>
      </c>
      <c r="K496" s="15" t="s">
        <v>46</v>
      </c>
      <c r="L496" s="15" t="s">
        <v>78</v>
      </c>
      <c r="M496" s="15">
        <v>16</v>
      </c>
      <c r="N496" s="15">
        <v>1200</v>
      </c>
      <c r="O496" s="15">
        <v>15</v>
      </c>
      <c r="P496" s="15">
        <v>16320</v>
      </c>
      <c r="Q496" s="15">
        <v>4</v>
      </c>
      <c r="R496" s="15" t="s">
        <v>34</v>
      </c>
      <c r="S496" s="15" t="s">
        <v>151</v>
      </c>
      <c r="T496" s="15" t="s">
        <v>80</v>
      </c>
      <c r="U496" s="18" t="s">
        <v>2073</v>
      </c>
      <c r="V496" s="15" t="s">
        <v>64</v>
      </c>
      <c r="W496" s="15">
        <f t="shared" ca="1" si="14"/>
        <v>25</v>
      </c>
      <c r="X496" s="15">
        <f t="shared" si="15"/>
        <v>11</v>
      </c>
      <c r="Y496" s="15" t="str" cm="1">
        <f t="array" ref="Y496">_xlfn.IFS(ISERROR(X496), "Pending", X496&lt;=5, "On Time", X496&gt;5, "Delayed")</f>
        <v>Delayed</v>
      </c>
    </row>
    <row r="497" spans="1:25" x14ac:dyDescent="0.3">
      <c r="A497" s="19" t="s">
        <v>2074</v>
      </c>
      <c r="B497" s="19" t="s">
        <v>168</v>
      </c>
      <c r="C497" s="19" t="s">
        <v>24</v>
      </c>
      <c r="D497" s="20">
        <v>46098</v>
      </c>
      <c r="E497" s="20">
        <v>46110</v>
      </c>
      <c r="F497" s="19" t="s">
        <v>2075</v>
      </c>
      <c r="G497" s="19" t="s">
        <v>28</v>
      </c>
      <c r="H497" s="20">
        <v>30367</v>
      </c>
      <c r="I497" s="19" t="s">
        <v>212</v>
      </c>
      <c r="J497" s="19" t="s">
        <v>45</v>
      </c>
      <c r="K497" s="19" t="s">
        <v>32</v>
      </c>
      <c r="L497" s="19" t="s">
        <v>33</v>
      </c>
      <c r="M497" s="19">
        <v>20</v>
      </c>
      <c r="N497" s="19">
        <v>2200</v>
      </c>
      <c r="O497" s="19">
        <v>0</v>
      </c>
      <c r="P497" s="19">
        <v>44000</v>
      </c>
      <c r="Q497" s="19">
        <v>5</v>
      </c>
      <c r="R497" s="19" t="s">
        <v>34</v>
      </c>
      <c r="S497" s="19" t="s">
        <v>35</v>
      </c>
      <c r="T497" s="19" t="s">
        <v>175</v>
      </c>
      <c r="U497" s="21" t="s">
        <v>2077</v>
      </c>
      <c r="V497" s="19" t="s">
        <v>69</v>
      </c>
      <c r="W497" s="19">
        <f t="shared" ca="1" si="14"/>
        <v>43</v>
      </c>
      <c r="X497" s="19">
        <f t="shared" si="15"/>
        <v>12</v>
      </c>
      <c r="Y497" s="19" t="str" cm="1">
        <f t="array" ref="Y497">_xlfn.IFS(ISERROR(X497), "Pending", X497&lt;=5, "On Time", X497&gt;5, "Delayed")</f>
        <v>Delayed</v>
      </c>
    </row>
    <row r="498" spans="1:25" x14ac:dyDescent="0.3">
      <c r="A498" s="15" t="s">
        <v>2078</v>
      </c>
      <c r="B498" s="15" t="s">
        <v>83</v>
      </c>
      <c r="C498" s="15" t="s">
        <v>40</v>
      </c>
      <c r="D498" s="16">
        <v>45711</v>
      </c>
      <c r="E498" s="16">
        <v>45723</v>
      </c>
      <c r="F498" s="15" t="s">
        <v>180</v>
      </c>
      <c r="G498" s="15" t="s">
        <v>76</v>
      </c>
      <c r="H498" s="16">
        <v>32307</v>
      </c>
      <c r="I498" s="15" t="s">
        <v>212</v>
      </c>
      <c r="J498" s="15" t="s">
        <v>45</v>
      </c>
      <c r="K498" s="15" t="s">
        <v>46</v>
      </c>
      <c r="L498" s="15" t="s">
        <v>47</v>
      </c>
      <c r="M498" s="15">
        <v>12</v>
      </c>
      <c r="N498" s="15">
        <v>12000</v>
      </c>
      <c r="O498" s="15">
        <v>15</v>
      </c>
      <c r="P498" s="15">
        <v>122400</v>
      </c>
      <c r="Q498" s="15">
        <v>5</v>
      </c>
      <c r="R498" s="15" t="s">
        <v>34</v>
      </c>
      <c r="S498" s="15" t="s">
        <v>151</v>
      </c>
      <c r="T498" s="15" t="s">
        <v>89</v>
      </c>
      <c r="U498" s="18" t="s">
        <v>2080</v>
      </c>
      <c r="V498" s="15" t="s">
        <v>38</v>
      </c>
      <c r="W498" s="15">
        <f t="shared" ca="1" si="14"/>
        <v>38</v>
      </c>
      <c r="X498" s="15">
        <f t="shared" si="15"/>
        <v>12</v>
      </c>
      <c r="Y498" s="15" t="str" cm="1">
        <f t="array" ref="Y498">_xlfn.IFS(ISERROR(X498), "Pending", X498&lt;=5, "On Time", X498&gt;5, "Delayed")</f>
        <v>Delayed</v>
      </c>
    </row>
    <row r="499" spans="1:25" x14ac:dyDescent="0.3">
      <c r="A499" s="19" t="s">
        <v>2081</v>
      </c>
      <c r="B499" s="19" t="s">
        <v>221</v>
      </c>
      <c r="C499" s="19" t="s">
        <v>72</v>
      </c>
      <c r="D499" s="20">
        <v>46002</v>
      </c>
      <c r="E499" s="20">
        <v>46011</v>
      </c>
      <c r="F499" s="19" t="s">
        <v>225</v>
      </c>
      <c r="G499" s="19" t="s">
        <v>76</v>
      </c>
      <c r="H499" s="20">
        <v>33807</v>
      </c>
      <c r="I499" s="19" t="s">
        <v>44</v>
      </c>
      <c r="J499" s="19" t="s">
        <v>45</v>
      </c>
      <c r="K499" s="19" t="s">
        <v>46</v>
      </c>
      <c r="L499" s="19" t="s">
        <v>78</v>
      </c>
      <c r="M499" s="19">
        <v>3</v>
      </c>
      <c r="N499" s="19">
        <v>1200</v>
      </c>
      <c r="O499" s="19">
        <v>20</v>
      </c>
      <c r="P499" s="19">
        <v>2880</v>
      </c>
      <c r="Q499" s="19">
        <v>2</v>
      </c>
      <c r="R499" s="19" t="s">
        <v>48</v>
      </c>
      <c r="S499" s="19" t="s">
        <v>115</v>
      </c>
      <c r="T499" s="19" t="s">
        <v>907</v>
      </c>
      <c r="U499" s="21" t="s">
        <v>2083</v>
      </c>
      <c r="V499" s="19" t="s">
        <v>64</v>
      </c>
      <c r="W499" s="19">
        <f t="shared" ca="1" si="14"/>
        <v>34</v>
      </c>
      <c r="X499" s="19">
        <f t="shared" si="15"/>
        <v>9</v>
      </c>
      <c r="Y499" s="19" t="str" cm="1">
        <f t="array" ref="Y499">_xlfn.IFS(ISERROR(X499), "Pending", X499&lt;=5, "On Time", X499&gt;5, "Delayed")</f>
        <v>Delayed</v>
      </c>
    </row>
    <row r="500" spans="1:25" x14ac:dyDescent="0.3">
      <c r="A500" s="15" t="s">
        <v>2084</v>
      </c>
      <c r="B500" s="15" t="s">
        <v>100</v>
      </c>
      <c r="C500" s="15" t="s">
        <v>54</v>
      </c>
      <c r="D500" s="16">
        <v>45842</v>
      </c>
      <c r="E500" s="16">
        <v>45843</v>
      </c>
      <c r="F500" s="15" t="s">
        <v>103</v>
      </c>
      <c r="G500" s="15" t="s">
        <v>28</v>
      </c>
      <c r="H500" s="16">
        <v>29197</v>
      </c>
      <c r="I500" s="15" t="s">
        <v>105</v>
      </c>
      <c r="J500" s="15" t="s">
        <v>106</v>
      </c>
      <c r="K500" s="15" t="s">
        <v>46</v>
      </c>
      <c r="L500" s="15" t="s">
        <v>2087</v>
      </c>
      <c r="M500" s="15">
        <v>6</v>
      </c>
      <c r="N500" s="15">
        <v>55000</v>
      </c>
      <c r="O500" s="15">
        <v>20</v>
      </c>
      <c r="P500" s="15">
        <v>264000</v>
      </c>
      <c r="Q500" s="15">
        <v>3</v>
      </c>
      <c r="R500" s="15" t="s">
        <v>34</v>
      </c>
      <c r="S500" s="15" t="s">
        <v>151</v>
      </c>
      <c r="T500" s="15" t="s">
        <v>144</v>
      </c>
      <c r="U500" s="18" t="s">
        <v>2088</v>
      </c>
      <c r="V500" s="15" t="s">
        <v>38</v>
      </c>
      <c r="W500" s="15">
        <f t="shared" ca="1" si="14"/>
        <v>46</v>
      </c>
      <c r="X500" s="15">
        <f t="shared" si="15"/>
        <v>1</v>
      </c>
      <c r="Y500" s="15" t="str" cm="1">
        <f t="array" ref="Y500">_xlfn.IFS(ISERROR(X500), "Pending", X500&lt;=5, "On Time", X500&gt;5, "Delayed")</f>
        <v>On Time</v>
      </c>
    </row>
    <row r="501" spans="1:25" x14ac:dyDescent="0.3">
      <c r="A501" s="19" t="s">
        <v>2089</v>
      </c>
      <c r="B501" s="19" t="s">
        <v>100</v>
      </c>
      <c r="C501" s="19" t="s">
        <v>92</v>
      </c>
      <c r="D501" s="20">
        <v>45916</v>
      </c>
      <c r="E501" s="20">
        <v>45923</v>
      </c>
      <c r="F501" s="19" t="s">
        <v>103</v>
      </c>
      <c r="G501" s="19" t="s">
        <v>28</v>
      </c>
      <c r="H501" s="20">
        <v>28088</v>
      </c>
      <c r="I501" s="19" t="s">
        <v>59</v>
      </c>
      <c r="J501" s="19" t="s">
        <v>31</v>
      </c>
      <c r="K501" s="19" t="s">
        <v>32</v>
      </c>
      <c r="L501" s="19" t="s">
        <v>97</v>
      </c>
      <c r="M501" s="19">
        <v>20</v>
      </c>
      <c r="N501" s="19">
        <v>3500</v>
      </c>
      <c r="O501" s="19">
        <v>0</v>
      </c>
      <c r="P501" s="19">
        <v>70000</v>
      </c>
      <c r="Q501" s="19">
        <v>1</v>
      </c>
      <c r="R501" s="19" t="s">
        <v>48</v>
      </c>
      <c r="S501" s="19" t="s">
        <v>151</v>
      </c>
      <c r="T501" s="19" t="s">
        <v>144</v>
      </c>
      <c r="U501" s="21" t="s">
        <v>2092</v>
      </c>
      <c r="V501" s="19" t="s">
        <v>64</v>
      </c>
      <c r="W501" s="19">
        <f t="shared" ca="1" si="14"/>
        <v>49</v>
      </c>
      <c r="X501" s="19">
        <f t="shared" si="15"/>
        <v>7</v>
      </c>
      <c r="Y501" s="19" t="str" cm="1">
        <f t="array" ref="Y501">_xlfn.IFS(ISERROR(X501), "Pending", X501&lt;=5, "On Time", X501&gt;5, "Delayed")</f>
        <v>Delayed</v>
      </c>
    </row>
  </sheetData>
  <hyperlinks>
    <hyperlink ref="T2" r:id="rId1" xr:uid="{9408E860-79BD-4718-803B-E211A43E9C19}"/>
    <hyperlink ref="T5" r:id="rId2" xr:uid="{000B4970-2F17-48A5-AD40-0A6042CA4180}"/>
    <hyperlink ref="T9" r:id="rId3" xr:uid="{65139546-9DE4-4064-98D8-8E845F940B65}"/>
    <hyperlink ref="T11" r:id="rId4" xr:uid="{2776F48B-0BEC-4795-A4E4-3ACA2A8B2954}"/>
    <hyperlink ref="T16" r:id="rId5" xr:uid="{45671E30-DA98-4CDC-88C6-CD568E42D103}"/>
    <hyperlink ref="T15" r:id="rId6" xr:uid="{524947D0-76C5-4437-BB6F-8BA553718CC3}"/>
    <hyperlink ref="T20" r:id="rId7" xr:uid="{38817816-DF53-4FC7-8936-2058DEE8C46B}"/>
    <hyperlink ref="T61" r:id="rId8" xr:uid="{478AE37E-CE9B-4345-977F-8A8785E56FCC}"/>
    <hyperlink ref="T72" r:id="rId9" xr:uid="{1A509D20-6940-4295-BF29-0E4296B4506E}"/>
    <hyperlink ref="T294" r:id="rId10" xr:uid="{F6A37FF9-4509-4FA8-BEB8-5C70DC0F6FC7}"/>
    <hyperlink ref="T489" r:id="rId11" xr:uid="{F08C9AD3-3622-4809-AAAF-498931D07444}"/>
    <hyperlink ref="T479" r:id="rId12" xr:uid="{CA1D0ED7-BD67-4523-BEF9-418907A62D41}"/>
    <hyperlink ref="T463" r:id="rId13" xr:uid="{62F6EA8B-F931-42B4-83CE-83EB9E201618}"/>
    <hyperlink ref="T450" r:id="rId14" xr:uid="{21186D20-BEDE-4575-BB44-00137902BA4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BBA6-55BF-41E7-BE40-9571BB5A494B}">
  <dimension ref="B2:F3"/>
  <sheetViews>
    <sheetView showGridLines="0" zoomScale="108" zoomScaleNormal="90" workbookViewId="0">
      <selection activeCell="B3" sqref="B3"/>
    </sheetView>
  </sheetViews>
  <sheetFormatPr defaultRowHeight="14.4" x14ac:dyDescent="0.3"/>
  <cols>
    <col min="1" max="1" width="10.109375" bestFit="1" customWidth="1"/>
    <col min="2" max="2" width="13.33203125" bestFit="1" customWidth="1"/>
    <col min="3" max="6" width="17.6640625" bestFit="1" customWidth="1"/>
    <col min="7" max="7" width="16.5546875" bestFit="1" customWidth="1"/>
  </cols>
  <sheetData>
    <row r="2" spans="2:6" x14ac:dyDescent="0.3">
      <c r="B2" s="27" t="s">
        <v>2114</v>
      </c>
      <c r="C2" s="27" t="s">
        <v>2115</v>
      </c>
      <c r="D2" s="27" t="s">
        <v>2098</v>
      </c>
      <c r="E2" s="27" t="s">
        <v>2116</v>
      </c>
      <c r="F2" s="27" t="s">
        <v>2117</v>
      </c>
    </row>
    <row r="3" spans="2:6" x14ac:dyDescent="0.3">
      <c r="B3" s="23" t="s">
        <v>72</v>
      </c>
      <c r="C3" s="23" t="str">
        <f>IFERROR(_xlfn.XLOOKUP('Product Lookup Report (Q4)'!$B$3,Product_master!$A$2:$A$11,Product_master!B2:B11),"Product Not Found")</f>
        <v>Keyboard</v>
      </c>
      <c r="D3" s="23" t="str">
        <f>IFERROR(_xlfn.XLOOKUP('Product Lookup Report (Q4)'!$B$3,Product_master!$A$2:$A$11,Product_master!D2:D11),"Product Not Found")</f>
        <v>TechHub</v>
      </c>
      <c r="E3" s="23">
        <f>IFERROR(_xlfn.XLOOKUP('Product Lookup Report (Q4)'!$B$3,Product_master!$A$2:$A$11,Product_master!E2:E11),"Product Not Found")</f>
        <v>900</v>
      </c>
      <c r="F3" s="23">
        <f>IFERROR(_xlfn.XLOOKUP('Product Lookup Report (Q4)'!$B$3,Product_master!$A$2:$A$11,Product_master!F2:F11),"Product Not Found")</f>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CD41-05A7-48DB-AEB9-612D09706FE7}">
  <dimension ref="B5:C11"/>
  <sheetViews>
    <sheetView showGridLines="0" zoomScale="81" workbookViewId="0">
      <selection activeCell="C11" sqref="C11"/>
    </sheetView>
  </sheetViews>
  <sheetFormatPr defaultRowHeight="14.4" x14ac:dyDescent="0.3"/>
  <cols>
    <col min="2" max="2" width="20.88671875" customWidth="1"/>
    <col min="3" max="3" width="13.77734375" customWidth="1"/>
  </cols>
  <sheetData>
    <row r="5" spans="2:3" ht="13.8" customHeight="1" x14ac:dyDescent="0.3"/>
    <row r="6" spans="2:3" ht="13.8" customHeight="1" x14ac:dyDescent="0.3"/>
    <row r="7" spans="2:3" ht="60.6" customHeight="1" x14ac:dyDescent="0.3">
      <c r="B7" s="28" t="s">
        <v>2118</v>
      </c>
      <c r="C7" s="30">
        <f>SUMIFS(Sales_Data!P3:P502,Sales_Data!K3:K502,"Electronics",Sales_Data!V3:V502,"Completed")</f>
        <v>7222090</v>
      </c>
    </row>
    <row r="8" spans="2:3" ht="48.6" customHeight="1" x14ac:dyDescent="0.3">
      <c r="B8" s="29" t="s">
        <v>2119</v>
      </c>
      <c r="C8" s="30">
        <f>SUMIFS(Sales_Data!P2:P501,Sales_Data!S2:S501,"Neha",Sales_Data!J2:J501,"North")</f>
        <v>1550369.25</v>
      </c>
    </row>
    <row r="9" spans="2:3" ht="91.2" customHeight="1" x14ac:dyDescent="0.3">
      <c r="B9" s="28" t="s">
        <v>2121</v>
      </c>
      <c r="C9" s="30">
        <f>COUNTIFS(Sales_Data!O2:O501,"&gt;=15",Sales_Data!R2:R501,"UPI")</f>
        <v>45</v>
      </c>
    </row>
    <row r="10" spans="2:3" ht="73.2" customHeight="1" x14ac:dyDescent="0.3">
      <c r="B10" s="28" t="s">
        <v>2120</v>
      </c>
      <c r="C10" s="30">
        <f>COUNTIFS(Sales_Data!Q2:Q501,5,Sales_Data!V2:V501,"Completed")</f>
        <v>27</v>
      </c>
    </row>
    <row r="11" spans="2:3" ht="80.400000000000006" customHeight="1" x14ac:dyDescent="0.3">
      <c r="B11" s="28" t="s">
        <v>2122</v>
      </c>
      <c r="C11" s="31">
        <f>AVERAGEIFS(Sales_Data!P2:P501,Sales_Data!J2:J501,"WEST",Sales_Data!M2:M501,"&gt;5")</f>
        <v>82824.450657894733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56E8-81A6-4080-B517-0054604035F4}">
  <dimension ref="A1:H9"/>
  <sheetViews>
    <sheetView showGridLines="0" zoomScale="69" workbookViewId="0">
      <selection activeCell="B7" sqref="B7"/>
    </sheetView>
  </sheetViews>
  <sheetFormatPr defaultRowHeight="14.4" x14ac:dyDescent="0.3"/>
  <cols>
    <col min="1" max="1" width="20.77734375" bestFit="1" customWidth="1"/>
    <col min="2" max="2" width="15.21875" bestFit="1" customWidth="1"/>
    <col min="8" max="8" width="11.44140625" customWidth="1"/>
  </cols>
  <sheetData>
    <row r="1" spans="1:8" x14ac:dyDescent="0.3">
      <c r="A1" s="32"/>
    </row>
    <row r="2" spans="1:8" x14ac:dyDescent="0.3">
      <c r="A2" s="33" t="s">
        <v>2123</v>
      </c>
      <c r="B2" s="40">
        <f>AVERAGE(Sales_Data!P2:P501)</f>
        <v>69531.875</v>
      </c>
    </row>
    <row r="3" spans="1:8" x14ac:dyDescent="0.3">
      <c r="A3" s="34" t="s">
        <v>2124</v>
      </c>
      <c r="B3" s="40">
        <f>MEDIAN(Sales_Data!P2:P501)</f>
        <v>10475</v>
      </c>
    </row>
    <row r="4" spans="1:8" x14ac:dyDescent="0.3">
      <c r="A4" s="34" t="s">
        <v>2125</v>
      </c>
      <c r="B4" s="40">
        <f>MAX(Sales_Data!P2:P501)</f>
        <v>1045000</v>
      </c>
    </row>
    <row r="5" spans="1:8" x14ac:dyDescent="0.3">
      <c r="A5" s="34" t="s">
        <v>2126</v>
      </c>
      <c r="B5" s="40">
        <f>MIN(Sales_Data!P2:P501)</f>
        <v>19</v>
      </c>
    </row>
    <row r="6" spans="1:8" x14ac:dyDescent="0.3">
      <c r="A6" s="34" t="s">
        <v>2127</v>
      </c>
      <c r="B6" s="40">
        <f>_xlfn.STDEV.S(Sales_Data!P2:P501)</f>
        <v>167151.44592393315</v>
      </c>
    </row>
    <row r="7" spans="1:8" ht="14.4" customHeight="1" x14ac:dyDescent="0.3">
      <c r="A7" s="34" t="s">
        <v>2128</v>
      </c>
      <c r="B7" s="41">
        <f>_xlfn.PERCENTILE.INC(Sales_Data!P2:P501,90%)</f>
        <v>163880.00000000015</v>
      </c>
      <c r="C7" s="75" t="s">
        <v>2129</v>
      </c>
      <c r="D7" s="75"/>
      <c r="E7" s="75"/>
      <c r="F7" s="75"/>
      <c r="G7" s="75"/>
      <c r="H7" s="75"/>
    </row>
    <row r="8" spans="1:8" x14ac:dyDescent="0.3">
      <c r="C8" s="75"/>
      <c r="D8" s="75"/>
      <c r="E8" s="75"/>
      <c r="F8" s="75"/>
      <c r="G8" s="75"/>
      <c r="H8" s="75"/>
    </row>
    <row r="9" spans="1:8" x14ac:dyDescent="0.3">
      <c r="C9" s="75"/>
      <c r="D9" s="75"/>
      <c r="E9" s="75"/>
      <c r="F9" s="75"/>
      <c r="G9" s="75"/>
      <c r="H9" s="75"/>
    </row>
  </sheetData>
  <mergeCells count="1">
    <mergeCell ref="C7:H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0A5D-483C-400F-9107-6815CF5A128D}">
  <dimension ref="B1:H9"/>
  <sheetViews>
    <sheetView showGridLines="0" zoomScale="157" workbookViewId="0">
      <selection activeCell="E8" sqref="E8:F9"/>
    </sheetView>
  </sheetViews>
  <sheetFormatPr defaultRowHeight="14.4" x14ac:dyDescent="0.3"/>
  <cols>
    <col min="3" max="3" width="17.109375" customWidth="1"/>
    <col min="4" max="4" width="15.33203125" bestFit="1" customWidth="1"/>
    <col min="5" max="5" width="12.88671875" customWidth="1"/>
    <col min="6" max="6" width="14.21875" customWidth="1"/>
    <col min="7" max="7" width="15.33203125" bestFit="1" customWidth="1"/>
  </cols>
  <sheetData>
    <row r="1" spans="2:8" ht="15" thickBot="1" x14ac:dyDescent="0.35"/>
    <row r="2" spans="2:8" ht="14.4" customHeight="1" x14ac:dyDescent="0.5">
      <c r="B2" s="86" t="s">
        <v>2130</v>
      </c>
      <c r="C2" s="87"/>
      <c r="D2" s="87"/>
      <c r="E2" s="87"/>
      <c r="F2" s="87"/>
      <c r="G2" s="88"/>
      <c r="H2" s="35"/>
    </row>
    <row r="3" spans="2:8" ht="14.4" customHeight="1" thickBot="1" x14ac:dyDescent="0.55000000000000004">
      <c r="B3" s="89"/>
      <c r="C3" s="90"/>
      <c r="D3" s="90"/>
      <c r="E3" s="90"/>
      <c r="F3" s="90"/>
      <c r="G3" s="91"/>
      <c r="H3" s="35"/>
    </row>
    <row r="4" spans="2:8" x14ac:dyDescent="0.3">
      <c r="B4" s="92" t="s">
        <v>2131</v>
      </c>
      <c r="C4" s="84"/>
      <c r="D4" s="36">
        <f>SUMPRODUCT(Sales_Data!M2:M501,Sales_Data!N2:N501)</f>
        <v>36604875</v>
      </c>
      <c r="E4" s="84" t="s">
        <v>2133</v>
      </c>
      <c r="F4" s="84"/>
      <c r="G4" s="38">
        <f>SUMPRODUCT(Sales_Data!M2:M501,Sales_Data!N2:N501)</f>
        <v>36604875</v>
      </c>
    </row>
    <row r="5" spans="2:8" ht="15" thickBot="1" x14ac:dyDescent="0.35">
      <c r="B5" s="93" t="s">
        <v>2132</v>
      </c>
      <c r="C5" s="85"/>
      <c r="D5" s="37">
        <f>SUMPRODUCT(Sales_Data!N2:N501,Sales_Data!M2:M501)/SUM(Sales_Data!M2:M501)</f>
        <v>6989.6648844758447</v>
      </c>
      <c r="E5" s="85" t="s">
        <v>2134</v>
      </c>
      <c r="F5" s="85"/>
      <c r="G5" s="39">
        <f>SUM(Sales_Data!P2:P501)</f>
        <v>34765937.5</v>
      </c>
    </row>
    <row r="6" spans="2:8" x14ac:dyDescent="0.3">
      <c r="C6" s="94" t="s">
        <v>2135</v>
      </c>
      <c r="D6" s="95"/>
      <c r="E6" s="80">
        <f>G4-G5</f>
        <v>1838937.5</v>
      </c>
      <c r="F6" s="81"/>
    </row>
    <row r="7" spans="2:8" ht="15" thickBot="1" x14ac:dyDescent="0.35">
      <c r="C7" s="96"/>
      <c r="D7" s="97"/>
      <c r="E7" s="82"/>
      <c r="F7" s="83"/>
    </row>
    <row r="8" spans="2:8" ht="14.4" customHeight="1" x14ac:dyDescent="0.3">
      <c r="C8" s="76" t="s">
        <v>2136</v>
      </c>
      <c r="D8" s="77"/>
      <c r="E8" s="80">
        <f>SUMPRODUCT(Sales_Data!M2:M501,Sales_Data!N2:N501,Sales_Data!O2:O501)/100</f>
        <v>2918151.5</v>
      </c>
      <c r="F8" s="81"/>
    </row>
    <row r="9" spans="2:8" ht="15" thickBot="1" x14ac:dyDescent="0.35">
      <c r="C9" s="78"/>
      <c r="D9" s="79"/>
      <c r="E9" s="82"/>
      <c r="F9" s="83"/>
    </row>
  </sheetData>
  <mergeCells count="9">
    <mergeCell ref="C8:D9"/>
    <mergeCell ref="E8:F9"/>
    <mergeCell ref="E4:F4"/>
    <mergeCell ref="E5:F5"/>
    <mergeCell ref="B2:G3"/>
    <mergeCell ref="B4:C4"/>
    <mergeCell ref="B5:C5"/>
    <mergeCell ref="C6:D7"/>
    <mergeCell ref="E6:F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F5CB0-490E-4A3B-8978-B1AD5E966AD3}">
  <dimension ref="B1:C6"/>
  <sheetViews>
    <sheetView workbookViewId="0">
      <selection activeCell="C4" sqref="C4"/>
    </sheetView>
  </sheetViews>
  <sheetFormatPr defaultRowHeight="14.4" x14ac:dyDescent="0.3"/>
  <cols>
    <col min="1" max="2" width="25.77734375" bestFit="1" customWidth="1"/>
    <col min="3" max="3" width="12.44140625" bestFit="1" customWidth="1"/>
    <col min="4" max="4" width="11.109375" bestFit="1" customWidth="1"/>
  </cols>
  <sheetData>
    <row r="1" spans="2:3" ht="15" thickBot="1" x14ac:dyDescent="0.35"/>
    <row r="2" spans="2:3" ht="15" thickBot="1" x14ac:dyDescent="0.35">
      <c r="B2" s="98" t="s">
        <v>2130</v>
      </c>
      <c r="C2" s="99"/>
    </row>
    <row r="3" spans="2:3" x14ac:dyDescent="0.3">
      <c r="B3" s="45" t="s">
        <v>2137</v>
      </c>
      <c r="C3" s="42">
        <f>ROUND(FV(10%/12,5*12,-50000),2)</f>
        <v>3871853.61</v>
      </c>
    </row>
    <row r="4" spans="2:3" x14ac:dyDescent="0.3">
      <c r="B4" s="46" t="s">
        <v>2138</v>
      </c>
      <c r="C4" s="43">
        <f>PMT(0%,5*12,-5000000)</f>
        <v>83333.333333333328</v>
      </c>
    </row>
    <row r="5" spans="2:3" ht="15" customHeight="1" thickBot="1" x14ac:dyDescent="0.35">
      <c r="B5" s="47" t="s">
        <v>2139</v>
      </c>
      <c r="C5" s="44">
        <f>ROUND(PMT(9%/12,5*12,-1000000),0)</f>
        <v>20758</v>
      </c>
    </row>
    <row r="6" spans="2:3" ht="13.2" customHeight="1" x14ac:dyDescent="0.3"/>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4EDB-36A9-41F8-BE37-C07BD6FB5323}">
  <dimension ref="A1:X501"/>
  <sheetViews>
    <sheetView topLeftCell="C336" zoomScale="65" workbookViewId="0">
      <selection activeCell="K21" sqref="K21"/>
    </sheetView>
  </sheetViews>
  <sheetFormatPr defaultRowHeight="14.4" x14ac:dyDescent="0.3"/>
  <cols>
    <col min="1" max="1" width="9.6640625" bestFit="1" customWidth="1"/>
    <col min="2" max="2" width="11.88671875" bestFit="1" customWidth="1"/>
    <col min="3" max="3" width="10.44140625" bestFit="1" customWidth="1"/>
    <col min="4" max="4" width="11.44140625" style="51" bestFit="1" customWidth="1"/>
    <col min="5" max="5" width="12.6640625" style="51" bestFit="1" customWidth="1"/>
    <col min="6" max="6" width="16.77734375" bestFit="1" customWidth="1"/>
    <col min="7" max="7" width="7.109375" bestFit="1" customWidth="1"/>
    <col min="8" max="8" width="10.5546875" bestFit="1" customWidth="1"/>
    <col min="9" max="9" width="10.6640625" bestFit="1" customWidth="1"/>
    <col min="10" max="10" width="6.77734375" bestFit="1" customWidth="1"/>
    <col min="11" max="11" width="15.109375" bestFit="1" customWidth="1"/>
    <col min="12" max="12" width="13.77734375" bestFit="1" customWidth="1"/>
    <col min="13" max="13" width="8.33203125" bestFit="1" customWidth="1"/>
    <col min="14" max="14" width="9.6640625" bestFit="1" customWidth="1"/>
    <col min="15" max="15" width="10.77734375" bestFit="1" customWidth="1"/>
    <col min="16" max="16" width="8" bestFit="1" customWidth="1"/>
    <col min="17" max="17" width="6.33203125" bestFit="1" customWidth="1"/>
    <col min="18" max="18" width="14.6640625" bestFit="1" customWidth="1"/>
    <col min="19" max="19" width="13.77734375" bestFit="1" customWidth="1"/>
    <col min="20" max="20" width="25.21875" bestFit="1" customWidth="1"/>
    <col min="21" max="21" width="11" bestFit="1" customWidth="1"/>
    <col min="22" max="22" width="12.6640625" bestFit="1" customWidth="1"/>
    <col min="23" max="23" width="10" bestFit="1" customWidth="1"/>
    <col min="24" max="24" width="11.21875" bestFit="1" customWidth="1"/>
  </cols>
  <sheetData>
    <row r="1" spans="1:24" ht="15" thickBot="1" x14ac:dyDescent="0.35">
      <c r="A1" s="63"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spans="1:24" ht="15" thickTop="1" x14ac:dyDescent="0.3">
      <c r="A2" s="65" t="s">
        <v>22</v>
      </c>
      <c r="B2" s="66" t="s">
        <v>23</v>
      </c>
      <c r="C2" s="66" t="s">
        <v>24</v>
      </c>
      <c r="D2" s="67" t="s">
        <v>25</v>
      </c>
      <c r="E2" s="68" t="s">
        <v>26</v>
      </c>
      <c r="F2" s="66" t="str">
        <f>TRIM(PROPER(Sales_Data!F2))</f>
        <v>Kavya Nair</v>
      </c>
      <c r="G2" s="66" t="s">
        <v>28</v>
      </c>
      <c r="H2" s="66" t="s">
        <v>29</v>
      </c>
      <c r="I2" s="66" t="s">
        <v>30</v>
      </c>
      <c r="J2" s="66" t="str">
        <f>PROPER(Sales_Data!J2)</f>
        <v>South</v>
      </c>
      <c r="K2" s="66" t="str">
        <f>PROPER(Sales_Data!K2)</f>
        <v>Home Appliances</v>
      </c>
      <c r="L2" s="66" t="s">
        <v>33</v>
      </c>
      <c r="M2" s="66">
        <v>4</v>
      </c>
      <c r="N2" s="66">
        <v>2200</v>
      </c>
      <c r="O2" s="66">
        <v>10</v>
      </c>
      <c r="P2" s="66">
        <v>7920</v>
      </c>
      <c r="Q2" s="66">
        <v>4</v>
      </c>
      <c r="R2" s="66" t="s">
        <v>34</v>
      </c>
      <c r="S2" s="66" t="s">
        <v>35</v>
      </c>
      <c r="T2" s="66" t="s">
        <v>36</v>
      </c>
      <c r="U2" s="69" t="s">
        <v>37</v>
      </c>
      <c r="V2" s="66" t="s">
        <v>38</v>
      </c>
      <c r="X2" t="str">
        <f>PROPER(Sales_Data!X2)</f>
        <v/>
      </c>
    </row>
    <row r="3" spans="1:24" x14ac:dyDescent="0.3">
      <c r="A3" s="65" t="s">
        <v>39</v>
      </c>
      <c r="B3" s="66" t="s">
        <v>23</v>
      </c>
      <c r="C3" s="66" t="s">
        <v>40</v>
      </c>
      <c r="D3" s="67" t="s">
        <v>41</v>
      </c>
      <c r="E3" s="68" t="s">
        <v>42</v>
      </c>
      <c r="F3" s="66" t="str">
        <f>TRIM(PROPER(Sales_Data!F3))</f>
        <v>Kavya Nair</v>
      </c>
      <c r="G3" s="66" t="s">
        <v>28</v>
      </c>
      <c r="H3" s="66" t="s">
        <v>43</v>
      </c>
      <c r="I3" s="66" t="s">
        <v>44</v>
      </c>
      <c r="J3" s="66" t="str">
        <f>PROPER(Sales_Data!J3)</f>
        <v>North</v>
      </c>
      <c r="K3" s="66" t="str">
        <f>PROPER(Sales_Data!K3)</f>
        <v>Electronics</v>
      </c>
      <c r="L3" s="66" t="s">
        <v>47</v>
      </c>
      <c r="M3" s="66">
        <v>17</v>
      </c>
      <c r="N3" s="66">
        <v>12000</v>
      </c>
      <c r="O3" s="66">
        <v>10</v>
      </c>
      <c r="P3" s="66">
        <v>183600</v>
      </c>
      <c r="Q3" s="66">
        <v>1</v>
      </c>
      <c r="R3" s="66" t="s">
        <v>48</v>
      </c>
      <c r="S3" s="66" t="s">
        <v>49</v>
      </c>
      <c r="T3" s="66" t="s">
        <v>50</v>
      </c>
      <c r="U3" s="69" t="s">
        <v>51</v>
      </c>
      <c r="V3" s="66" t="s">
        <v>38</v>
      </c>
      <c r="X3" t="str">
        <f>PROPER(Sales_Data!X3)</f>
        <v/>
      </c>
    </row>
    <row r="4" spans="1:24" x14ac:dyDescent="0.3">
      <c r="A4" s="65" t="s">
        <v>52</v>
      </c>
      <c r="B4" s="66" t="s">
        <v>53</v>
      </c>
      <c r="C4" s="66" t="s">
        <v>54</v>
      </c>
      <c r="D4" s="67">
        <v>45725</v>
      </c>
      <c r="E4" s="68" t="s">
        <v>56</v>
      </c>
      <c r="F4" s="66" t="str">
        <f>TRIM(PROPER(Sales_Data!F4))</f>
        <v>Pooja Shah</v>
      </c>
      <c r="G4" s="66" t="s">
        <v>28</v>
      </c>
      <c r="H4" s="66" t="s">
        <v>58</v>
      </c>
      <c r="I4" s="66" t="s">
        <v>59</v>
      </c>
      <c r="J4" s="66" t="str">
        <f>PROPER(Sales_Data!J4)</f>
        <v>South</v>
      </c>
      <c r="K4" s="66" t="str">
        <f>PROPER(Sales_Data!K4)</f>
        <v>Electronics</v>
      </c>
      <c r="L4" s="66" t="s">
        <v>60</v>
      </c>
      <c r="M4" s="66">
        <v>5</v>
      </c>
      <c r="N4" s="66">
        <v>55000</v>
      </c>
      <c r="O4" s="66">
        <v>5</v>
      </c>
      <c r="P4" s="66">
        <v>261250</v>
      </c>
      <c r="Q4" s="66">
        <v>3</v>
      </c>
      <c r="R4" s="66" t="s">
        <v>48</v>
      </c>
      <c r="S4" s="66" t="s">
        <v>61</v>
      </c>
      <c r="T4" s="66" t="s">
        <v>62</v>
      </c>
      <c r="U4" s="69" t="s">
        <v>63</v>
      </c>
      <c r="V4" s="66" t="s">
        <v>64</v>
      </c>
      <c r="X4" t="str">
        <f>PROPER(Sales_Data!X4)</f>
        <v/>
      </c>
    </row>
    <row r="5" spans="1:24" x14ac:dyDescent="0.3">
      <c r="A5" s="65" t="s">
        <v>39</v>
      </c>
      <c r="B5" s="66" t="s">
        <v>23</v>
      </c>
      <c r="C5" s="66" t="s">
        <v>24</v>
      </c>
      <c r="D5" s="67" t="s">
        <v>65</v>
      </c>
      <c r="E5" s="68" t="s">
        <v>66</v>
      </c>
      <c r="F5" s="66" t="str">
        <f>TRIM(PROPER(Sales_Data!F5))</f>
        <v>Kavya Nair</v>
      </c>
      <c r="G5" s="66" t="s">
        <v>28</v>
      </c>
      <c r="H5" s="66" t="s">
        <v>67</v>
      </c>
      <c r="I5" s="66" t="s">
        <v>59</v>
      </c>
      <c r="J5" s="66" t="str">
        <f>PROPER(Sales_Data!J5)</f>
        <v>South</v>
      </c>
      <c r="K5" s="66" t="str">
        <f>PROPER(Sales_Data!K5)</f>
        <v>Home Appliances</v>
      </c>
      <c r="L5" s="66" t="s">
        <v>33</v>
      </c>
      <c r="M5" s="66">
        <v>5</v>
      </c>
      <c r="N5" s="66">
        <v>2200</v>
      </c>
      <c r="O5" s="66">
        <v>5</v>
      </c>
      <c r="P5" s="66">
        <v>10450</v>
      </c>
      <c r="Q5" s="66">
        <v>5</v>
      </c>
      <c r="R5" s="66" t="s">
        <v>48</v>
      </c>
      <c r="S5" s="66" t="s">
        <v>61</v>
      </c>
      <c r="T5" s="66" t="s">
        <v>50</v>
      </c>
      <c r="U5" s="69" t="s">
        <v>68</v>
      </c>
      <c r="V5" s="66" t="s">
        <v>69</v>
      </c>
      <c r="X5" t="str">
        <f>PROPER(Sales_Data!X5)</f>
        <v/>
      </c>
    </row>
    <row r="6" spans="1:24" x14ac:dyDescent="0.3">
      <c r="A6" s="65" t="s">
        <v>70</v>
      </c>
      <c r="B6" s="66" t="s">
        <v>71</v>
      </c>
      <c r="C6" s="66" t="s">
        <v>72</v>
      </c>
      <c r="D6" s="67" t="s">
        <v>73</v>
      </c>
      <c r="E6" s="68" t="s">
        <v>74</v>
      </c>
      <c r="F6" s="66" t="str">
        <f>TRIM(PROPER(Sales_Data!F6))</f>
        <v>Mohit Verma</v>
      </c>
      <c r="G6" s="66" t="s">
        <v>76</v>
      </c>
      <c r="H6" s="66" t="s">
        <v>77</v>
      </c>
      <c r="I6" s="66" t="s">
        <v>44</v>
      </c>
      <c r="J6" s="66" t="str">
        <f>PROPER(Sales_Data!J6)</f>
        <v>North</v>
      </c>
      <c r="K6" s="66" t="str">
        <f>PROPER(Sales_Data!K6)</f>
        <v>Electronics</v>
      </c>
      <c r="L6" s="66" t="s">
        <v>78</v>
      </c>
      <c r="M6" s="66">
        <v>8</v>
      </c>
      <c r="N6" s="66">
        <v>1200</v>
      </c>
      <c r="O6" s="66">
        <v>5</v>
      </c>
      <c r="P6" s="66">
        <v>9120</v>
      </c>
      <c r="Q6" s="66">
        <v>2</v>
      </c>
      <c r="R6" s="66" t="s">
        <v>79</v>
      </c>
      <c r="S6" s="66" t="s">
        <v>61</v>
      </c>
      <c r="T6" s="66" t="s">
        <v>80</v>
      </c>
      <c r="U6" s="69" t="s">
        <v>81</v>
      </c>
      <c r="V6" s="66" t="s">
        <v>64</v>
      </c>
      <c r="X6" t="str">
        <f>PROPER(Sales_Data!X6)</f>
        <v/>
      </c>
    </row>
    <row r="7" spans="1:24" x14ac:dyDescent="0.3">
      <c r="A7" s="65" t="s">
        <v>82</v>
      </c>
      <c r="B7" s="66" t="s">
        <v>83</v>
      </c>
      <c r="C7" s="66" t="s">
        <v>24</v>
      </c>
      <c r="D7" s="67">
        <v>46113</v>
      </c>
      <c r="E7" s="68" t="s">
        <v>85</v>
      </c>
      <c r="F7" s="66" t="str">
        <f>TRIM(PROPER(Sales_Data!F7))</f>
        <v>Arjun Rao</v>
      </c>
      <c r="G7" s="66" t="s">
        <v>76</v>
      </c>
      <c r="H7" s="66" t="s">
        <v>87</v>
      </c>
      <c r="I7" s="66" t="s">
        <v>30</v>
      </c>
      <c r="J7" s="66" t="str">
        <f>PROPER(Sales_Data!J7)</f>
        <v>South</v>
      </c>
      <c r="K7" s="66" t="str">
        <f>PROPER(Sales_Data!K7)</f>
        <v>Home Appliances</v>
      </c>
      <c r="L7" s="66" t="s">
        <v>33</v>
      </c>
      <c r="M7" s="66">
        <v>4</v>
      </c>
      <c r="N7" s="66">
        <v>2200</v>
      </c>
      <c r="O7" s="66">
        <v>0</v>
      </c>
      <c r="P7" s="66">
        <v>8800</v>
      </c>
      <c r="Q7" s="66">
        <v>1</v>
      </c>
      <c r="R7" s="66" t="s">
        <v>88</v>
      </c>
      <c r="S7" s="66" t="s">
        <v>35</v>
      </c>
      <c r="T7" s="66" t="s">
        <v>89</v>
      </c>
      <c r="U7" s="69" t="s">
        <v>90</v>
      </c>
      <c r="V7" s="66" t="s">
        <v>38</v>
      </c>
      <c r="X7" t="str">
        <f>PROPER(Sales_Data!X7)</f>
        <v/>
      </c>
    </row>
    <row r="8" spans="1:24" x14ac:dyDescent="0.3">
      <c r="A8" s="65" t="s">
        <v>91</v>
      </c>
      <c r="B8" s="66" t="s">
        <v>23</v>
      </c>
      <c r="C8" s="66" t="s">
        <v>92</v>
      </c>
      <c r="D8" s="67" t="s">
        <v>93</v>
      </c>
      <c r="E8" s="68" t="s">
        <v>94</v>
      </c>
      <c r="F8" s="66" t="str">
        <f>TRIM(PROPER(Sales_Data!F8))</f>
        <v>Kavya Nair</v>
      </c>
      <c r="G8" s="66" t="s">
        <v>28</v>
      </c>
      <c r="H8" s="66" t="s">
        <v>96</v>
      </c>
      <c r="I8" s="66" t="s">
        <v>30</v>
      </c>
      <c r="J8" s="66" t="str">
        <f>PROPER(Sales_Data!J8)</f>
        <v>South</v>
      </c>
      <c r="K8" s="66" t="str">
        <f>PROPER(Sales_Data!K8)</f>
        <v>Home Appliances</v>
      </c>
      <c r="L8" s="66" t="s">
        <v>97</v>
      </c>
      <c r="M8" s="66">
        <v>2</v>
      </c>
      <c r="N8" s="66">
        <v>3500</v>
      </c>
      <c r="O8" s="66">
        <v>5</v>
      </c>
      <c r="P8" s="66">
        <v>6650</v>
      </c>
      <c r="Q8" s="66">
        <v>1</v>
      </c>
      <c r="R8" s="66" t="s">
        <v>88</v>
      </c>
      <c r="S8" s="66" t="s">
        <v>35</v>
      </c>
      <c r="T8" s="66" t="s">
        <v>50</v>
      </c>
      <c r="U8" s="69" t="s">
        <v>98</v>
      </c>
      <c r="V8" s="66" t="s">
        <v>38</v>
      </c>
      <c r="X8" t="str">
        <f>PROPER(Sales_Data!X8)</f>
        <v/>
      </c>
    </row>
    <row r="9" spans="1:24" x14ac:dyDescent="0.3">
      <c r="A9" s="65" t="s">
        <v>99</v>
      </c>
      <c r="B9" s="66" t="s">
        <v>100</v>
      </c>
      <c r="C9" s="66" t="s">
        <v>40</v>
      </c>
      <c r="D9" s="67" t="s">
        <v>101</v>
      </c>
      <c r="E9" s="68" t="s">
        <v>102</v>
      </c>
      <c r="F9" s="66" t="str">
        <f>TRIM(PROPER(Sales_Data!F9))</f>
        <v>Priya Patel</v>
      </c>
      <c r="G9" s="66" t="s">
        <v>28</v>
      </c>
      <c r="H9" s="66" t="s">
        <v>104</v>
      </c>
      <c r="I9" s="66" t="s">
        <v>105</v>
      </c>
      <c r="J9" s="66" t="str">
        <f>PROPER(Sales_Data!J9)</f>
        <v>West</v>
      </c>
      <c r="K9" s="66" t="str">
        <f>PROPER(Sales_Data!K9)</f>
        <v>Electronics</v>
      </c>
      <c r="L9" s="66" t="s">
        <v>47</v>
      </c>
      <c r="M9" s="66">
        <v>14</v>
      </c>
      <c r="N9" s="66">
        <v>12000</v>
      </c>
      <c r="O9" s="66">
        <v>15</v>
      </c>
      <c r="P9" s="66">
        <v>142800</v>
      </c>
      <c r="Q9" s="66">
        <v>4</v>
      </c>
      <c r="R9" s="66" t="s">
        <v>48</v>
      </c>
      <c r="S9" s="66" t="s">
        <v>35</v>
      </c>
      <c r="T9" s="66" t="s">
        <v>107</v>
      </c>
      <c r="U9" s="69" t="s">
        <v>108</v>
      </c>
      <c r="V9" s="66" t="s">
        <v>38</v>
      </c>
      <c r="X9" t="str">
        <f>PROPER(Sales_Data!X9)</f>
        <v/>
      </c>
    </row>
    <row r="10" spans="1:24" x14ac:dyDescent="0.3">
      <c r="A10" s="65" t="s">
        <v>109</v>
      </c>
      <c r="B10" s="66" t="s">
        <v>23</v>
      </c>
      <c r="C10" s="66" t="s">
        <v>40</v>
      </c>
      <c r="D10" s="67" t="s">
        <v>110</v>
      </c>
      <c r="E10" s="68" t="s">
        <v>111</v>
      </c>
      <c r="F10" s="66" t="str">
        <f>TRIM(PROPER(Sales_Data!F10))</f>
        <v>Kavya Nair</v>
      </c>
      <c r="G10" s="66" t="s">
        <v>28</v>
      </c>
      <c r="H10" s="66" t="s">
        <v>113</v>
      </c>
      <c r="I10" s="66" t="s">
        <v>114</v>
      </c>
      <c r="J10" s="66" t="str">
        <f>PROPER(Sales_Data!J10)</f>
        <v>West</v>
      </c>
      <c r="K10" s="66" t="str">
        <f>PROPER(Sales_Data!K10)</f>
        <v>Electronics</v>
      </c>
      <c r="L10" s="66" t="s">
        <v>47</v>
      </c>
      <c r="M10" s="66">
        <v>4</v>
      </c>
      <c r="N10" s="66">
        <v>12000</v>
      </c>
      <c r="O10" s="66">
        <v>15</v>
      </c>
      <c r="P10" s="66">
        <v>40800</v>
      </c>
      <c r="Q10" s="66">
        <v>4</v>
      </c>
      <c r="R10" s="66" t="s">
        <v>88</v>
      </c>
      <c r="S10" s="66" t="s">
        <v>115</v>
      </c>
      <c r="T10" s="66" t="s">
        <v>50</v>
      </c>
      <c r="U10" s="69" t="s">
        <v>116</v>
      </c>
      <c r="V10" s="66" t="s">
        <v>38</v>
      </c>
      <c r="X10" t="str">
        <f>PROPER(Sales_Data!X10)</f>
        <v/>
      </c>
    </row>
    <row r="11" spans="1:24" x14ac:dyDescent="0.3">
      <c r="A11" s="65" t="s">
        <v>117</v>
      </c>
      <c r="B11" s="66" t="s">
        <v>100</v>
      </c>
      <c r="C11" s="66" t="s">
        <v>118</v>
      </c>
      <c r="D11" s="67" t="s">
        <v>119</v>
      </c>
      <c r="E11" s="68" t="s">
        <v>120</v>
      </c>
      <c r="F11" s="66" t="str">
        <f>TRIM(PROPER(Sales_Data!F11))</f>
        <v>Priya Patel</v>
      </c>
      <c r="G11" s="66" t="s">
        <v>28</v>
      </c>
      <c r="H11" s="66" t="s">
        <v>121</v>
      </c>
      <c r="I11" s="66" t="s">
        <v>105</v>
      </c>
      <c r="J11" s="66" t="str">
        <f>PROPER(Sales_Data!J11)</f>
        <v>West</v>
      </c>
      <c r="K11" s="66" t="str">
        <f>PROPER(Sales_Data!K11)</f>
        <v>Stationery</v>
      </c>
      <c r="L11" s="66" t="s">
        <v>123</v>
      </c>
      <c r="M11" s="66">
        <v>6</v>
      </c>
      <c r="N11" s="66">
        <v>60</v>
      </c>
      <c r="O11" s="66">
        <v>0</v>
      </c>
      <c r="P11" s="66">
        <v>360</v>
      </c>
      <c r="Q11" s="66">
        <v>4</v>
      </c>
      <c r="R11" s="66" t="s">
        <v>79</v>
      </c>
      <c r="S11" s="66" t="s">
        <v>115</v>
      </c>
      <c r="T11" s="66" t="s">
        <v>124</v>
      </c>
      <c r="U11" s="69" t="s">
        <v>125</v>
      </c>
      <c r="V11" s="66" t="s">
        <v>38</v>
      </c>
      <c r="X11" t="str">
        <f>PROPER(Sales_Data!X11)</f>
        <v/>
      </c>
    </row>
    <row r="12" spans="1:24" x14ac:dyDescent="0.3">
      <c r="A12" s="65" t="s">
        <v>126</v>
      </c>
      <c r="B12" s="66" t="s">
        <v>127</v>
      </c>
      <c r="C12" s="66" t="s">
        <v>24</v>
      </c>
      <c r="D12" s="67" t="s">
        <v>128</v>
      </c>
      <c r="E12" s="68" t="s">
        <v>129</v>
      </c>
      <c r="F12" s="66" t="str">
        <f>TRIM(PROPER(Sales_Data!F12))</f>
        <v>Rohit Singh</v>
      </c>
      <c r="G12" s="66" t="s">
        <v>76</v>
      </c>
      <c r="H12" s="66" t="s">
        <v>131</v>
      </c>
      <c r="I12" s="66" t="s">
        <v>44</v>
      </c>
      <c r="J12" s="66" t="str">
        <f>PROPER(Sales_Data!J12)</f>
        <v>North</v>
      </c>
      <c r="K12" s="66" t="str">
        <f>PROPER(Sales_Data!K12)</f>
        <v>Home Appliances</v>
      </c>
      <c r="L12" s="66" t="s">
        <v>33</v>
      </c>
      <c r="M12" s="66">
        <v>-3</v>
      </c>
      <c r="N12" s="66">
        <v>2200</v>
      </c>
      <c r="O12" s="66">
        <v>0</v>
      </c>
      <c r="P12" s="66">
        <v>35200</v>
      </c>
      <c r="Q12" s="66">
        <v>2</v>
      </c>
      <c r="R12" s="66" t="s">
        <v>79</v>
      </c>
      <c r="S12" s="66" t="s">
        <v>49</v>
      </c>
      <c r="T12" s="66" t="s">
        <v>132</v>
      </c>
      <c r="U12" s="69" t="s">
        <v>133</v>
      </c>
      <c r="V12" s="66" t="s">
        <v>64</v>
      </c>
      <c r="X12" t="str">
        <f>PROPER(Sales_Data!X12)</f>
        <v/>
      </c>
    </row>
    <row r="13" spans="1:24" x14ac:dyDescent="0.3">
      <c r="A13" s="65" t="s">
        <v>134</v>
      </c>
      <c r="B13" s="66" t="s">
        <v>23</v>
      </c>
      <c r="C13" s="66" t="s">
        <v>92</v>
      </c>
      <c r="D13" s="67">
        <v>45872</v>
      </c>
      <c r="E13" s="68" t="s">
        <v>136</v>
      </c>
      <c r="F13" s="66" t="str">
        <f>TRIM(PROPER(Sales_Data!F13))</f>
        <v>Kavya Nair</v>
      </c>
      <c r="G13" s="66" t="s">
        <v>28</v>
      </c>
      <c r="H13" s="66" t="s">
        <v>137</v>
      </c>
      <c r="I13" s="66" t="s">
        <v>138</v>
      </c>
      <c r="J13" s="66" t="str">
        <f>PROPER(Sales_Data!J13)</f>
        <v>West</v>
      </c>
      <c r="K13" s="66" t="str">
        <f>PROPER(Sales_Data!K13)</f>
        <v>Home Appliances</v>
      </c>
      <c r="L13" s="66" t="s">
        <v>97</v>
      </c>
      <c r="M13" s="66">
        <v>10</v>
      </c>
      <c r="N13" s="66">
        <v>3500</v>
      </c>
      <c r="O13" s="66">
        <v>5</v>
      </c>
      <c r="P13" s="66">
        <v>33250</v>
      </c>
      <c r="Q13" s="66">
        <v>5</v>
      </c>
      <c r="R13" s="66" t="s">
        <v>79</v>
      </c>
      <c r="S13" s="66" t="s">
        <v>61</v>
      </c>
      <c r="T13" s="66" t="s">
        <v>50</v>
      </c>
      <c r="U13" s="69" t="s">
        <v>139</v>
      </c>
      <c r="V13" s="66" t="s">
        <v>69</v>
      </c>
      <c r="X13" t="str">
        <f>PROPER(Sales_Data!X13)</f>
        <v/>
      </c>
    </row>
    <row r="14" spans="1:24" x14ac:dyDescent="0.3">
      <c r="A14" s="65" t="s">
        <v>140</v>
      </c>
      <c r="B14" s="66" t="s">
        <v>100</v>
      </c>
      <c r="C14" s="66" t="s">
        <v>24</v>
      </c>
      <c r="D14" s="67">
        <v>45931</v>
      </c>
      <c r="E14" s="68" t="s">
        <v>142</v>
      </c>
      <c r="F14" s="66" t="str">
        <f>TRIM(PROPER(Sales_Data!F14))</f>
        <v>Priya Patel</v>
      </c>
      <c r="G14" s="66" t="s">
        <v>28</v>
      </c>
      <c r="H14" s="66" t="s">
        <v>143</v>
      </c>
      <c r="I14" s="66" t="s">
        <v>114</v>
      </c>
      <c r="J14" s="66" t="str">
        <f>PROPER(Sales_Data!J14)</f>
        <v>West</v>
      </c>
      <c r="K14" s="66" t="str">
        <f>PROPER(Sales_Data!K14)</f>
        <v>Home Appliances</v>
      </c>
      <c r="L14" s="66" t="s">
        <v>33</v>
      </c>
      <c r="M14" s="66">
        <v>15</v>
      </c>
      <c r="N14" s="66">
        <v>2200</v>
      </c>
      <c r="O14" s="66">
        <v>10</v>
      </c>
      <c r="P14" s="66">
        <v>29700</v>
      </c>
      <c r="Q14" s="66">
        <v>1</v>
      </c>
      <c r="R14" s="66" t="s">
        <v>88</v>
      </c>
      <c r="S14" s="66" t="s">
        <v>115</v>
      </c>
      <c r="T14" s="66" t="s">
        <v>144</v>
      </c>
      <c r="U14" s="69" t="s">
        <v>145</v>
      </c>
      <c r="V14" s="66" t="s">
        <v>64</v>
      </c>
      <c r="X14" t="str">
        <f>PROPER(Sales_Data!X14)</f>
        <v/>
      </c>
    </row>
    <row r="15" spans="1:24" x14ac:dyDescent="0.3">
      <c r="A15" s="65" t="s">
        <v>146</v>
      </c>
      <c r="B15" s="66" t="s">
        <v>127</v>
      </c>
      <c r="C15" s="66" t="s">
        <v>24</v>
      </c>
      <c r="D15" s="67">
        <v>45903</v>
      </c>
      <c r="E15" s="68" t="s">
        <v>148</v>
      </c>
      <c r="F15" s="66" t="str">
        <f>TRIM(PROPER(Sales_Data!F15))</f>
        <v>Rohit Singh</v>
      </c>
      <c r="G15" s="66" t="s">
        <v>76</v>
      </c>
      <c r="H15" s="66" t="s">
        <v>150</v>
      </c>
      <c r="I15" s="66" t="s">
        <v>105</v>
      </c>
      <c r="J15" s="66" t="str">
        <f>PROPER(Sales_Data!J15)</f>
        <v>West</v>
      </c>
      <c r="K15" s="66" t="str">
        <f>PROPER(Sales_Data!K15)</f>
        <v>Home Appliances</v>
      </c>
      <c r="L15" s="66" t="s">
        <v>33</v>
      </c>
      <c r="M15" s="66">
        <v>17</v>
      </c>
      <c r="N15" s="66">
        <v>2200</v>
      </c>
      <c r="O15" s="66">
        <v>5</v>
      </c>
      <c r="P15" s="66">
        <v>35530</v>
      </c>
      <c r="Q15" s="66">
        <v>1</v>
      </c>
      <c r="R15" s="66" t="s">
        <v>34</v>
      </c>
      <c r="S15" s="66" t="s">
        <v>151</v>
      </c>
      <c r="T15" s="66" t="s">
        <v>152</v>
      </c>
      <c r="U15" s="69" t="s">
        <v>153</v>
      </c>
      <c r="V15" s="66" t="s">
        <v>38</v>
      </c>
      <c r="X15" t="str">
        <f>PROPER(Sales_Data!X15)</f>
        <v/>
      </c>
    </row>
    <row r="16" spans="1:24" x14ac:dyDescent="0.3">
      <c r="A16" s="65" t="s">
        <v>154</v>
      </c>
      <c r="B16" s="66" t="s">
        <v>23</v>
      </c>
      <c r="C16" s="66" t="s">
        <v>92</v>
      </c>
      <c r="D16" s="67" t="s">
        <v>155</v>
      </c>
      <c r="E16" s="68" t="s">
        <v>156</v>
      </c>
      <c r="F16" s="66" t="str">
        <f>TRIM(PROPER(Sales_Data!F16))</f>
        <v>Kavya Nair</v>
      </c>
      <c r="G16" s="66" t="s">
        <v>28</v>
      </c>
      <c r="H16" s="66" t="s">
        <v>158</v>
      </c>
      <c r="I16" s="66" t="s">
        <v>105</v>
      </c>
      <c r="J16" s="66" t="str">
        <f>PROPER(Sales_Data!J16)</f>
        <v>West</v>
      </c>
      <c r="K16" s="66" t="str">
        <f>PROPER(Sales_Data!K16)</f>
        <v>Home Appliances</v>
      </c>
      <c r="L16" s="66" t="s">
        <v>97</v>
      </c>
      <c r="M16" s="66">
        <v>15</v>
      </c>
      <c r="N16" s="66">
        <v>3500</v>
      </c>
      <c r="O16" s="66">
        <v>15</v>
      </c>
      <c r="P16" s="66">
        <v>44625</v>
      </c>
      <c r="Q16" s="66">
        <v>2</v>
      </c>
      <c r="R16" s="66" t="s">
        <v>34</v>
      </c>
      <c r="S16" s="66" t="s">
        <v>115</v>
      </c>
      <c r="T16" s="66" t="s">
        <v>50</v>
      </c>
      <c r="U16" s="69" t="s">
        <v>159</v>
      </c>
      <c r="V16" s="66" t="s">
        <v>69</v>
      </c>
      <c r="X16" t="str">
        <f>PROPER(Sales_Data!X16)</f>
        <v/>
      </c>
    </row>
    <row r="17" spans="1:24" x14ac:dyDescent="0.3">
      <c r="A17" s="65" t="s">
        <v>160</v>
      </c>
      <c r="B17" s="66" t="s">
        <v>53</v>
      </c>
      <c r="C17" s="66" t="s">
        <v>72</v>
      </c>
      <c r="D17" s="67">
        <v>46238</v>
      </c>
      <c r="E17" s="68" t="s">
        <v>162</v>
      </c>
      <c r="F17" s="66" t="str">
        <f>TRIM(PROPER(Sales_Data!F17))</f>
        <v>Pooja Shah</v>
      </c>
      <c r="G17" s="66" t="s">
        <v>28</v>
      </c>
      <c r="H17" s="66" t="s">
        <v>164</v>
      </c>
      <c r="I17" s="66" t="s">
        <v>30</v>
      </c>
      <c r="J17" s="66" t="str">
        <f>PROPER(Sales_Data!J17)</f>
        <v>South</v>
      </c>
      <c r="K17" s="66" t="str">
        <f>PROPER(Sales_Data!K17)</f>
        <v>Electronics</v>
      </c>
      <c r="L17" s="66" t="s">
        <v>78</v>
      </c>
      <c r="M17" s="66">
        <v>3</v>
      </c>
      <c r="N17" s="66">
        <v>1200</v>
      </c>
      <c r="O17" s="66">
        <v>5</v>
      </c>
      <c r="P17" s="66">
        <v>3420</v>
      </c>
      <c r="Q17" s="66">
        <v>5</v>
      </c>
      <c r="R17" s="66" t="s">
        <v>88</v>
      </c>
      <c r="S17" s="66" t="s">
        <v>35</v>
      </c>
      <c r="T17" s="66" t="s">
        <v>165</v>
      </c>
      <c r="U17" s="69" t="s">
        <v>166</v>
      </c>
      <c r="V17" s="66" t="s">
        <v>38</v>
      </c>
      <c r="X17" t="str">
        <f>PROPER(Sales_Data!X17)</f>
        <v/>
      </c>
    </row>
    <row r="18" spans="1:24" x14ac:dyDescent="0.3">
      <c r="A18" s="65" t="s">
        <v>167</v>
      </c>
      <c r="B18" s="66" t="s">
        <v>168</v>
      </c>
      <c r="C18" s="66" t="s">
        <v>169</v>
      </c>
      <c r="D18" s="67" t="s">
        <v>170</v>
      </c>
      <c r="E18" s="68" t="s">
        <v>171</v>
      </c>
      <c r="F18" s="66" t="str">
        <f>TRIM(PROPER(Sales_Data!F18))</f>
        <v>Amit Sharma</v>
      </c>
      <c r="G18" s="66" t="s">
        <v>28</v>
      </c>
      <c r="H18" s="66" t="s">
        <v>173</v>
      </c>
      <c r="I18" s="66" t="s">
        <v>114</v>
      </c>
      <c r="J18" s="66" t="str">
        <f>PROPER(Sales_Data!J18)</f>
        <v>West</v>
      </c>
      <c r="K18" s="66" t="str">
        <f>PROPER(Sales_Data!K18)</f>
        <v>Home Appliances</v>
      </c>
      <c r="L18" s="66" t="s">
        <v>174</v>
      </c>
      <c r="M18" s="66">
        <v>13</v>
      </c>
      <c r="N18" s="66">
        <v>8500</v>
      </c>
      <c r="O18" s="66">
        <v>20</v>
      </c>
      <c r="P18" s="66">
        <v>88400</v>
      </c>
      <c r="Q18" s="66">
        <v>4</v>
      </c>
      <c r="R18" s="66" t="s">
        <v>79</v>
      </c>
      <c r="S18" s="66" t="s">
        <v>49</v>
      </c>
      <c r="T18" s="66" t="s">
        <v>175</v>
      </c>
      <c r="U18" s="69" t="s">
        <v>176</v>
      </c>
      <c r="V18" s="66" t="s">
        <v>64</v>
      </c>
      <c r="X18" t="str">
        <f>PROPER(Sales_Data!X18)</f>
        <v/>
      </c>
    </row>
    <row r="19" spans="1:24" x14ac:dyDescent="0.3">
      <c r="A19" s="65" t="s">
        <v>177</v>
      </c>
      <c r="B19" s="66" t="s">
        <v>83</v>
      </c>
      <c r="C19" s="66" t="s">
        <v>169</v>
      </c>
      <c r="D19" s="67" t="s">
        <v>178</v>
      </c>
      <c r="E19" s="68" t="s">
        <v>179</v>
      </c>
      <c r="F19" s="66" t="str">
        <f>TRIM(PROPER(Sales_Data!F19))</f>
        <v>Arjun Rao</v>
      </c>
      <c r="G19" s="66" t="s">
        <v>76</v>
      </c>
      <c r="H19" s="66" t="s">
        <v>181</v>
      </c>
      <c r="I19" s="66" t="s">
        <v>138</v>
      </c>
      <c r="J19" s="66" t="str">
        <f>PROPER(Sales_Data!J19)</f>
        <v>West</v>
      </c>
      <c r="K19" s="66" t="str">
        <f>PROPER(Sales_Data!K19)</f>
        <v>Home Appliances</v>
      </c>
      <c r="L19" s="66" t="s">
        <v>174</v>
      </c>
      <c r="M19" s="66">
        <v>4</v>
      </c>
      <c r="N19" s="66">
        <v>8500</v>
      </c>
      <c r="O19" s="66">
        <v>20</v>
      </c>
      <c r="P19" s="66">
        <v>27200</v>
      </c>
      <c r="Q19" s="66">
        <v>5</v>
      </c>
      <c r="R19" s="66" t="s">
        <v>79</v>
      </c>
      <c r="S19" s="66" t="s">
        <v>61</v>
      </c>
      <c r="T19" s="66" t="s">
        <v>89</v>
      </c>
      <c r="U19" s="69" t="s">
        <v>182</v>
      </c>
      <c r="V19" s="66" t="s">
        <v>64</v>
      </c>
      <c r="X19" t="str">
        <f>PROPER(Sales_Data!X19)</f>
        <v/>
      </c>
    </row>
    <row r="20" spans="1:24" x14ac:dyDescent="0.3">
      <c r="A20" s="65" t="s">
        <v>183</v>
      </c>
      <c r="B20" s="66" t="s">
        <v>83</v>
      </c>
      <c r="C20" s="66" t="s">
        <v>184</v>
      </c>
      <c r="D20" s="67">
        <v>45669</v>
      </c>
      <c r="E20" s="68" t="s">
        <v>186</v>
      </c>
      <c r="F20" s="66" t="str">
        <f>TRIM(PROPER(Sales_Data!F20))</f>
        <v>Arjun Rao</v>
      </c>
      <c r="G20" s="66" t="s">
        <v>76</v>
      </c>
      <c r="H20" s="66" t="s">
        <v>188</v>
      </c>
      <c r="I20" s="66" t="s">
        <v>105</v>
      </c>
      <c r="J20" s="66" t="str">
        <f>PROPER(Sales_Data!J20)</f>
        <v>West</v>
      </c>
      <c r="K20" s="66" t="str">
        <f>PROPER(Sales_Data!K20)</f>
        <v>Electronics</v>
      </c>
      <c r="L20" s="66" t="s">
        <v>189</v>
      </c>
      <c r="M20" s="66">
        <v>9</v>
      </c>
      <c r="N20" s="66">
        <v>700</v>
      </c>
      <c r="O20" s="66">
        <v>5</v>
      </c>
      <c r="P20" s="66">
        <v>5985</v>
      </c>
      <c r="Q20" s="66">
        <v>3</v>
      </c>
      <c r="R20" s="66" t="s">
        <v>88</v>
      </c>
      <c r="S20" s="66" t="s">
        <v>35</v>
      </c>
      <c r="T20" s="66" t="s">
        <v>190</v>
      </c>
      <c r="U20" s="69" t="s">
        <v>191</v>
      </c>
      <c r="V20" s="66" t="s">
        <v>64</v>
      </c>
      <c r="X20" t="str">
        <f>PROPER(Sales_Data!X20)</f>
        <v/>
      </c>
    </row>
    <row r="21" spans="1:24" x14ac:dyDescent="0.3">
      <c r="A21" s="65" t="s">
        <v>192</v>
      </c>
      <c r="B21" s="66" t="s">
        <v>23</v>
      </c>
      <c r="C21" s="66" t="s">
        <v>54</v>
      </c>
      <c r="D21" s="67" t="s">
        <v>193</v>
      </c>
      <c r="E21" s="68" t="s">
        <v>194</v>
      </c>
      <c r="F21" s="66" t="str">
        <f>TRIM(PROPER(Sales_Data!F21))</f>
        <v>Kavya Nair</v>
      </c>
      <c r="G21" s="66" t="s">
        <v>28</v>
      </c>
      <c r="H21" s="66" t="s">
        <v>195</v>
      </c>
      <c r="I21" s="66" t="s">
        <v>138</v>
      </c>
      <c r="J21" s="66" t="str">
        <f>PROPER(Sales_Data!J21)</f>
        <v>West</v>
      </c>
      <c r="K21" s="66" t="str">
        <f>PROPER(Sales_Data!K21)</f>
        <v>Electronics</v>
      </c>
      <c r="L21" s="66" t="s">
        <v>60</v>
      </c>
      <c r="M21" s="66">
        <v>8</v>
      </c>
      <c r="N21" s="66">
        <v>55000</v>
      </c>
      <c r="O21" s="66">
        <v>20</v>
      </c>
      <c r="P21" s="66">
        <v>352000</v>
      </c>
      <c r="Q21" s="66">
        <v>1</v>
      </c>
      <c r="R21" s="66" t="s">
        <v>34</v>
      </c>
      <c r="S21" s="66" t="s">
        <v>151</v>
      </c>
      <c r="T21" s="66" t="s">
        <v>50</v>
      </c>
      <c r="U21" s="69" t="s">
        <v>196</v>
      </c>
      <c r="V21" s="66" t="s">
        <v>38</v>
      </c>
      <c r="X21" t="str">
        <f>PROPER(Sales_Data!X21)</f>
        <v/>
      </c>
    </row>
    <row r="22" spans="1:24" x14ac:dyDescent="0.3">
      <c r="A22" s="65" t="s">
        <v>197</v>
      </c>
      <c r="B22" s="66" t="s">
        <v>127</v>
      </c>
      <c r="C22" s="66" t="s">
        <v>184</v>
      </c>
      <c r="D22" s="67" t="s">
        <v>198</v>
      </c>
      <c r="E22" s="68" t="s">
        <v>199</v>
      </c>
      <c r="F22" s="66" t="str">
        <f>TRIM(PROPER(Sales_Data!F22))</f>
        <v>Rohit Singh</v>
      </c>
      <c r="G22" s="66" t="s">
        <v>76</v>
      </c>
      <c r="H22" s="66" t="s">
        <v>201</v>
      </c>
      <c r="I22" s="66" t="s">
        <v>44</v>
      </c>
      <c r="J22" s="66" t="str">
        <f>PROPER(Sales_Data!J22)</f>
        <v>North</v>
      </c>
      <c r="K22" s="66" t="str">
        <f>PROPER(Sales_Data!K22)</f>
        <v>Electronics</v>
      </c>
      <c r="L22" s="66" t="s">
        <v>189</v>
      </c>
      <c r="M22" s="66">
        <v>10</v>
      </c>
      <c r="N22" s="66">
        <v>700</v>
      </c>
      <c r="O22" s="66">
        <v>20</v>
      </c>
      <c r="P22" s="66">
        <v>5600</v>
      </c>
      <c r="Q22" s="66">
        <v>4</v>
      </c>
      <c r="R22" s="66" t="s">
        <v>79</v>
      </c>
      <c r="S22" s="66" t="s">
        <v>61</v>
      </c>
      <c r="T22" s="66" t="s">
        <v>132</v>
      </c>
      <c r="U22" s="69" t="s">
        <v>203</v>
      </c>
      <c r="V22" s="66" t="s">
        <v>69</v>
      </c>
      <c r="X22" t="str">
        <f>PROPER(Sales_Data!X22)</f>
        <v/>
      </c>
    </row>
    <row r="23" spans="1:24" x14ac:dyDescent="0.3">
      <c r="A23" s="65" t="s">
        <v>204</v>
      </c>
      <c r="B23" s="66" t="s">
        <v>23</v>
      </c>
      <c r="C23" s="66" t="s">
        <v>92</v>
      </c>
      <c r="D23" s="67">
        <v>45717</v>
      </c>
      <c r="E23" s="68" t="s">
        <v>206</v>
      </c>
      <c r="F23" s="66" t="str">
        <f>TRIM(PROPER(Sales_Data!F23))</f>
        <v>Kavya Nair</v>
      </c>
      <c r="G23" s="66" t="s">
        <v>28</v>
      </c>
      <c r="H23" s="66" t="s">
        <v>207</v>
      </c>
      <c r="I23" s="66" t="s">
        <v>59</v>
      </c>
      <c r="J23" s="66" t="str">
        <f>PROPER(Sales_Data!J23)</f>
        <v>South</v>
      </c>
      <c r="K23" s="66" t="str">
        <f>PROPER(Sales_Data!K23)</f>
        <v>Home Appliances</v>
      </c>
      <c r="L23" s="66" t="s">
        <v>97</v>
      </c>
      <c r="M23" s="66">
        <v>1</v>
      </c>
      <c r="N23" s="66">
        <v>3500</v>
      </c>
      <c r="O23" s="66">
        <v>5</v>
      </c>
      <c r="P23" s="66">
        <v>3325</v>
      </c>
      <c r="Q23" s="66">
        <v>3</v>
      </c>
      <c r="R23" s="66" t="s">
        <v>88</v>
      </c>
      <c r="S23" s="66" t="s">
        <v>115</v>
      </c>
      <c r="T23" s="66" t="s">
        <v>50</v>
      </c>
      <c r="U23" s="69" t="s">
        <v>208</v>
      </c>
      <c r="V23" s="66" t="s">
        <v>69</v>
      </c>
      <c r="X23" t="str">
        <f>PROPER(Sales_Data!X23)</f>
        <v/>
      </c>
    </row>
    <row r="24" spans="1:24" x14ac:dyDescent="0.3">
      <c r="A24" s="65" t="s">
        <v>209</v>
      </c>
      <c r="B24" s="66" t="s">
        <v>100</v>
      </c>
      <c r="C24" s="66" t="s">
        <v>184</v>
      </c>
      <c r="D24" s="67" t="s">
        <v>102</v>
      </c>
      <c r="E24" s="68" t="s">
        <v>210</v>
      </c>
      <c r="F24" s="66" t="str">
        <f>TRIM(PROPER(Sales_Data!F24))</f>
        <v>Priya Patel</v>
      </c>
      <c r="G24" s="66" t="s">
        <v>28</v>
      </c>
      <c r="H24" s="66" t="s">
        <v>211</v>
      </c>
      <c r="I24" s="66" t="s">
        <v>212</v>
      </c>
      <c r="J24" s="66" t="str">
        <f>PROPER(Sales_Data!J24)</f>
        <v>North</v>
      </c>
      <c r="K24" s="66" t="str">
        <f>PROPER(Sales_Data!K24)</f>
        <v>Electronics</v>
      </c>
      <c r="L24" s="66" t="s">
        <v>189</v>
      </c>
      <c r="M24" s="66">
        <v>19</v>
      </c>
      <c r="N24" s="66">
        <v>700</v>
      </c>
      <c r="O24" s="66">
        <v>15</v>
      </c>
      <c r="P24" s="66">
        <v>11305</v>
      </c>
      <c r="Q24" s="66">
        <v>3</v>
      </c>
      <c r="R24" s="66" t="s">
        <v>48</v>
      </c>
      <c r="S24" s="66" t="s">
        <v>151</v>
      </c>
      <c r="T24" s="66" t="s">
        <v>144</v>
      </c>
      <c r="U24" s="69" t="s">
        <v>213</v>
      </c>
      <c r="V24" s="66" t="s">
        <v>64</v>
      </c>
      <c r="X24" t="str">
        <f>PROPER(Sales_Data!X24)</f>
        <v/>
      </c>
    </row>
    <row r="25" spans="1:24" x14ac:dyDescent="0.3">
      <c r="A25" s="65" t="s">
        <v>214</v>
      </c>
      <c r="B25" s="66" t="s">
        <v>71</v>
      </c>
      <c r="C25" s="66" t="s">
        <v>54</v>
      </c>
      <c r="D25" s="67" t="s">
        <v>215</v>
      </c>
      <c r="E25" s="68" t="s">
        <v>216</v>
      </c>
      <c r="F25" s="66" t="str">
        <f>TRIM(PROPER(Sales_Data!F25))</f>
        <v>Mohit Verma</v>
      </c>
      <c r="G25" s="66" t="s">
        <v>76</v>
      </c>
      <c r="H25" s="66" t="s">
        <v>218</v>
      </c>
      <c r="I25" s="66" t="s">
        <v>59</v>
      </c>
      <c r="J25" s="66" t="str">
        <f>PROPER(Sales_Data!J25)</f>
        <v>South</v>
      </c>
      <c r="K25" s="66" t="str">
        <f>PROPER(Sales_Data!K25)</f>
        <v>Electronics</v>
      </c>
      <c r="L25" s="66" t="s">
        <v>60</v>
      </c>
      <c r="M25" s="66">
        <v>12</v>
      </c>
      <c r="N25" s="66">
        <v>55000</v>
      </c>
      <c r="O25" s="66">
        <v>0</v>
      </c>
      <c r="P25" s="66">
        <v>660000</v>
      </c>
      <c r="Q25" s="66">
        <v>1</v>
      </c>
      <c r="R25" s="66" t="s">
        <v>79</v>
      </c>
      <c r="S25" s="66" t="s">
        <v>49</v>
      </c>
      <c r="T25" s="66" t="s">
        <v>80</v>
      </c>
      <c r="U25" s="69" t="s">
        <v>219</v>
      </c>
      <c r="V25" s="66" t="s">
        <v>64</v>
      </c>
      <c r="X25" t="str">
        <f>PROPER(Sales_Data!X25)</f>
        <v/>
      </c>
    </row>
    <row r="26" spans="1:24" x14ac:dyDescent="0.3">
      <c r="A26" s="65" t="s">
        <v>220</v>
      </c>
      <c r="B26" s="66" t="s">
        <v>221</v>
      </c>
      <c r="C26" s="66" t="s">
        <v>222</v>
      </c>
      <c r="D26" s="67">
        <v>46269</v>
      </c>
      <c r="E26" s="68" t="s">
        <v>224</v>
      </c>
      <c r="F26" s="66" t="str">
        <f>TRIM(PROPER(Sales_Data!F26))</f>
        <v>Vikas Mehta</v>
      </c>
      <c r="G26" s="66" t="s">
        <v>76</v>
      </c>
      <c r="H26" s="66" t="s">
        <v>226</v>
      </c>
      <c r="I26" s="66" t="s">
        <v>105</v>
      </c>
      <c r="J26" s="66" t="str">
        <f>PROPER(Sales_Data!J26)</f>
        <v>West</v>
      </c>
      <c r="K26" s="66" t="str">
        <f>PROPER(Sales_Data!K26)</f>
        <v>Stationery</v>
      </c>
      <c r="L26" s="66" t="s">
        <v>227</v>
      </c>
      <c r="M26" s="66">
        <v>1</v>
      </c>
      <c r="N26" s="66">
        <v>20</v>
      </c>
      <c r="O26" s="66">
        <v>5</v>
      </c>
      <c r="P26" s="66">
        <v>19</v>
      </c>
      <c r="Q26" s="66">
        <v>5</v>
      </c>
      <c r="R26" s="66" t="s">
        <v>79</v>
      </c>
      <c r="S26" s="66" t="s">
        <v>35</v>
      </c>
      <c r="T26" s="66" t="s">
        <v>228</v>
      </c>
      <c r="U26" s="69" t="s">
        <v>229</v>
      </c>
      <c r="V26" s="66" t="s">
        <v>69</v>
      </c>
      <c r="X26" t="str">
        <f>PROPER(Sales_Data!X26)</f>
        <v/>
      </c>
    </row>
    <row r="27" spans="1:24" x14ac:dyDescent="0.3">
      <c r="A27" s="65" t="s">
        <v>230</v>
      </c>
      <c r="B27" s="66" t="s">
        <v>83</v>
      </c>
      <c r="C27" s="66" t="s">
        <v>222</v>
      </c>
      <c r="D27" s="67" t="s">
        <v>231</v>
      </c>
      <c r="E27" s="68" t="s">
        <v>232</v>
      </c>
      <c r="F27" s="66" t="str">
        <f>TRIM(PROPER(Sales_Data!F27))</f>
        <v>Arjun Rao</v>
      </c>
      <c r="G27" s="66" t="s">
        <v>76</v>
      </c>
      <c r="H27" s="66" t="s">
        <v>233</v>
      </c>
      <c r="I27" s="66" t="s">
        <v>105</v>
      </c>
      <c r="J27" s="66" t="str">
        <f>PROPER(Sales_Data!J27)</f>
        <v>West</v>
      </c>
      <c r="K27" s="66" t="str">
        <f>PROPER(Sales_Data!K27)</f>
        <v>Stationery</v>
      </c>
      <c r="L27" s="66" t="s">
        <v>227</v>
      </c>
      <c r="M27" s="66">
        <v>2</v>
      </c>
      <c r="N27" s="66">
        <v>20</v>
      </c>
      <c r="O27" s="66">
        <v>15</v>
      </c>
      <c r="P27" s="66">
        <v>34</v>
      </c>
      <c r="Q27" s="66">
        <v>1</v>
      </c>
      <c r="R27" s="66" t="s">
        <v>88</v>
      </c>
      <c r="S27" s="66" t="s">
        <v>35</v>
      </c>
      <c r="T27" s="66" t="s">
        <v>89</v>
      </c>
      <c r="U27" s="69" t="s">
        <v>234</v>
      </c>
      <c r="V27" s="66" t="s">
        <v>64</v>
      </c>
      <c r="X27" t="str">
        <f>PROPER(Sales_Data!X27)</f>
        <v/>
      </c>
    </row>
    <row r="28" spans="1:24" x14ac:dyDescent="0.3">
      <c r="A28" s="65" t="s">
        <v>235</v>
      </c>
      <c r="B28" s="66" t="s">
        <v>71</v>
      </c>
      <c r="C28" s="66" t="s">
        <v>92</v>
      </c>
      <c r="D28" s="67" t="s">
        <v>236</v>
      </c>
      <c r="E28" s="68" t="s">
        <v>237</v>
      </c>
      <c r="F28" s="66" t="str">
        <f>TRIM(PROPER(Sales_Data!F28))</f>
        <v>Mohit Verma</v>
      </c>
      <c r="G28" s="66" t="s">
        <v>76</v>
      </c>
      <c r="H28" s="66" t="s">
        <v>238</v>
      </c>
      <c r="I28" s="66" t="s">
        <v>138</v>
      </c>
      <c r="J28" s="66" t="str">
        <f>PROPER(Sales_Data!J28)</f>
        <v>West</v>
      </c>
      <c r="K28" s="66" t="str">
        <f>PROPER(Sales_Data!K28)</f>
        <v>Home Appliances</v>
      </c>
      <c r="L28" s="66" t="s">
        <v>97</v>
      </c>
      <c r="M28" s="66">
        <v>12</v>
      </c>
      <c r="N28" s="66">
        <v>3500</v>
      </c>
      <c r="O28" s="66">
        <v>15</v>
      </c>
      <c r="P28" s="66">
        <v>35700</v>
      </c>
      <c r="Q28" s="66">
        <v>4</v>
      </c>
      <c r="R28" s="66" t="s">
        <v>34</v>
      </c>
      <c r="S28" s="66" t="s">
        <v>49</v>
      </c>
      <c r="T28" s="66" t="s">
        <v>80</v>
      </c>
      <c r="U28" s="69" t="s">
        <v>239</v>
      </c>
      <c r="V28" s="66" t="s">
        <v>69</v>
      </c>
      <c r="X28" t="str">
        <f>PROPER(Sales_Data!X28)</f>
        <v/>
      </c>
    </row>
    <row r="29" spans="1:24" x14ac:dyDescent="0.3">
      <c r="A29" s="65" t="s">
        <v>240</v>
      </c>
      <c r="B29" s="66" t="s">
        <v>23</v>
      </c>
      <c r="C29" s="66" t="s">
        <v>72</v>
      </c>
      <c r="D29" s="67" t="s">
        <v>241</v>
      </c>
      <c r="E29" s="68" t="s">
        <v>242</v>
      </c>
      <c r="F29" s="66" t="str">
        <f>TRIM(PROPER(Sales_Data!F29))</f>
        <v>Kavya Nair</v>
      </c>
      <c r="G29" s="66" t="s">
        <v>28</v>
      </c>
      <c r="H29" s="66" t="s">
        <v>243</v>
      </c>
      <c r="I29" s="66" t="s">
        <v>138</v>
      </c>
      <c r="J29" s="66" t="str">
        <f>PROPER(Sales_Data!J29)</f>
        <v>West</v>
      </c>
      <c r="K29" s="66" t="str">
        <f>PROPER(Sales_Data!K29)</f>
        <v>Electronics</v>
      </c>
      <c r="L29" s="66" t="s">
        <v>78</v>
      </c>
      <c r="M29" s="66">
        <v>11</v>
      </c>
      <c r="N29" s="66">
        <v>1200</v>
      </c>
      <c r="O29" s="66">
        <v>0</v>
      </c>
      <c r="P29" s="66">
        <v>13200</v>
      </c>
      <c r="Q29" s="66">
        <v>2</v>
      </c>
      <c r="R29" s="66" t="s">
        <v>88</v>
      </c>
      <c r="S29" s="66" t="s">
        <v>151</v>
      </c>
      <c r="T29" s="66" t="s">
        <v>50</v>
      </c>
      <c r="U29" s="69" t="s">
        <v>244</v>
      </c>
      <c r="V29" s="66" t="s">
        <v>38</v>
      </c>
      <c r="X29" t="str">
        <f>PROPER(Sales_Data!X29)</f>
        <v/>
      </c>
    </row>
    <row r="30" spans="1:24" x14ac:dyDescent="0.3">
      <c r="A30" s="65" t="s">
        <v>245</v>
      </c>
      <c r="B30" s="66" t="s">
        <v>127</v>
      </c>
      <c r="C30" s="66" t="s">
        <v>169</v>
      </c>
      <c r="D30" s="67">
        <v>45878</v>
      </c>
      <c r="E30" s="68" t="s">
        <v>247</v>
      </c>
      <c r="F30" s="66" t="str">
        <f>TRIM(PROPER(Sales_Data!F30))</f>
        <v>Rohit Singh</v>
      </c>
      <c r="G30" s="66" t="s">
        <v>76</v>
      </c>
      <c r="H30" s="66" t="s">
        <v>248</v>
      </c>
      <c r="I30" s="66" t="s">
        <v>114</v>
      </c>
      <c r="J30" s="66" t="str">
        <f>PROPER(Sales_Data!J30)</f>
        <v>West</v>
      </c>
      <c r="K30" s="66" t="str">
        <f>PROPER(Sales_Data!K30)</f>
        <v>Home Appliances</v>
      </c>
      <c r="L30" s="66" t="s">
        <v>174</v>
      </c>
      <c r="M30" s="66">
        <v>6</v>
      </c>
      <c r="N30" s="66">
        <v>8500</v>
      </c>
      <c r="O30" s="66">
        <v>65</v>
      </c>
      <c r="P30" s="66">
        <v>51000</v>
      </c>
      <c r="Q30" s="66">
        <v>1</v>
      </c>
      <c r="R30" s="66" t="s">
        <v>79</v>
      </c>
      <c r="S30" s="66" t="s">
        <v>61</v>
      </c>
      <c r="T30" s="66" t="s">
        <v>132</v>
      </c>
      <c r="U30" s="69" t="s">
        <v>249</v>
      </c>
      <c r="V30" s="66" t="s">
        <v>38</v>
      </c>
      <c r="X30" t="str">
        <f>PROPER(Sales_Data!X30)</f>
        <v/>
      </c>
    </row>
    <row r="31" spans="1:24" x14ac:dyDescent="0.3">
      <c r="A31" s="65" t="s">
        <v>250</v>
      </c>
      <c r="B31" s="66" t="s">
        <v>251</v>
      </c>
      <c r="C31" s="66" t="s">
        <v>118</v>
      </c>
      <c r="D31" s="67">
        <v>46327</v>
      </c>
      <c r="E31" s="68" t="s">
        <v>253</v>
      </c>
      <c r="F31" s="66" t="str">
        <f>TRIM(PROPER(Sales_Data!F31))</f>
        <v>Sneha Joshi</v>
      </c>
      <c r="G31" s="66" t="s">
        <v>28</v>
      </c>
      <c r="H31" s="66" t="s">
        <v>255</v>
      </c>
      <c r="I31" s="66" t="s">
        <v>114</v>
      </c>
      <c r="J31" s="66" t="str">
        <f>PROPER(Sales_Data!J31)</f>
        <v>West</v>
      </c>
      <c r="K31" s="66" t="str">
        <f>PROPER(Sales_Data!K31)</f>
        <v>Stationery</v>
      </c>
      <c r="L31" s="66" t="s">
        <v>123</v>
      </c>
      <c r="M31" s="66">
        <v>2</v>
      </c>
      <c r="N31" s="66">
        <v>60</v>
      </c>
      <c r="O31" s="66">
        <v>5</v>
      </c>
      <c r="P31" s="66">
        <v>114</v>
      </c>
      <c r="Q31" s="66">
        <v>3</v>
      </c>
      <c r="R31" s="66" t="s">
        <v>34</v>
      </c>
      <c r="S31" s="66" t="s">
        <v>151</v>
      </c>
      <c r="T31" s="66" t="s">
        <v>256</v>
      </c>
      <c r="U31" s="69" t="s">
        <v>257</v>
      </c>
      <c r="V31" s="66" t="s">
        <v>69</v>
      </c>
      <c r="X31" t="str">
        <f>PROPER(Sales_Data!X31)</f>
        <v/>
      </c>
    </row>
    <row r="32" spans="1:24" x14ac:dyDescent="0.3">
      <c r="A32" s="65" t="s">
        <v>258</v>
      </c>
      <c r="B32" s="66" t="s">
        <v>23</v>
      </c>
      <c r="C32" s="66" t="s">
        <v>259</v>
      </c>
      <c r="D32" s="67" t="s">
        <v>260</v>
      </c>
      <c r="E32" s="68" t="s">
        <v>261</v>
      </c>
      <c r="F32" s="66" t="str">
        <f>TRIM(PROPER(Sales_Data!F32))</f>
        <v>Kavya Nair</v>
      </c>
      <c r="G32" s="66" t="s">
        <v>28</v>
      </c>
      <c r="H32" s="66" t="s">
        <v>262</v>
      </c>
      <c r="I32" s="66" t="s">
        <v>59</v>
      </c>
      <c r="J32" s="66" t="str">
        <f>PROPER(Sales_Data!J32)</f>
        <v>South</v>
      </c>
      <c r="K32" s="66" t="str">
        <f>PROPER(Sales_Data!K32)</f>
        <v>Stationery</v>
      </c>
      <c r="L32" s="66" t="s">
        <v>263</v>
      </c>
      <c r="M32" s="66">
        <v>19</v>
      </c>
      <c r="N32" s="66">
        <v>45</v>
      </c>
      <c r="O32" s="66">
        <v>20</v>
      </c>
      <c r="P32" s="66">
        <v>684</v>
      </c>
      <c r="Q32" s="66">
        <v>4</v>
      </c>
      <c r="R32" s="66" t="s">
        <v>48</v>
      </c>
      <c r="S32" s="66" t="s">
        <v>61</v>
      </c>
      <c r="T32" s="66" t="s">
        <v>50</v>
      </c>
      <c r="U32" s="69" t="s">
        <v>264</v>
      </c>
      <c r="V32" s="66" t="s">
        <v>69</v>
      </c>
      <c r="X32" t="str">
        <f>PROPER(Sales_Data!X32)</f>
        <v/>
      </c>
    </row>
    <row r="33" spans="1:24" x14ac:dyDescent="0.3">
      <c r="A33" s="65" t="s">
        <v>265</v>
      </c>
      <c r="B33" s="66" t="s">
        <v>100</v>
      </c>
      <c r="C33" s="66" t="s">
        <v>40</v>
      </c>
      <c r="D33" s="67">
        <v>45664</v>
      </c>
      <c r="E33" s="68" t="s">
        <v>267</v>
      </c>
      <c r="F33" s="66" t="str">
        <f>TRIM(PROPER(Sales_Data!F33))</f>
        <v>Priya Patel</v>
      </c>
      <c r="G33" s="66" t="s">
        <v>28</v>
      </c>
      <c r="H33" s="66" t="s">
        <v>269</v>
      </c>
      <c r="I33" s="66" t="s">
        <v>138</v>
      </c>
      <c r="J33" s="66" t="str">
        <f>PROPER(Sales_Data!J33)</f>
        <v>West</v>
      </c>
      <c r="K33" s="66" t="str">
        <f>PROPER(Sales_Data!K33)</f>
        <v>Electronics</v>
      </c>
      <c r="L33" s="66" t="s">
        <v>47</v>
      </c>
      <c r="M33" s="66">
        <v>11</v>
      </c>
      <c r="N33" s="66">
        <v>12000</v>
      </c>
      <c r="O33" s="66">
        <v>0</v>
      </c>
      <c r="P33" s="66">
        <v>132000</v>
      </c>
      <c r="Q33" s="66">
        <v>3</v>
      </c>
      <c r="R33" s="66" t="s">
        <v>88</v>
      </c>
      <c r="S33" s="66" t="s">
        <v>35</v>
      </c>
      <c r="T33" s="66" t="s">
        <v>144</v>
      </c>
      <c r="U33" s="69" t="s">
        <v>270</v>
      </c>
      <c r="V33" s="66" t="s">
        <v>64</v>
      </c>
      <c r="X33" t="str">
        <f>PROPER(Sales_Data!X33)</f>
        <v/>
      </c>
    </row>
    <row r="34" spans="1:24" x14ac:dyDescent="0.3">
      <c r="A34" s="65" t="s">
        <v>271</v>
      </c>
      <c r="B34" s="66" t="s">
        <v>251</v>
      </c>
      <c r="C34" s="66" t="s">
        <v>24</v>
      </c>
      <c r="D34" s="67">
        <v>45841</v>
      </c>
      <c r="E34" s="68" t="s">
        <v>136</v>
      </c>
      <c r="F34" s="66" t="str">
        <f>TRIM(PROPER(Sales_Data!F34))</f>
        <v>Sneha Joshi</v>
      </c>
      <c r="G34" s="66" t="s">
        <v>28</v>
      </c>
      <c r="H34" s="66" t="s">
        <v>273</v>
      </c>
      <c r="I34" s="66" t="s">
        <v>59</v>
      </c>
      <c r="J34" s="66" t="str">
        <f>PROPER(Sales_Data!J34)</f>
        <v>South</v>
      </c>
      <c r="K34" s="66" t="str">
        <f>PROPER(Sales_Data!K34)</f>
        <v>Home Appliances</v>
      </c>
      <c r="L34" s="66" t="s">
        <v>33</v>
      </c>
      <c r="M34" s="66">
        <v>20</v>
      </c>
      <c r="N34" s="66">
        <v>2200</v>
      </c>
      <c r="O34" s="66">
        <v>5</v>
      </c>
      <c r="P34" s="66">
        <v>41800</v>
      </c>
      <c r="Q34" s="66">
        <v>1</v>
      </c>
      <c r="R34" s="66" t="s">
        <v>34</v>
      </c>
      <c r="S34" s="66" t="s">
        <v>49</v>
      </c>
      <c r="T34" s="66" t="s">
        <v>256</v>
      </c>
      <c r="U34" s="69" t="s">
        <v>274</v>
      </c>
      <c r="V34" s="66" t="s">
        <v>64</v>
      </c>
      <c r="X34" t="str">
        <f>PROPER(Sales_Data!X34)</f>
        <v/>
      </c>
    </row>
    <row r="35" spans="1:24" x14ac:dyDescent="0.3">
      <c r="A35" s="65" t="s">
        <v>275</v>
      </c>
      <c r="B35" s="66" t="s">
        <v>83</v>
      </c>
      <c r="C35" s="66" t="s">
        <v>222</v>
      </c>
      <c r="D35" s="67" t="s">
        <v>231</v>
      </c>
      <c r="E35" s="68" t="s">
        <v>276</v>
      </c>
      <c r="F35" s="66" t="str">
        <f>TRIM(PROPER(Sales_Data!F35))</f>
        <v>Arjun Rao</v>
      </c>
      <c r="G35" s="66" t="s">
        <v>76</v>
      </c>
      <c r="H35" s="66" t="s">
        <v>277</v>
      </c>
      <c r="I35" s="66" t="s">
        <v>138</v>
      </c>
      <c r="J35" s="66" t="str">
        <f>PROPER(Sales_Data!J35)</f>
        <v>West</v>
      </c>
      <c r="K35" s="66" t="str">
        <f>PROPER(Sales_Data!K35)</f>
        <v>Stationery</v>
      </c>
      <c r="L35" s="66" t="s">
        <v>227</v>
      </c>
      <c r="M35" s="66">
        <v>3</v>
      </c>
      <c r="N35" s="66">
        <v>20</v>
      </c>
      <c r="O35" s="66">
        <v>0</v>
      </c>
      <c r="P35" s="66">
        <v>60</v>
      </c>
      <c r="Q35" s="66">
        <v>2</v>
      </c>
      <c r="R35" s="66" t="s">
        <v>79</v>
      </c>
      <c r="S35" s="66" t="s">
        <v>35</v>
      </c>
      <c r="T35" s="66" t="s">
        <v>278</v>
      </c>
      <c r="U35" s="69" t="s">
        <v>279</v>
      </c>
      <c r="V35" s="66" t="s">
        <v>69</v>
      </c>
      <c r="X35" t="str">
        <f>PROPER(Sales_Data!X35)</f>
        <v/>
      </c>
    </row>
    <row r="36" spans="1:24" x14ac:dyDescent="0.3">
      <c r="A36" s="65" t="s">
        <v>280</v>
      </c>
      <c r="B36" s="66" t="s">
        <v>127</v>
      </c>
      <c r="C36" s="66" t="s">
        <v>259</v>
      </c>
      <c r="D36" s="67">
        <v>45910</v>
      </c>
      <c r="E36" s="68" t="s">
        <v>282</v>
      </c>
      <c r="F36" s="66" t="str">
        <f>TRIM(PROPER(Sales_Data!F36))</f>
        <v>Rohit Singh</v>
      </c>
      <c r="G36" s="66" t="s">
        <v>76</v>
      </c>
      <c r="H36" s="66" t="s">
        <v>283</v>
      </c>
      <c r="I36" s="66" t="s">
        <v>114</v>
      </c>
      <c r="J36" s="66" t="str">
        <f>PROPER(Sales_Data!J36)</f>
        <v>West</v>
      </c>
      <c r="K36" s="66" t="str">
        <f>PROPER(Sales_Data!K36)</f>
        <v>Stationery</v>
      </c>
      <c r="L36" s="66" t="s">
        <v>263</v>
      </c>
      <c r="M36" s="66">
        <v>18</v>
      </c>
      <c r="N36" s="66">
        <v>45</v>
      </c>
      <c r="O36" s="66">
        <v>20</v>
      </c>
      <c r="P36" s="66">
        <v>648</v>
      </c>
      <c r="Q36" s="66">
        <v>4</v>
      </c>
      <c r="R36" s="66" t="s">
        <v>48</v>
      </c>
      <c r="S36" s="66" t="s">
        <v>35</v>
      </c>
      <c r="T36" s="66" t="s">
        <v>132</v>
      </c>
      <c r="U36" s="69" t="s">
        <v>284</v>
      </c>
      <c r="V36" s="66" t="s">
        <v>69</v>
      </c>
      <c r="X36" t="str">
        <f>PROPER(Sales_Data!X36)</f>
        <v/>
      </c>
    </row>
    <row r="37" spans="1:24" x14ac:dyDescent="0.3">
      <c r="A37" s="65" t="s">
        <v>285</v>
      </c>
      <c r="B37" s="66" t="s">
        <v>127</v>
      </c>
      <c r="C37" s="66" t="s">
        <v>72</v>
      </c>
      <c r="D37" s="67" t="s">
        <v>286</v>
      </c>
      <c r="E37" s="68" t="s">
        <v>287</v>
      </c>
      <c r="F37" s="66" t="str">
        <f>TRIM(PROPER(Sales_Data!F37))</f>
        <v>Rohit Singh</v>
      </c>
      <c r="G37" s="66" t="s">
        <v>76</v>
      </c>
      <c r="H37" s="66" t="s">
        <v>288</v>
      </c>
      <c r="I37" s="66" t="s">
        <v>59</v>
      </c>
      <c r="J37" s="66" t="str">
        <f>PROPER(Sales_Data!J37)</f>
        <v>South</v>
      </c>
      <c r="K37" s="66" t="str">
        <f>PROPER(Sales_Data!K37)</f>
        <v>Electronics</v>
      </c>
      <c r="L37" s="66" t="s">
        <v>78</v>
      </c>
      <c r="M37" s="66">
        <v>4</v>
      </c>
      <c r="N37" s="66">
        <v>1200</v>
      </c>
      <c r="O37" s="66">
        <v>20</v>
      </c>
      <c r="P37" s="66">
        <v>3840</v>
      </c>
      <c r="Q37" s="66">
        <v>3</v>
      </c>
      <c r="R37" s="66" t="s">
        <v>48</v>
      </c>
      <c r="S37" s="66" t="s">
        <v>61</v>
      </c>
      <c r="T37" s="66" t="s">
        <v>132</v>
      </c>
      <c r="U37" s="69" t="s">
        <v>289</v>
      </c>
      <c r="V37" s="66" t="s">
        <v>38</v>
      </c>
      <c r="X37" t="str">
        <f>PROPER(Sales_Data!X37)</f>
        <v/>
      </c>
    </row>
    <row r="38" spans="1:24" x14ac:dyDescent="0.3">
      <c r="A38" s="65" t="s">
        <v>290</v>
      </c>
      <c r="B38" s="66" t="s">
        <v>71</v>
      </c>
      <c r="C38" s="66" t="s">
        <v>54</v>
      </c>
      <c r="D38" s="67">
        <v>45788</v>
      </c>
      <c r="E38" s="68" t="s">
        <v>292</v>
      </c>
      <c r="F38" s="66" t="str">
        <f>TRIM(PROPER(Sales_Data!F38))</f>
        <v>Mohit Verma</v>
      </c>
      <c r="G38" s="66" t="s">
        <v>76</v>
      </c>
      <c r="H38" s="66" t="s">
        <v>293</v>
      </c>
      <c r="I38" s="66" t="s">
        <v>294</v>
      </c>
      <c r="J38" s="66" t="str">
        <f>PROPER(Sales_Data!J38)</f>
        <v>East</v>
      </c>
      <c r="K38" s="66" t="str">
        <f>PROPER(Sales_Data!K38)</f>
        <v>Electronics</v>
      </c>
      <c r="L38" s="66" t="s">
        <v>60</v>
      </c>
      <c r="M38" s="66">
        <v>10</v>
      </c>
      <c r="N38" s="66">
        <v>55000</v>
      </c>
      <c r="O38" s="66">
        <v>0</v>
      </c>
      <c r="P38" s="66">
        <v>550000</v>
      </c>
      <c r="Q38" s="66">
        <v>1</v>
      </c>
      <c r="R38" s="66" t="s">
        <v>88</v>
      </c>
      <c r="S38" s="66" t="s">
        <v>49</v>
      </c>
      <c r="T38" s="66" t="s">
        <v>80</v>
      </c>
      <c r="U38" s="69" t="s">
        <v>296</v>
      </c>
      <c r="V38" s="66" t="s">
        <v>69</v>
      </c>
      <c r="X38" t="str">
        <f>PROPER(Sales_Data!X38)</f>
        <v/>
      </c>
    </row>
    <row r="39" spans="1:24" x14ac:dyDescent="0.3">
      <c r="A39" s="65" t="s">
        <v>297</v>
      </c>
      <c r="B39" s="66" t="s">
        <v>251</v>
      </c>
      <c r="C39" s="66" t="s">
        <v>92</v>
      </c>
      <c r="D39" s="67">
        <v>46237</v>
      </c>
      <c r="E39" s="68" t="s">
        <v>242</v>
      </c>
      <c r="F39" s="66" t="str">
        <f>TRIM(PROPER(Sales_Data!F39))</f>
        <v>Sneha Joshi</v>
      </c>
      <c r="G39" s="66" t="s">
        <v>28</v>
      </c>
      <c r="H39" s="66" t="s">
        <v>299</v>
      </c>
      <c r="I39" s="66" t="s">
        <v>44</v>
      </c>
      <c r="J39" s="66" t="str">
        <f>PROPER(Sales_Data!J39)</f>
        <v>North</v>
      </c>
      <c r="K39" s="66" t="str">
        <f>PROPER(Sales_Data!K39)</f>
        <v>Home Appliances</v>
      </c>
      <c r="L39" s="66" t="s">
        <v>97</v>
      </c>
      <c r="M39" s="66">
        <v>20</v>
      </c>
      <c r="N39" s="66">
        <v>3500</v>
      </c>
      <c r="O39" s="66">
        <v>10</v>
      </c>
      <c r="P39" s="66">
        <v>63000</v>
      </c>
      <c r="Q39" s="66">
        <v>3</v>
      </c>
      <c r="R39" s="66" t="s">
        <v>79</v>
      </c>
      <c r="S39" s="66" t="s">
        <v>49</v>
      </c>
      <c r="T39" s="66" t="s">
        <v>256</v>
      </c>
      <c r="U39" s="69" t="s">
        <v>300</v>
      </c>
      <c r="V39" s="66" t="s">
        <v>69</v>
      </c>
      <c r="X39" t="str">
        <f>PROPER(Sales_Data!X39)</f>
        <v/>
      </c>
    </row>
    <row r="40" spans="1:24" x14ac:dyDescent="0.3">
      <c r="A40" s="65" t="s">
        <v>301</v>
      </c>
      <c r="B40" s="66" t="s">
        <v>23</v>
      </c>
      <c r="C40" s="66" t="s">
        <v>222</v>
      </c>
      <c r="D40" s="67" t="s">
        <v>302</v>
      </c>
      <c r="E40" s="68" t="s">
        <v>303</v>
      </c>
      <c r="F40" s="66" t="str">
        <f>TRIM(PROPER(Sales_Data!F40))</f>
        <v>Kavya Nair</v>
      </c>
      <c r="G40" s="66" t="s">
        <v>28</v>
      </c>
      <c r="H40" s="66" t="s">
        <v>304</v>
      </c>
      <c r="I40" s="66" t="s">
        <v>114</v>
      </c>
      <c r="J40" s="66" t="str">
        <f>PROPER(Sales_Data!J40)</f>
        <v>West</v>
      </c>
      <c r="K40" s="66" t="str">
        <f>PROPER(Sales_Data!K40)</f>
        <v>Stationery</v>
      </c>
      <c r="L40" s="66" t="s">
        <v>227</v>
      </c>
      <c r="M40" s="66">
        <v>5</v>
      </c>
      <c r="N40" s="66" t="s">
        <v>305</v>
      </c>
      <c r="O40" s="66">
        <v>0</v>
      </c>
      <c r="P40" s="66">
        <v>100</v>
      </c>
      <c r="Q40" s="66">
        <v>1</v>
      </c>
      <c r="R40" s="66" t="s">
        <v>34</v>
      </c>
      <c r="S40" s="66" t="s">
        <v>49</v>
      </c>
      <c r="T40" s="66" t="s">
        <v>50</v>
      </c>
      <c r="U40" s="69" t="s">
        <v>306</v>
      </c>
      <c r="V40" s="66" t="s">
        <v>69</v>
      </c>
      <c r="X40" t="str">
        <f>PROPER(Sales_Data!X40)</f>
        <v/>
      </c>
    </row>
    <row r="41" spans="1:24" x14ac:dyDescent="0.3">
      <c r="A41" s="65" t="s">
        <v>307</v>
      </c>
      <c r="B41" s="66" t="s">
        <v>53</v>
      </c>
      <c r="C41" s="66" t="s">
        <v>169</v>
      </c>
      <c r="D41" s="67">
        <v>45787</v>
      </c>
      <c r="E41" s="68" t="s">
        <v>309</v>
      </c>
      <c r="F41" s="66" t="str">
        <f>TRIM(PROPER(Sales_Data!F41))</f>
        <v>Pooja Shah</v>
      </c>
      <c r="G41" s="66" t="s">
        <v>28</v>
      </c>
      <c r="H41" s="66" t="s">
        <v>310</v>
      </c>
      <c r="I41" s="66" t="s">
        <v>105</v>
      </c>
      <c r="J41" s="66" t="str">
        <f>PROPER(Sales_Data!J41)</f>
        <v>West</v>
      </c>
      <c r="K41" s="66" t="str">
        <f>PROPER(Sales_Data!K41)</f>
        <v>Home Appliances</v>
      </c>
      <c r="L41" s="66" t="s">
        <v>174</v>
      </c>
      <c r="M41" s="66">
        <v>20</v>
      </c>
      <c r="N41" s="66">
        <v>8500</v>
      </c>
      <c r="O41" s="66">
        <v>0</v>
      </c>
      <c r="P41" s="66">
        <v>170000</v>
      </c>
      <c r="Q41" s="66">
        <v>1</v>
      </c>
      <c r="R41" s="66" t="s">
        <v>88</v>
      </c>
      <c r="S41" s="66" t="s">
        <v>115</v>
      </c>
      <c r="T41" s="66" t="s">
        <v>62</v>
      </c>
      <c r="U41" s="69" t="s">
        <v>311</v>
      </c>
      <c r="V41" s="66" t="s">
        <v>69</v>
      </c>
      <c r="X41" t="str">
        <f>PROPER(Sales_Data!X41)</f>
        <v/>
      </c>
    </row>
    <row r="42" spans="1:24" x14ac:dyDescent="0.3">
      <c r="A42" s="65" t="s">
        <v>312</v>
      </c>
      <c r="B42" s="66" t="s">
        <v>83</v>
      </c>
      <c r="C42" s="66" t="s">
        <v>118</v>
      </c>
      <c r="D42" s="67">
        <v>46297</v>
      </c>
      <c r="E42" s="68" t="s">
        <v>314</v>
      </c>
      <c r="F42" s="66" t="str">
        <f>TRIM(PROPER(Sales_Data!F42))</f>
        <v>Arjun Rao</v>
      </c>
      <c r="G42" s="66" t="s">
        <v>76</v>
      </c>
      <c r="H42" s="66" t="s">
        <v>315</v>
      </c>
      <c r="I42" s="66" t="s">
        <v>59</v>
      </c>
      <c r="J42" s="66" t="str">
        <f>PROPER(Sales_Data!J42)</f>
        <v>South</v>
      </c>
      <c r="K42" s="66" t="str">
        <f>PROPER(Sales_Data!K42)</f>
        <v>Stationery</v>
      </c>
      <c r="L42" s="66" t="s">
        <v>123</v>
      </c>
      <c r="M42" s="66">
        <v>8</v>
      </c>
      <c r="N42" s="66">
        <v>60</v>
      </c>
      <c r="O42" s="66">
        <v>15</v>
      </c>
      <c r="P42" s="66">
        <v>408</v>
      </c>
      <c r="Q42" s="66">
        <v>5</v>
      </c>
      <c r="R42" s="66" t="s">
        <v>88</v>
      </c>
      <c r="S42" s="66" t="s">
        <v>49</v>
      </c>
      <c r="T42" s="66" t="s">
        <v>89</v>
      </c>
      <c r="U42" s="69" t="s">
        <v>316</v>
      </c>
      <c r="V42" s="66" t="s">
        <v>64</v>
      </c>
      <c r="X42" t="str">
        <f>PROPER(Sales_Data!X42)</f>
        <v/>
      </c>
    </row>
    <row r="43" spans="1:24" x14ac:dyDescent="0.3">
      <c r="A43" s="65" t="s">
        <v>317</v>
      </c>
      <c r="B43" s="66" t="s">
        <v>53</v>
      </c>
      <c r="C43" s="66" t="s">
        <v>92</v>
      </c>
      <c r="D43" s="67">
        <v>45753</v>
      </c>
      <c r="E43" s="68" t="s">
        <v>260</v>
      </c>
      <c r="F43" s="66" t="str">
        <f>TRIM(PROPER(Sales_Data!F43))</f>
        <v>Pooja Shah</v>
      </c>
      <c r="G43" s="66" t="s">
        <v>28</v>
      </c>
      <c r="H43" s="66" t="s">
        <v>319</v>
      </c>
      <c r="I43" s="66" t="s">
        <v>114</v>
      </c>
      <c r="J43" s="66" t="str">
        <f>PROPER(Sales_Data!J43)</f>
        <v>West</v>
      </c>
      <c r="K43" s="66" t="str">
        <f>PROPER(Sales_Data!K43)</f>
        <v>Home Appliances</v>
      </c>
      <c r="L43" s="66" t="s">
        <v>97</v>
      </c>
      <c r="M43" s="66">
        <v>8</v>
      </c>
      <c r="N43" s="66">
        <v>3500</v>
      </c>
      <c r="O43" s="66">
        <v>5</v>
      </c>
      <c r="P43" s="66">
        <v>26600</v>
      </c>
      <c r="Q43" s="66">
        <v>1</v>
      </c>
      <c r="R43" s="66" t="s">
        <v>79</v>
      </c>
      <c r="S43" s="66" t="s">
        <v>115</v>
      </c>
      <c r="T43" s="66" t="s">
        <v>62</v>
      </c>
      <c r="U43" s="69" t="s">
        <v>320</v>
      </c>
      <c r="V43" s="66" t="s">
        <v>64</v>
      </c>
      <c r="X43" t="str">
        <f>PROPER(Sales_Data!X43)</f>
        <v/>
      </c>
    </row>
    <row r="44" spans="1:24" x14ac:dyDescent="0.3">
      <c r="A44" s="65" t="s">
        <v>321</v>
      </c>
      <c r="B44" s="66" t="s">
        <v>71</v>
      </c>
      <c r="C44" s="66" t="s">
        <v>169</v>
      </c>
      <c r="D44" s="67">
        <v>46236</v>
      </c>
      <c r="E44" s="68" t="s">
        <v>323</v>
      </c>
      <c r="F44" s="66" t="str">
        <f>TRIM(PROPER(Sales_Data!F44))</f>
        <v>Mohit Verma</v>
      </c>
      <c r="G44" s="66" t="s">
        <v>76</v>
      </c>
      <c r="H44" s="66" t="s">
        <v>324</v>
      </c>
      <c r="I44" s="66" t="s">
        <v>212</v>
      </c>
      <c r="J44" s="66" t="str">
        <f>PROPER(Sales_Data!J44)</f>
        <v>North</v>
      </c>
      <c r="K44" s="66" t="str">
        <f>PROPER(Sales_Data!K44)</f>
        <v>Home Appliances</v>
      </c>
      <c r="L44" s="66" t="s">
        <v>174</v>
      </c>
      <c r="M44" s="66">
        <v>1</v>
      </c>
      <c r="N44" s="66">
        <v>8500</v>
      </c>
      <c r="O44" s="66">
        <v>0</v>
      </c>
      <c r="P44" s="66">
        <v>8500</v>
      </c>
      <c r="Q44" s="66">
        <v>2</v>
      </c>
      <c r="R44" s="66" t="s">
        <v>79</v>
      </c>
      <c r="S44" s="66" t="s">
        <v>115</v>
      </c>
      <c r="T44" s="66" t="s">
        <v>80</v>
      </c>
      <c r="U44" s="69" t="s">
        <v>325</v>
      </c>
      <c r="V44" s="66" t="s">
        <v>64</v>
      </c>
      <c r="X44" t="str">
        <f>PROPER(Sales_Data!X44)</f>
        <v/>
      </c>
    </row>
    <row r="45" spans="1:24" x14ac:dyDescent="0.3">
      <c r="A45" s="65" t="s">
        <v>326</v>
      </c>
      <c r="B45" s="66" t="s">
        <v>327</v>
      </c>
      <c r="C45" s="66" t="s">
        <v>259</v>
      </c>
      <c r="D45" s="67" t="s">
        <v>328</v>
      </c>
      <c r="E45" s="68" t="s">
        <v>329</v>
      </c>
      <c r="F45" s="66" t="str">
        <f>TRIM(PROPER(Sales_Data!F45))</f>
        <v>Amit Sharma</v>
      </c>
      <c r="G45" s="66" t="s">
        <v>76</v>
      </c>
      <c r="H45" s="66" t="s">
        <v>331</v>
      </c>
      <c r="I45" s="66" t="s">
        <v>114</v>
      </c>
      <c r="J45" s="66" t="str">
        <f>PROPER(Sales_Data!J45)</f>
        <v>West</v>
      </c>
      <c r="K45" s="66" t="str">
        <f>PROPER(Sales_Data!K45)</f>
        <v>Stationery</v>
      </c>
      <c r="L45" s="66" t="s">
        <v>263</v>
      </c>
      <c r="M45" s="66">
        <v>8</v>
      </c>
      <c r="N45" s="66">
        <v>45</v>
      </c>
      <c r="O45" s="66">
        <v>15</v>
      </c>
      <c r="P45" s="66">
        <v>306</v>
      </c>
      <c r="Q45" s="66">
        <v>2</v>
      </c>
      <c r="R45" s="66" t="s">
        <v>79</v>
      </c>
      <c r="S45" s="66" t="s">
        <v>61</v>
      </c>
      <c r="T45" s="66" t="s">
        <v>332</v>
      </c>
      <c r="U45" s="69" t="s">
        <v>333</v>
      </c>
      <c r="V45" s="66" t="s">
        <v>38</v>
      </c>
      <c r="X45" t="str">
        <f>PROPER(Sales_Data!X45)</f>
        <v/>
      </c>
    </row>
    <row r="46" spans="1:24" x14ac:dyDescent="0.3">
      <c r="A46" s="65" t="s">
        <v>334</v>
      </c>
      <c r="B46" s="66" t="s">
        <v>251</v>
      </c>
      <c r="C46" s="66" t="s">
        <v>24</v>
      </c>
      <c r="D46" s="67" t="s">
        <v>335</v>
      </c>
      <c r="E46" s="68" t="s">
        <v>336</v>
      </c>
      <c r="F46" s="66" t="str">
        <f>TRIM(PROPER(Sales_Data!F46))</f>
        <v>Sneha Joshi</v>
      </c>
      <c r="G46" s="66" t="s">
        <v>28</v>
      </c>
      <c r="H46" s="66" t="s">
        <v>337</v>
      </c>
      <c r="I46" s="66" t="s">
        <v>114</v>
      </c>
      <c r="J46" s="66" t="str">
        <f>PROPER(Sales_Data!J46)</f>
        <v>West</v>
      </c>
      <c r="K46" s="66" t="str">
        <f>PROPER(Sales_Data!K46)</f>
        <v>Home Appliances</v>
      </c>
      <c r="L46" s="66" t="s">
        <v>33</v>
      </c>
      <c r="M46" s="66">
        <v>16</v>
      </c>
      <c r="N46" s="66">
        <v>2200</v>
      </c>
      <c r="O46" s="66">
        <v>5</v>
      </c>
      <c r="P46" s="66">
        <v>33440</v>
      </c>
      <c r="Q46" s="66">
        <v>5</v>
      </c>
      <c r="R46" s="66" t="s">
        <v>79</v>
      </c>
      <c r="S46" s="66" t="s">
        <v>61</v>
      </c>
      <c r="T46" s="66" t="s">
        <v>256</v>
      </c>
      <c r="U46" s="69" t="s">
        <v>338</v>
      </c>
      <c r="V46" s="66" t="s">
        <v>69</v>
      </c>
      <c r="X46" t="str">
        <f>PROPER(Sales_Data!X46)</f>
        <v/>
      </c>
    </row>
    <row r="47" spans="1:24" x14ac:dyDescent="0.3">
      <c r="A47" s="65" t="s">
        <v>339</v>
      </c>
      <c r="B47" s="66" t="s">
        <v>71</v>
      </c>
      <c r="C47" s="66" t="s">
        <v>92</v>
      </c>
      <c r="D47" s="67" t="s">
        <v>340</v>
      </c>
      <c r="E47" s="68" t="s">
        <v>341</v>
      </c>
      <c r="F47" s="66" t="str">
        <f>TRIM(PROPER(Sales_Data!F47))</f>
        <v>Mohit Verma</v>
      </c>
      <c r="G47" s="66" t="s">
        <v>76</v>
      </c>
      <c r="H47" s="66" t="s">
        <v>342</v>
      </c>
      <c r="I47" s="66" t="s">
        <v>59</v>
      </c>
      <c r="J47" s="66" t="str">
        <f>PROPER(Sales_Data!J47)</f>
        <v>South</v>
      </c>
      <c r="K47" s="66" t="str">
        <f>PROPER(Sales_Data!K47)</f>
        <v>Home Appliances</v>
      </c>
      <c r="L47" s="66" t="s">
        <v>97</v>
      </c>
      <c r="M47" s="66">
        <v>19</v>
      </c>
      <c r="N47" s="66">
        <v>3500</v>
      </c>
      <c r="O47" s="66">
        <v>20</v>
      </c>
      <c r="P47" s="66">
        <v>53200</v>
      </c>
      <c r="Q47" s="66">
        <v>3</v>
      </c>
      <c r="R47" s="66" t="s">
        <v>34</v>
      </c>
      <c r="S47" s="66" t="s">
        <v>151</v>
      </c>
      <c r="T47" s="66" t="s">
        <v>80</v>
      </c>
      <c r="U47" s="69" t="s">
        <v>343</v>
      </c>
      <c r="V47" s="66" t="s">
        <v>69</v>
      </c>
      <c r="X47" t="str">
        <f>PROPER(Sales_Data!X47)</f>
        <v/>
      </c>
    </row>
    <row r="48" spans="1:24" x14ac:dyDescent="0.3">
      <c r="A48" s="65" t="s">
        <v>344</v>
      </c>
      <c r="B48" s="66" t="s">
        <v>251</v>
      </c>
      <c r="C48" s="66" t="s">
        <v>184</v>
      </c>
      <c r="D48" s="67">
        <v>45971</v>
      </c>
      <c r="E48" s="68" t="s">
        <v>346</v>
      </c>
      <c r="F48" s="66" t="str">
        <f>TRIM(PROPER(Sales_Data!F48))</f>
        <v>Sneha Joshi</v>
      </c>
      <c r="G48" s="66" t="s">
        <v>28</v>
      </c>
      <c r="H48" s="66" t="s">
        <v>347</v>
      </c>
      <c r="I48" s="66" t="s">
        <v>114</v>
      </c>
      <c r="J48" s="66" t="str">
        <f>PROPER(Sales_Data!J48)</f>
        <v>West</v>
      </c>
      <c r="K48" s="66" t="str">
        <f>PROPER(Sales_Data!K48)</f>
        <v>Electronics</v>
      </c>
      <c r="L48" s="66" t="s">
        <v>189</v>
      </c>
      <c r="M48" s="66">
        <v>15</v>
      </c>
      <c r="N48" s="66">
        <v>700</v>
      </c>
      <c r="O48" s="66">
        <v>15</v>
      </c>
      <c r="P48" s="66">
        <v>8925</v>
      </c>
      <c r="Q48" s="66">
        <v>4</v>
      </c>
      <c r="R48" s="66" t="s">
        <v>88</v>
      </c>
      <c r="S48" s="66" t="s">
        <v>115</v>
      </c>
      <c r="T48" s="66" t="s">
        <v>348</v>
      </c>
      <c r="U48" s="69" t="s">
        <v>349</v>
      </c>
      <c r="V48" s="66" t="s">
        <v>38</v>
      </c>
      <c r="X48" t="str">
        <f>PROPER(Sales_Data!X48)</f>
        <v/>
      </c>
    </row>
    <row r="49" spans="1:24" x14ac:dyDescent="0.3">
      <c r="A49" s="65" t="s">
        <v>350</v>
      </c>
      <c r="B49" s="66" t="s">
        <v>251</v>
      </c>
      <c r="C49" s="66" t="s">
        <v>184</v>
      </c>
      <c r="D49" s="67" t="s">
        <v>351</v>
      </c>
      <c r="E49" s="68" t="s">
        <v>352</v>
      </c>
      <c r="F49" s="66" t="str">
        <f>TRIM(PROPER(Sales_Data!F49))</f>
        <v>Sneha Joshi</v>
      </c>
      <c r="G49" s="66" t="s">
        <v>28</v>
      </c>
      <c r="H49" s="66" t="s">
        <v>353</v>
      </c>
      <c r="I49" s="66" t="s">
        <v>212</v>
      </c>
      <c r="J49" s="66" t="str">
        <f>PROPER(Sales_Data!J49)</f>
        <v>North</v>
      </c>
      <c r="K49" s="66" t="str">
        <f>PROPER(Sales_Data!K49)</f>
        <v>Electronics</v>
      </c>
      <c r="L49" s="66" t="s">
        <v>189</v>
      </c>
      <c r="M49" s="66">
        <v>19</v>
      </c>
      <c r="N49" s="66">
        <v>700</v>
      </c>
      <c r="O49" s="66">
        <v>20</v>
      </c>
      <c r="P49" s="66">
        <v>10640</v>
      </c>
      <c r="Q49" s="66">
        <v>1</v>
      </c>
      <c r="R49" s="66" t="s">
        <v>34</v>
      </c>
      <c r="S49" s="66" t="s">
        <v>115</v>
      </c>
      <c r="T49" s="66" t="s">
        <v>256</v>
      </c>
      <c r="U49" s="69" t="s">
        <v>354</v>
      </c>
      <c r="V49" s="66" t="s">
        <v>38</v>
      </c>
      <c r="X49" t="str">
        <f>PROPER(Sales_Data!X49)</f>
        <v/>
      </c>
    </row>
    <row r="50" spans="1:24" x14ac:dyDescent="0.3">
      <c r="A50" s="65" t="s">
        <v>355</v>
      </c>
      <c r="B50" s="66" t="s">
        <v>71</v>
      </c>
      <c r="C50" s="66" t="s">
        <v>40</v>
      </c>
      <c r="D50" s="67" t="s">
        <v>356</v>
      </c>
      <c r="E50" s="68" t="s">
        <v>64</v>
      </c>
      <c r="F50" s="66" t="str">
        <f>TRIM(PROPER(Sales_Data!F50))</f>
        <v>Mohit Verma</v>
      </c>
      <c r="G50" s="66" t="s">
        <v>76</v>
      </c>
      <c r="H50" s="66" t="s">
        <v>357</v>
      </c>
      <c r="I50" s="66" t="s">
        <v>44</v>
      </c>
      <c r="J50" s="66" t="str">
        <f>PROPER(Sales_Data!J50)</f>
        <v>North</v>
      </c>
      <c r="K50" s="66" t="str">
        <f>PROPER(Sales_Data!K50)</f>
        <v>Electronics</v>
      </c>
      <c r="L50" s="66" t="s">
        <v>47</v>
      </c>
      <c r="M50" s="66">
        <v>19</v>
      </c>
      <c r="N50" s="66">
        <v>12000</v>
      </c>
      <c r="O50" s="66">
        <v>0</v>
      </c>
      <c r="P50" s="66">
        <v>228000</v>
      </c>
      <c r="Q50" s="66">
        <v>1</v>
      </c>
      <c r="R50" s="66" t="s">
        <v>48</v>
      </c>
      <c r="S50" s="66" t="s">
        <v>61</v>
      </c>
      <c r="T50" s="66" t="s">
        <v>80</v>
      </c>
      <c r="U50" s="69" t="s">
        <v>358</v>
      </c>
      <c r="V50" s="66" t="s">
        <v>38</v>
      </c>
      <c r="X50" t="str">
        <f>PROPER(Sales_Data!X50)</f>
        <v/>
      </c>
    </row>
    <row r="51" spans="1:24" x14ac:dyDescent="0.3">
      <c r="A51" s="65" t="s">
        <v>359</v>
      </c>
      <c r="B51" s="66" t="s">
        <v>168</v>
      </c>
      <c r="C51" s="66" t="s">
        <v>72</v>
      </c>
      <c r="D51" s="67" t="s">
        <v>356</v>
      </c>
      <c r="E51" s="68" t="s">
        <v>360</v>
      </c>
      <c r="F51" s="66" t="str">
        <f>TRIM(PROPER(Sales_Data!F51))</f>
        <v>Anita Gupta</v>
      </c>
      <c r="G51" s="66" t="s">
        <v>28</v>
      </c>
      <c r="H51" s="66" t="s">
        <v>362</v>
      </c>
      <c r="I51" s="66" t="s">
        <v>114</v>
      </c>
      <c r="J51" s="66" t="str">
        <f>PROPER(Sales_Data!J51)</f>
        <v>West</v>
      </c>
      <c r="K51" s="66" t="str">
        <f>PROPER(Sales_Data!K51)</f>
        <v>Electronics</v>
      </c>
      <c r="L51" s="66" t="s">
        <v>78</v>
      </c>
      <c r="M51" s="66">
        <v>6</v>
      </c>
      <c r="N51" s="66">
        <v>1200</v>
      </c>
      <c r="O51" s="66">
        <v>5</v>
      </c>
      <c r="P51" s="66">
        <v>6840</v>
      </c>
      <c r="Q51" s="66">
        <v>2</v>
      </c>
      <c r="R51" s="66" t="s">
        <v>34</v>
      </c>
      <c r="S51" s="66" t="s">
        <v>35</v>
      </c>
      <c r="T51" s="66" t="s">
        <v>175</v>
      </c>
      <c r="U51" s="69" t="s">
        <v>363</v>
      </c>
      <c r="V51" s="66" t="s">
        <v>64</v>
      </c>
      <c r="X51" t="str">
        <f>PROPER(Sales_Data!X51)</f>
        <v/>
      </c>
    </row>
    <row r="52" spans="1:24" x14ac:dyDescent="0.3">
      <c r="A52" s="65" t="s">
        <v>364</v>
      </c>
      <c r="B52" s="66" t="s">
        <v>53</v>
      </c>
      <c r="C52" s="66" t="s">
        <v>24</v>
      </c>
      <c r="D52" s="67" t="s">
        <v>365</v>
      </c>
      <c r="E52" s="68" t="s">
        <v>366</v>
      </c>
      <c r="F52" s="66" t="str">
        <f>TRIM(PROPER(Sales_Data!F52))</f>
        <v>Pooja Shah</v>
      </c>
      <c r="G52" s="66" t="s">
        <v>28</v>
      </c>
      <c r="H52" s="66" t="s">
        <v>368</v>
      </c>
      <c r="I52" s="66" t="s">
        <v>59</v>
      </c>
      <c r="J52" s="66" t="str">
        <f>PROPER(Sales_Data!J52)</f>
        <v>South</v>
      </c>
      <c r="K52" s="66" t="str">
        <f>PROPER(Sales_Data!K52)</f>
        <v>Home Appliances</v>
      </c>
      <c r="L52" s="66" t="s">
        <v>33</v>
      </c>
      <c r="M52" s="66">
        <v>7</v>
      </c>
      <c r="N52" s="66">
        <v>2200</v>
      </c>
      <c r="O52" s="66">
        <v>15</v>
      </c>
      <c r="P52" s="66">
        <v>13090</v>
      </c>
      <c r="Q52" s="66">
        <v>1</v>
      </c>
      <c r="R52" s="66" t="s">
        <v>88</v>
      </c>
      <c r="S52" s="66" t="s">
        <v>61</v>
      </c>
      <c r="T52" s="66" t="s">
        <v>62</v>
      </c>
      <c r="U52" s="69" t="s">
        <v>369</v>
      </c>
      <c r="V52" s="66" t="s">
        <v>38</v>
      </c>
      <c r="X52" t="str">
        <f>PROPER(Sales_Data!X52)</f>
        <v/>
      </c>
    </row>
    <row r="53" spans="1:24" x14ac:dyDescent="0.3">
      <c r="A53" s="65" t="s">
        <v>370</v>
      </c>
      <c r="B53" s="66" t="s">
        <v>100</v>
      </c>
      <c r="C53" s="66" t="s">
        <v>118</v>
      </c>
      <c r="D53" s="67" t="s">
        <v>371</v>
      </c>
      <c r="E53" s="68" t="s">
        <v>372</v>
      </c>
      <c r="F53" s="66" t="str">
        <f>TRIM(PROPER(Sales_Data!F53))</f>
        <v>Priya Patel</v>
      </c>
      <c r="G53" s="66" t="s">
        <v>28</v>
      </c>
      <c r="H53" s="66" t="s">
        <v>373</v>
      </c>
      <c r="I53" s="66" t="s">
        <v>212</v>
      </c>
      <c r="J53" s="66" t="str">
        <f>PROPER(Sales_Data!J53)</f>
        <v>North</v>
      </c>
      <c r="K53" s="66" t="str">
        <f>PROPER(Sales_Data!K53)</f>
        <v>Stationery</v>
      </c>
      <c r="L53" s="66" t="s">
        <v>123</v>
      </c>
      <c r="M53" s="66">
        <v>8</v>
      </c>
      <c r="N53" s="66">
        <v>60</v>
      </c>
      <c r="O53" s="66">
        <v>10</v>
      </c>
      <c r="P53" s="66">
        <v>432</v>
      </c>
      <c r="Q53" s="66">
        <v>5</v>
      </c>
      <c r="R53" s="66" t="s">
        <v>79</v>
      </c>
      <c r="S53" s="66" t="s">
        <v>61</v>
      </c>
      <c r="T53" s="66" t="s">
        <v>144</v>
      </c>
      <c r="U53" s="69" t="s">
        <v>374</v>
      </c>
      <c r="V53" s="66" t="s">
        <v>69</v>
      </c>
      <c r="X53" t="str">
        <f>PROPER(Sales_Data!X53)</f>
        <v/>
      </c>
    </row>
    <row r="54" spans="1:24" x14ac:dyDescent="0.3">
      <c r="A54" s="65" t="s">
        <v>375</v>
      </c>
      <c r="B54" s="66" t="s">
        <v>221</v>
      </c>
      <c r="C54" s="66" t="s">
        <v>54</v>
      </c>
      <c r="D54" s="67" t="s">
        <v>376</v>
      </c>
      <c r="E54" s="68" t="s">
        <v>377</v>
      </c>
      <c r="F54" s="66" t="str">
        <f>TRIM(PROPER(Sales_Data!F54))</f>
        <v>Vikas Mehta</v>
      </c>
      <c r="G54" s="66" t="s">
        <v>76</v>
      </c>
      <c r="H54" s="66" t="s">
        <v>378</v>
      </c>
      <c r="I54" s="66" t="s">
        <v>294</v>
      </c>
      <c r="J54" s="66" t="str">
        <f>PROPER(Sales_Data!J54)</f>
        <v>East</v>
      </c>
      <c r="K54" s="66" t="str">
        <f>PROPER(Sales_Data!K54)</f>
        <v>Electronics</v>
      </c>
      <c r="L54" s="66" t="s">
        <v>60</v>
      </c>
      <c r="M54" s="66">
        <v>12</v>
      </c>
      <c r="N54" s="66">
        <v>55000</v>
      </c>
      <c r="O54" s="66">
        <v>5</v>
      </c>
      <c r="P54" s="66">
        <v>627000</v>
      </c>
      <c r="Q54" s="66">
        <v>2</v>
      </c>
      <c r="R54" s="66" t="s">
        <v>88</v>
      </c>
      <c r="S54" s="66" t="s">
        <v>49</v>
      </c>
      <c r="T54" s="66" t="s">
        <v>228</v>
      </c>
      <c r="U54" s="69" t="s">
        <v>379</v>
      </c>
      <c r="V54" s="66" t="s">
        <v>64</v>
      </c>
      <c r="X54" t="str">
        <f>PROPER(Sales_Data!X54)</f>
        <v/>
      </c>
    </row>
    <row r="55" spans="1:24" x14ac:dyDescent="0.3">
      <c r="A55" s="65" t="s">
        <v>380</v>
      </c>
      <c r="B55" s="66" t="s">
        <v>23</v>
      </c>
      <c r="C55" s="66" t="s">
        <v>184</v>
      </c>
      <c r="D55" s="67" t="s">
        <v>381</v>
      </c>
      <c r="E55" s="68" t="s">
        <v>382</v>
      </c>
      <c r="F55" s="66" t="str">
        <f>TRIM(PROPER(Sales_Data!F55))</f>
        <v>Kavya Nair</v>
      </c>
      <c r="G55" s="66" t="s">
        <v>28</v>
      </c>
      <c r="H55" s="66" t="s">
        <v>383</v>
      </c>
      <c r="I55" s="66" t="s">
        <v>212</v>
      </c>
      <c r="J55" s="66" t="str">
        <f>PROPER(Sales_Data!J55)</f>
        <v>North</v>
      </c>
      <c r="K55" s="66" t="str">
        <f>PROPER(Sales_Data!K55)</f>
        <v>Electronics</v>
      </c>
      <c r="L55" s="66" t="s">
        <v>189</v>
      </c>
      <c r="M55" s="66">
        <v>3</v>
      </c>
      <c r="N55" s="66">
        <v>700</v>
      </c>
      <c r="O55" s="66">
        <v>0</v>
      </c>
      <c r="P55" s="66">
        <v>2100</v>
      </c>
      <c r="Q55" s="66">
        <v>3</v>
      </c>
      <c r="R55" s="66" t="s">
        <v>79</v>
      </c>
      <c r="S55" s="66" t="s">
        <v>151</v>
      </c>
      <c r="T55" s="66" t="s">
        <v>50</v>
      </c>
      <c r="U55" s="69" t="s">
        <v>384</v>
      </c>
      <c r="V55" s="66" t="s">
        <v>69</v>
      </c>
      <c r="X55" t="str">
        <f>PROPER(Sales_Data!X55)</f>
        <v/>
      </c>
    </row>
    <row r="56" spans="1:24" x14ac:dyDescent="0.3">
      <c r="A56" s="65" t="s">
        <v>385</v>
      </c>
      <c r="B56" s="66" t="s">
        <v>127</v>
      </c>
      <c r="C56" s="66" t="s">
        <v>118</v>
      </c>
      <c r="D56" s="67" t="s">
        <v>386</v>
      </c>
      <c r="E56" s="68" t="s">
        <v>387</v>
      </c>
      <c r="F56" s="66" t="str">
        <f>TRIM(PROPER(Sales_Data!F56))</f>
        <v>Rohit Singh</v>
      </c>
      <c r="G56" s="66" t="s">
        <v>76</v>
      </c>
      <c r="H56" s="66" t="s">
        <v>389</v>
      </c>
      <c r="I56" s="66" t="s">
        <v>138</v>
      </c>
      <c r="J56" s="66" t="str">
        <f>PROPER(Sales_Data!J56)</f>
        <v>West</v>
      </c>
      <c r="K56" s="66" t="str">
        <f>PROPER(Sales_Data!K56)</f>
        <v>Stationery</v>
      </c>
      <c r="L56" s="66" t="s">
        <v>123</v>
      </c>
      <c r="M56" s="66">
        <v>19</v>
      </c>
      <c r="N56" s="66">
        <v>60</v>
      </c>
      <c r="O56" s="66">
        <v>15</v>
      </c>
      <c r="P56" s="66">
        <v>969</v>
      </c>
      <c r="Q56" s="66">
        <v>4</v>
      </c>
      <c r="R56" s="66" t="s">
        <v>79</v>
      </c>
      <c r="S56" s="66" t="s">
        <v>49</v>
      </c>
      <c r="T56" s="66" t="s">
        <v>132</v>
      </c>
      <c r="U56" s="69" t="s">
        <v>390</v>
      </c>
      <c r="V56" s="66" t="s">
        <v>69</v>
      </c>
      <c r="X56" t="str">
        <f>PROPER(Sales_Data!X56)</f>
        <v/>
      </c>
    </row>
    <row r="57" spans="1:24" x14ac:dyDescent="0.3">
      <c r="A57" s="65" t="s">
        <v>391</v>
      </c>
      <c r="B57" s="66" t="s">
        <v>327</v>
      </c>
      <c r="C57" s="66" t="s">
        <v>118</v>
      </c>
      <c r="D57" s="67">
        <v>45938</v>
      </c>
      <c r="E57" s="68" t="s">
        <v>393</v>
      </c>
      <c r="F57" s="66" t="str">
        <f>TRIM(PROPER(Sales_Data!F57))</f>
        <v>Amit Sharma</v>
      </c>
      <c r="G57" s="66" t="s">
        <v>76</v>
      </c>
      <c r="H57" s="66" t="s">
        <v>395</v>
      </c>
      <c r="I57" s="66" t="s">
        <v>212</v>
      </c>
      <c r="J57" s="66" t="str">
        <f>PROPER(Sales_Data!J57)</f>
        <v>North</v>
      </c>
      <c r="K57" s="66" t="str">
        <f>PROPER(Sales_Data!K57)</f>
        <v>Stationery</v>
      </c>
      <c r="L57" s="66" t="s">
        <v>123</v>
      </c>
      <c r="M57" s="66">
        <v>9</v>
      </c>
      <c r="N57" s="66">
        <v>60</v>
      </c>
      <c r="O57" s="66">
        <v>20</v>
      </c>
      <c r="P57" s="66">
        <v>432</v>
      </c>
      <c r="Q57" s="66">
        <v>1</v>
      </c>
      <c r="R57" s="66" t="s">
        <v>48</v>
      </c>
      <c r="S57" s="66" t="s">
        <v>115</v>
      </c>
      <c r="T57" s="66" t="s">
        <v>332</v>
      </c>
      <c r="U57" s="69" t="s">
        <v>396</v>
      </c>
      <c r="V57" s="66" t="s">
        <v>64</v>
      </c>
      <c r="X57" t="str">
        <f>PROPER(Sales_Data!X57)</f>
        <v/>
      </c>
    </row>
    <row r="58" spans="1:24" x14ac:dyDescent="0.3">
      <c r="A58" s="65" t="s">
        <v>397</v>
      </c>
      <c r="B58" s="66" t="s">
        <v>327</v>
      </c>
      <c r="C58" s="66" t="s">
        <v>184</v>
      </c>
      <c r="D58" s="67" t="s">
        <v>398</v>
      </c>
      <c r="E58" s="68" t="s">
        <v>399</v>
      </c>
      <c r="F58" s="66" t="str">
        <f>TRIM(PROPER(Sales_Data!F58))</f>
        <v>Amit Sharma</v>
      </c>
      <c r="G58" s="66" t="s">
        <v>76</v>
      </c>
      <c r="H58" s="66" t="s">
        <v>400</v>
      </c>
      <c r="I58" s="66" t="s">
        <v>59</v>
      </c>
      <c r="J58" s="66" t="str">
        <f>PROPER(Sales_Data!J58)</f>
        <v>South</v>
      </c>
      <c r="K58" s="66" t="str">
        <f>PROPER(Sales_Data!K58)</f>
        <v>Electronics</v>
      </c>
      <c r="L58" s="66" t="s">
        <v>189</v>
      </c>
      <c r="M58" s="66">
        <v>6</v>
      </c>
      <c r="N58" s="66">
        <v>700</v>
      </c>
      <c r="O58" s="66">
        <v>0</v>
      </c>
      <c r="P58" s="66">
        <v>4200</v>
      </c>
      <c r="Q58" s="66">
        <v>4</v>
      </c>
      <c r="R58" s="66" t="s">
        <v>88</v>
      </c>
      <c r="S58" s="66" t="s">
        <v>49</v>
      </c>
      <c r="T58" s="66" t="s">
        <v>401</v>
      </c>
      <c r="U58" s="69" t="s">
        <v>402</v>
      </c>
      <c r="V58" s="66" t="s">
        <v>69</v>
      </c>
      <c r="X58" t="str">
        <f>PROPER(Sales_Data!X58)</f>
        <v/>
      </c>
    </row>
    <row r="59" spans="1:24" x14ac:dyDescent="0.3">
      <c r="A59" s="65" t="s">
        <v>403</v>
      </c>
      <c r="B59" s="66" t="s">
        <v>127</v>
      </c>
      <c r="C59" s="66" t="s">
        <v>259</v>
      </c>
      <c r="D59" s="67" t="s">
        <v>241</v>
      </c>
      <c r="E59" s="68" t="s">
        <v>404</v>
      </c>
      <c r="F59" s="66" t="str">
        <f>TRIM(PROPER(Sales_Data!F59))</f>
        <v>Rohit Singh</v>
      </c>
      <c r="G59" s="66" t="s">
        <v>76</v>
      </c>
      <c r="H59" s="66" t="s">
        <v>405</v>
      </c>
      <c r="I59" s="66" t="s">
        <v>44</v>
      </c>
      <c r="J59" s="66" t="str">
        <f>PROPER(Sales_Data!J59)</f>
        <v>North</v>
      </c>
      <c r="K59" s="66" t="str">
        <f>PROPER(Sales_Data!K59)</f>
        <v>Stationery</v>
      </c>
      <c r="L59" s="66" t="s">
        <v>263</v>
      </c>
      <c r="M59" s="66">
        <v>18</v>
      </c>
      <c r="N59" s="66">
        <v>45</v>
      </c>
      <c r="O59" s="66">
        <v>5</v>
      </c>
      <c r="P59" s="66">
        <v>769.5</v>
      </c>
      <c r="Q59" s="66">
        <v>1</v>
      </c>
      <c r="R59" s="66" t="s">
        <v>79</v>
      </c>
      <c r="S59" s="66" t="s">
        <v>61</v>
      </c>
      <c r="T59" s="66" t="s">
        <v>132</v>
      </c>
      <c r="U59" s="69" t="s">
        <v>406</v>
      </c>
      <c r="V59" s="66" t="s">
        <v>64</v>
      </c>
      <c r="X59" t="str">
        <f>PROPER(Sales_Data!X59)</f>
        <v/>
      </c>
    </row>
    <row r="60" spans="1:24" x14ac:dyDescent="0.3">
      <c r="A60" s="65" t="s">
        <v>407</v>
      </c>
      <c r="B60" s="66" t="s">
        <v>83</v>
      </c>
      <c r="C60" s="66" t="s">
        <v>222</v>
      </c>
      <c r="D60" s="67" t="s">
        <v>408</v>
      </c>
      <c r="E60" s="68" t="s">
        <v>261</v>
      </c>
      <c r="F60" s="66" t="str">
        <f>TRIM(PROPER(Sales_Data!F60))</f>
        <v>Arjun Rao</v>
      </c>
      <c r="G60" s="66" t="s">
        <v>76</v>
      </c>
      <c r="H60" s="66" t="s">
        <v>409</v>
      </c>
      <c r="I60" s="66" t="s">
        <v>212</v>
      </c>
      <c r="J60" s="66" t="str">
        <f>PROPER(Sales_Data!J60)</f>
        <v>North</v>
      </c>
      <c r="K60" s="66" t="str">
        <f>PROPER(Sales_Data!K60)</f>
        <v>Stationery</v>
      </c>
      <c r="L60" s="66" t="s">
        <v>227</v>
      </c>
      <c r="M60" s="66">
        <v>8</v>
      </c>
      <c r="N60" s="66">
        <v>20</v>
      </c>
      <c r="O60" s="66">
        <v>5</v>
      </c>
      <c r="P60" s="66">
        <v>152</v>
      </c>
      <c r="Q60" s="66">
        <v>1</v>
      </c>
      <c r="R60" s="66" t="s">
        <v>79</v>
      </c>
      <c r="S60" s="66" t="s">
        <v>35</v>
      </c>
      <c r="T60" s="66" t="s">
        <v>89</v>
      </c>
      <c r="U60" s="69" t="s">
        <v>410</v>
      </c>
      <c r="V60" s="66" t="s">
        <v>411</v>
      </c>
      <c r="X60" t="str">
        <f>PROPER(Sales_Data!X60)</f>
        <v/>
      </c>
    </row>
    <row r="61" spans="1:24" x14ac:dyDescent="0.3">
      <c r="A61" s="65" t="s">
        <v>412</v>
      </c>
      <c r="B61" s="66" t="s">
        <v>221</v>
      </c>
      <c r="C61" s="66" t="s">
        <v>184</v>
      </c>
      <c r="D61" s="67">
        <v>45780</v>
      </c>
      <c r="E61" s="68" t="s">
        <v>414</v>
      </c>
      <c r="F61" s="66" t="str">
        <f>TRIM(PROPER(Sales_Data!F61))</f>
        <v>Vikas Mehta</v>
      </c>
      <c r="G61" s="66" t="s">
        <v>76</v>
      </c>
      <c r="H61" s="66" t="s">
        <v>415</v>
      </c>
      <c r="I61" s="66" t="s">
        <v>212</v>
      </c>
      <c r="J61" s="66" t="str">
        <f>PROPER(Sales_Data!J61)</f>
        <v>North</v>
      </c>
      <c r="K61" s="66" t="str">
        <f>PROPER(Sales_Data!K61)</f>
        <v>Electronics</v>
      </c>
      <c r="L61" s="66" t="s">
        <v>189</v>
      </c>
      <c r="M61" s="66">
        <v>8</v>
      </c>
      <c r="N61" s="66">
        <v>700</v>
      </c>
      <c r="O61" s="66">
        <v>10</v>
      </c>
      <c r="P61" s="66">
        <v>5040</v>
      </c>
      <c r="Q61" s="66">
        <v>1</v>
      </c>
      <c r="R61" s="66" t="s">
        <v>48</v>
      </c>
      <c r="S61" s="66" t="s">
        <v>61</v>
      </c>
      <c r="T61" s="66" t="s">
        <v>416</v>
      </c>
      <c r="U61" s="69" t="s">
        <v>417</v>
      </c>
      <c r="V61" s="66" t="s">
        <v>69</v>
      </c>
      <c r="X61" t="str">
        <f>PROPER(Sales_Data!X61)</f>
        <v/>
      </c>
    </row>
    <row r="62" spans="1:24" x14ac:dyDescent="0.3">
      <c r="A62" s="65" t="s">
        <v>418</v>
      </c>
      <c r="B62" s="66" t="s">
        <v>23</v>
      </c>
      <c r="C62" s="66" t="s">
        <v>222</v>
      </c>
      <c r="D62" s="67">
        <v>46269</v>
      </c>
      <c r="E62" s="68" t="s">
        <v>356</v>
      </c>
      <c r="F62" s="66" t="str">
        <f>TRIM(PROPER(Sales_Data!F62))</f>
        <v>Kavya Nair</v>
      </c>
      <c r="G62" s="66" t="s">
        <v>28</v>
      </c>
      <c r="H62" s="66" t="s">
        <v>419</v>
      </c>
      <c r="I62" s="66" t="s">
        <v>44</v>
      </c>
      <c r="J62" s="66" t="str">
        <f>PROPER(Sales_Data!J62)</f>
        <v>North</v>
      </c>
      <c r="K62" s="66" t="str">
        <f>PROPER(Sales_Data!K62)</f>
        <v>Stationery</v>
      </c>
      <c r="L62" s="66" t="s">
        <v>227</v>
      </c>
      <c r="M62" s="66">
        <v>7</v>
      </c>
      <c r="N62" s="66">
        <v>20</v>
      </c>
      <c r="O62" s="66">
        <v>15</v>
      </c>
      <c r="P62" s="66">
        <v>119</v>
      </c>
      <c r="Q62" s="66">
        <v>5</v>
      </c>
      <c r="R62" s="66" t="s">
        <v>79</v>
      </c>
      <c r="S62" s="66" t="s">
        <v>49</v>
      </c>
      <c r="T62" s="66" t="s">
        <v>50</v>
      </c>
      <c r="U62" s="69" t="s">
        <v>420</v>
      </c>
      <c r="V62" s="66" t="s">
        <v>38</v>
      </c>
      <c r="X62" t="str">
        <f>PROPER(Sales_Data!X62)</f>
        <v/>
      </c>
    </row>
    <row r="63" spans="1:24" x14ac:dyDescent="0.3">
      <c r="A63" s="65" t="s">
        <v>421</v>
      </c>
      <c r="B63" s="66" t="s">
        <v>100</v>
      </c>
      <c r="C63" s="66" t="s">
        <v>222</v>
      </c>
      <c r="D63" s="67" t="s">
        <v>422</v>
      </c>
      <c r="E63" s="68" t="s">
        <v>371</v>
      </c>
      <c r="F63" s="66" t="str">
        <f>TRIM(PROPER(Sales_Data!F63))</f>
        <v>Priya Patel</v>
      </c>
      <c r="G63" s="66" t="s">
        <v>28</v>
      </c>
      <c r="H63" s="66" t="s">
        <v>423</v>
      </c>
      <c r="I63" s="66" t="s">
        <v>114</v>
      </c>
      <c r="J63" s="66" t="str">
        <f>PROPER(Sales_Data!J63)</f>
        <v>West</v>
      </c>
      <c r="K63" s="66" t="str">
        <f>PROPER(Sales_Data!K63)</f>
        <v>Stationery</v>
      </c>
      <c r="L63" s="66" t="s">
        <v>227</v>
      </c>
      <c r="M63" s="66">
        <v>16</v>
      </c>
      <c r="N63" s="66">
        <v>20</v>
      </c>
      <c r="O63" s="66">
        <v>0</v>
      </c>
      <c r="P63" s="66">
        <v>320</v>
      </c>
      <c r="Q63" s="66">
        <v>5</v>
      </c>
      <c r="R63" s="66" t="s">
        <v>48</v>
      </c>
      <c r="S63" s="66" t="s">
        <v>61</v>
      </c>
      <c r="T63" s="66" t="s">
        <v>144</v>
      </c>
      <c r="U63" s="69" t="s">
        <v>424</v>
      </c>
      <c r="V63" s="66" t="s">
        <v>64</v>
      </c>
      <c r="X63" t="str">
        <f>PROPER(Sales_Data!X63)</f>
        <v/>
      </c>
    </row>
    <row r="64" spans="1:24" x14ac:dyDescent="0.3">
      <c r="A64" s="65" t="s">
        <v>425</v>
      </c>
      <c r="B64" s="66" t="s">
        <v>53</v>
      </c>
      <c r="C64" s="66" t="s">
        <v>259</v>
      </c>
      <c r="D64" s="67" t="s">
        <v>426</v>
      </c>
      <c r="E64" s="68" t="s">
        <v>427</v>
      </c>
      <c r="F64" s="66" t="str">
        <f>TRIM(PROPER(Sales_Data!F64))</f>
        <v>Pooja Shah</v>
      </c>
      <c r="G64" s="66" t="s">
        <v>28</v>
      </c>
      <c r="H64" s="66" t="s">
        <v>428</v>
      </c>
      <c r="I64" s="66" t="s">
        <v>105</v>
      </c>
      <c r="J64" s="66" t="str">
        <f>PROPER(Sales_Data!J64)</f>
        <v>West</v>
      </c>
      <c r="K64" s="66" t="str">
        <f>PROPER(Sales_Data!K64)</f>
        <v>Stationery</v>
      </c>
      <c r="L64" s="66" t="s">
        <v>263</v>
      </c>
      <c r="M64" s="66">
        <v>15</v>
      </c>
      <c r="N64" s="66">
        <v>45</v>
      </c>
      <c r="O64" s="66">
        <v>0</v>
      </c>
      <c r="P64" s="66">
        <v>675</v>
      </c>
      <c r="Q64" s="66">
        <v>4</v>
      </c>
      <c r="R64" s="66" t="s">
        <v>34</v>
      </c>
      <c r="S64" s="66" t="s">
        <v>61</v>
      </c>
      <c r="T64" s="66" t="s">
        <v>62</v>
      </c>
      <c r="U64" s="69" t="s">
        <v>429</v>
      </c>
      <c r="V64" s="66" t="s">
        <v>69</v>
      </c>
      <c r="X64" t="str">
        <f>PROPER(Sales_Data!X64)</f>
        <v/>
      </c>
    </row>
    <row r="65" spans="1:24" x14ac:dyDescent="0.3">
      <c r="A65" s="65" t="s">
        <v>430</v>
      </c>
      <c r="B65" s="66" t="s">
        <v>251</v>
      </c>
      <c r="C65" s="66" t="s">
        <v>184</v>
      </c>
      <c r="D65" s="67">
        <v>45660</v>
      </c>
      <c r="E65" s="68" t="s">
        <v>413</v>
      </c>
      <c r="F65" s="66" t="str">
        <f>TRIM(PROPER(Sales_Data!F65))</f>
        <v>Sneha Joshi</v>
      </c>
      <c r="G65" s="66" t="s">
        <v>28</v>
      </c>
      <c r="H65" s="66" t="s">
        <v>432</v>
      </c>
      <c r="I65" s="66" t="s">
        <v>138</v>
      </c>
      <c r="J65" s="66" t="str">
        <f>PROPER(Sales_Data!J65)</f>
        <v>West</v>
      </c>
      <c r="K65" s="66" t="str">
        <f>PROPER(Sales_Data!K65)</f>
        <v>Electronics</v>
      </c>
      <c r="L65" s="66" t="s">
        <v>189</v>
      </c>
      <c r="M65" s="66">
        <v>15</v>
      </c>
      <c r="N65" s="66">
        <v>700</v>
      </c>
      <c r="O65" s="66">
        <v>10</v>
      </c>
      <c r="P65" s="66">
        <v>9450</v>
      </c>
      <c r="Q65" s="66">
        <v>3</v>
      </c>
      <c r="R65" s="66" t="s">
        <v>48</v>
      </c>
      <c r="S65" s="66" t="s">
        <v>151</v>
      </c>
      <c r="T65" s="66" t="s">
        <v>256</v>
      </c>
      <c r="U65" s="69" t="s">
        <v>433</v>
      </c>
      <c r="V65" s="66" t="s">
        <v>38</v>
      </c>
      <c r="X65" t="str">
        <f>PROPER(Sales_Data!X65)</f>
        <v/>
      </c>
    </row>
    <row r="66" spans="1:24" x14ac:dyDescent="0.3">
      <c r="A66" s="65" t="s">
        <v>434</v>
      </c>
      <c r="B66" s="66" t="s">
        <v>53</v>
      </c>
      <c r="C66" s="66" t="s">
        <v>259</v>
      </c>
      <c r="D66" s="67">
        <v>45902</v>
      </c>
      <c r="E66" s="68" t="s">
        <v>436</v>
      </c>
      <c r="F66" s="66" t="str">
        <f>TRIM(PROPER(Sales_Data!F66))</f>
        <v>Pooja Shah</v>
      </c>
      <c r="G66" s="66" t="s">
        <v>28</v>
      </c>
      <c r="H66" s="66" t="s">
        <v>437</v>
      </c>
      <c r="I66" s="66" t="s">
        <v>294</v>
      </c>
      <c r="J66" s="66" t="str">
        <f>PROPER(Sales_Data!J66)</f>
        <v>East</v>
      </c>
      <c r="K66" s="66" t="str">
        <f>PROPER(Sales_Data!K66)</f>
        <v>Stationery</v>
      </c>
      <c r="L66" s="66" t="s">
        <v>263</v>
      </c>
      <c r="M66" s="66">
        <v>3</v>
      </c>
      <c r="N66" s="66">
        <v>45</v>
      </c>
      <c r="O66" s="66">
        <v>15</v>
      </c>
      <c r="P66" s="66">
        <v>114.75</v>
      </c>
      <c r="Q66" s="66">
        <v>2</v>
      </c>
      <c r="R66" s="66" t="s">
        <v>88</v>
      </c>
      <c r="S66" s="66" t="s">
        <v>115</v>
      </c>
      <c r="T66" s="66" t="s">
        <v>62</v>
      </c>
      <c r="U66" s="69" t="s">
        <v>438</v>
      </c>
      <c r="V66" s="66" t="s">
        <v>64</v>
      </c>
      <c r="X66" t="str">
        <f>PROPER(Sales_Data!X66)</f>
        <v/>
      </c>
    </row>
    <row r="67" spans="1:24" x14ac:dyDescent="0.3">
      <c r="A67" s="65" t="s">
        <v>439</v>
      </c>
      <c r="B67" s="66" t="s">
        <v>100</v>
      </c>
      <c r="C67" s="66" t="s">
        <v>24</v>
      </c>
      <c r="D67" s="67">
        <v>46266</v>
      </c>
      <c r="E67" s="68" t="s">
        <v>441</v>
      </c>
      <c r="F67" s="66" t="str">
        <f>TRIM(PROPER(Sales_Data!F67))</f>
        <v>Priya Patel</v>
      </c>
      <c r="G67" s="66" t="s">
        <v>28</v>
      </c>
      <c r="H67" s="66" t="s">
        <v>442</v>
      </c>
      <c r="I67" s="66" t="s">
        <v>294</v>
      </c>
      <c r="J67" s="66" t="str">
        <f>PROPER(Sales_Data!J67)</f>
        <v>East</v>
      </c>
      <c r="K67" s="66" t="str">
        <f>PROPER(Sales_Data!K67)</f>
        <v>Home Appliances</v>
      </c>
      <c r="L67" s="66" t="s">
        <v>33</v>
      </c>
      <c r="M67" s="66">
        <v>7</v>
      </c>
      <c r="N67" s="66">
        <v>2200</v>
      </c>
      <c r="O67" s="66">
        <v>15</v>
      </c>
      <c r="P67" s="66">
        <v>13090</v>
      </c>
      <c r="Q67" s="66">
        <v>5</v>
      </c>
      <c r="R67" s="66" t="s">
        <v>88</v>
      </c>
      <c r="S67" s="66" t="s">
        <v>115</v>
      </c>
      <c r="T67" s="66" t="s">
        <v>144</v>
      </c>
      <c r="U67" s="69" t="s">
        <v>443</v>
      </c>
      <c r="V67" s="66" t="s">
        <v>38</v>
      </c>
      <c r="X67" t="str">
        <f>PROPER(Sales_Data!X67)</f>
        <v/>
      </c>
    </row>
    <row r="68" spans="1:24" x14ac:dyDescent="0.3">
      <c r="A68" s="65" t="s">
        <v>444</v>
      </c>
      <c r="B68" s="66" t="s">
        <v>23</v>
      </c>
      <c r="C68" s="66" t="s">
        <v>259</v>
      </c>
      <c r="D68" s="67">
        <v>45666</v>
      </c>
      <c r="E68" s="68" t="s">
        <v>446</v>
      </c>
      <c r="F68" s="66" t="str">
        <f>TRIM(PROPER(Sales_Data!F68))</f>
        <v>Kavya Nair</v>
      </c>
      <c r="G68" s="66" t="s">
        <v>28</v>
      </c>
      <c r="H68" s="66" t="s">
        <v>447</v>
      </c>
      <c r="I68" s="66" t="s">
        <v>44</v>
      </c>
      <c r="J68" s="66" t="str">
        <f>PROPER(Sales_Data!J68)</f>
        <v>North</v>
      </c>
      <c r="K68" s="66" t="str">
        <f>PROPER(Sales_Data!K68)</f>
        <v>Stationery</v>
      </c>
      <c r="L68" s="66" t="s">
        <v>263</v>
      </c>
      <c r="M68" s="66">
        <v>19</v>
      </c>
      <c r="N68" s="66">
        <v>45</v>
      </c>
      <c r="O68" s="66">
        <v>10</v>
      </c>
      <c r="P68" s="66">
        <v>769.5</v>
      </c>
      <c r="Q68" s="66">
        <v>5</v>
      </c>
      <c r="R68" s="66" t="s">
        <v>79</v>
      </c>
      <c r="S68" s="66" t="s">
        <v>115</v>
      </c>
      <c r="T68" s="66" t="s">
        <v>50</v>
      </c>
      <c r="U68" s="69" t="s">
        <v>448</v>
      </c>
      <c r="V68" s="66" t="s">
        <v>69</v>
      </c>
      <c r="X68" t="str">
        <f>PROPER(Sales_Data!X68)</f>
        <v/>
      </c>
    </row>
    <row r="69" spans="1:24" x14ac:dyDescent="0.3">
      <c r="A69" s="65" t="s">
        <v>449</v>
      </c>
      <c r="B69" s="66" t="s">
        <v>251</v>
      </c>
      <c r="C69" s="66" t="s">
        <v>92</v>
      </c>
      <c r="D69" s="67">
        <v>46267</v>
      </c>
      <c r="E69" s="68" t="s">
        <v>323</v>
      </c>
      <c r="F69" s="66" t="str">
        <f>TRIM(PROPER(Sales_Data!F69))</f>
        <v>Sneha Joshi</v>
      </c>
      <c r="G69" s="66" t="s">
        <v>28</v>
      </c>
      <c r="H69" s="66" t="s">
        <v>451</v>
      </c>
      <c r="I69" s="66" t="s">
        <v>30</v>
      </c>
      <c r="J69" s="66" t="str">
        <f>PROPER(Sales_Data!J69)</f>
        <v>South</v>
      </c>
      <c r="K69" s="66" t="str">
        <f>PROPER(Sales_Data!K69)</f>
        <v>Home Appliances</v>
      </c>
      <c r="L69" s="66" t="s">
        <v>97</v>
      </c>
      <c r="M69" s="66">
        <v>7</v>
      </c>
      <c r="N69" s="66">
        <v>3500</v>
      </c>
      <c r="O69" s="66">
        <v>15</v>
      </c>
      <c r="P69" s="66">
        <v>20825</v>
      </c>
      <c r="Q69" s="66">
        <v>1</v>
      </c>
      <c r="R69" s="66" t="s">
        <v>34</v>
      </c>
      <c r="S69" s="66" t="s">
        <v>151</v>
      </c>
      <c r="T69" s="66" t="s">
        <v>256</v>
      </c>
      <c r="U69" s="69" t="s">
        <v>452</v>
      </c>
      <c r="V69" s="66" t="s">
        <v>64</v>
      </c>
      <c r="X69" t="str">
        <f>PROPER(Sales_Data!X69)</f>
        <v/>
      </c>
    </row>
    <row r="70" spans="1:24" x14ac:dyDescent="0.3">
      <c r="A70" s="65" t="s">
        <v>453</v>
      </c>
      <c r="B70" s="66" t="s">
        <v>53</v>
      </c>
      <c r="C70" s="66" t="s">
        <v>169</v>
      </c>
      <c r="D70" s="67" t="s">
        <v>454</v>
      </c>
      <c r="E70" s="68" t="s">
        <v>455</v>
      </c>
      <c r="F70" s="66" t="str">
        <f>TRIM(PROPER(Sales_Data!F70))</f>
        <v>Pooja Shah</v>
      </c>
      <c r="G70" s="66" t="s">
        <v>28</v>
      </c>
      <c r="H70" s="66" t="s">
        <v>456</v>
      </c>
      <c r="I70" s="66" t="s">
        <v>212</v>
      </c>
      <c r="J70" s="66" t="str">
        <f>PROPER(Sales_Data!J70)</f>
        <v>North</v>
      </c>
      <c r="K70" s="66" t="str">
        <f>PROPER(Sales_Data!K70)</f>
        <v>Home Appliances</v>
      </c>
      <c r="L70" s="66" t="s">
        <v>174</v>
      </c>
      <c r="M70" s="66">
        <v>7</v>
      </c>
      <c r="N70" s="66">
        <v>8500</v>
      </c>
      <c r="O70" s="66">
        <v>20</v>
      </c>
      <c r="P70" s="66">
        <v>47600</v>
      </c>
      <c r="Q70" s="66">
        <v>4</v>
      </c>
      <c r="R70" s="66" t="s">
        <v>48</v>
      </c>
      <c r="S70" s="66" t="s">
        <v>115</v>
      </c>
      <c r="T70" s="66" t="s">
        <v>62</v>
      </c>
      <c r="U70" s="69" t="s">
        <v>457</v>
      </c>
      <c r="V70" s="66" t="s">
        <v>38</v>
      </c>
      <c r="X70" t="str">
        <f>PROPER(Sales_Data!X70)</f>
        <v/>
      </c>
    </row>
    <row r="71" spans="1:24" x14ac:dyDescent="0.3">
      <c r="A71" s="65" t="s">
        <v>458</v>
      </c>
      <c r="B71" s="66" t="s">
        <v>23</v>
      </c>
      <c r="C71" s="66" t="s">
        <v>54</v>
      </c>
      <c r="D71" s="67">
        <v>45842</v>
      </c>
      <c r="E71" s="68" t="s">
        <v>459</v>
      </c>
      <c r="F71" s="66" t="str">
        <f>TRIM(PROPER(Sales_Data!F71))</f>
        <v>Kavya Nair</v>
      </c>
      <c r="G71" s="66" t="s">
        <v>28</v>
      </c>
      <c r="H71" s="66" t="s">
        <v>460</v>
      </c>
      <c r="I71" s="66" t="s">
        <v>59</v>
      </c>
      <c r="J71" s="66" t="str">
        <f>PROPER(Sales_Data!J71)</f>
        <v>South</v>
      </c>
      <c r="K71" s="66" t="str">
        <f>PROPER(Sales_Data!K71)</f>
        <v>Electronics</v>
      </c>
      <c r="L71" s="66" t="s">
        <v>60</v>
      </c>
      <c r="M71" s="66">
        <v>16</v>
      </c>
      <c r="N71" s="66">
        <v>55000</v>
      </c>
      <c r="O71" s="66">
        <v>10</v>
      </c>
      <c r="P71" s="66">
        <v>792000</v>
      </c>
      <c r="Q71" s="66">
        <v>1</v>
      </c>
      <c r="R71" s="66" t="s">
        <v>79</v>
      </c>
      <c r="S71" s="66" t="s">
        <v>61</v>
      </c>
      <c r="T71" s="66" t="s">
        <v>50</v>
      </c>
      <c r="U71" s="69" t="s">
        <v>461</v>
      </c>
      <c r="V71" s="66" t="s">
        <v>38</v>
      </c>
      <c r="X71" t="str">
        <f>PROPER(Sales_Data!X71)</f>
        <v/>
      </c>
    </row>
    <row r="72" spans="1:24" x14ac:dyDescent="0.3">
      <c r="A72" s="65" t="s">
        <v>462</v>
      </c>
      <c r="B72" s="66" t="s">
        <v>168</v>
      </c>
      <c r="C72" s="66" t="s">
        <v>40</v>
      </c>
      <c r="D72" s="67" t="s">
        <v>463</v>
      </c>
      <c r="E72" s="68" t="s">
        <v>464</v>
      </c>
      <c r="F72" s="66" t="str">
        <f>TRIM(PROPER(Sales_Data!F72))</f>
        <v>Anita Gupta</v>
      </c>
      <c r="G72" s="66" t="s">
        <v>28</v>
      </c>
      <c r="H72" s="66" t="s">
        <v>465</v>
      </c>
      <c r="I72" s="66" t="s">
        <v>105</v>
      </c>
      <c r="J72" s="66" t="str">
        <f>PROPER(Sales_Data!J72)</f>
        <v>West</v>
      </c>
      <c r="K72" s="66" t="str">
        <f>PROPER(Sales_Data!K72)</f>
        <v>Electronics</v>
      </c>
      <c r="L72" s="66" t="s">
        <v>47</v>
      </c>
      <c r="M72" s="66">
        <v>2</v>
      </c>
      <c r="N72" s="66">
        <v>12000</v>
      </c>
      <c r="O72" s="66">
        <v>20</v>
      </c>
      <c r="P72" s="66">
        <v>19200</v>
      </c>
      <c r="Q72" s="66">
        <v>1</v>
      </c>
      <c r="R72" s="66" t="s">
        <v>34</v>
      </c>
      <c r="S72" s="66" t="s">
        <v>151</v>
      </c>
      <c r="T72" s="66" t="s">
        <v>466</v>
      </c>
      <c r="U72" s="69" t="s">
        <v>467</v>
      </c>
      <c r="V72" s="66" t="s">
        <v>64</v>
      </c>
      <c r="X72" t="str">
        <f>PROPER(Sales_Data!X72)</f>
        <v/>
      </c>
    </row>
    <row r="73" spans="1:24" x14ac:dyDescent="0.3">
      <c r="A73" s="65" t="s">
        <v>468</v>
      </c>
      <c r="B73" s="66" t="s">
        <v>127</v>
      </c>
      <c r="C73" s="66" t="s">
        <v>259</v>
      </c>
      <c r="D73" s="67" t="s">
        <v>469</v>
      </c>
      <c r="E73" s="68" t="s">
        <v>446</v>
      </c>
      <c r="F73" s="66" t="str">
        <f>TRIM(PROPER(Sales_Data!F73))</f>
        <v>Rohit Singh</v>
      </c>
      <c r="G73" s="66" t="s">
        <v>76</v>
      </c>
      <c r="H73" s="66" t="s">
        <v>470</v>
      </c>
      <c r="I73" s="66" t="s">
        <v>59</v>
      </c>
      <c r="J73" s="66" t="str">
        <f>PROPER(Sales_Data!J73)</f>
        <v>South</v>
      </c>
      <c r="K73" s="66" t="str">
        <f>PROPER(Sales_Data!K73)</f>
        <v>Stationery</v>
      </c>
      <c r="L73" s="66" t="s">
        <v>263</v>
      </c>
      <c r="M73" s="66">
        <v>4</v>
      </c>
      <c r="N73" s="66">
        <v>45</v>
      </c>
      <c r="O73" s="66">
        <v>5</v>
      </c>
      <c r="P73" s="66">
        <v>171</v>
      </c>
      <c r="Q73" s="66">
        <v>1</v>
      </c>
      <c r="R73" s="66" t="s">
        <v>79</v>
      </c>
      <c r="S73" s="66" t="s">
        <v>49</v>
      </c>
      <c r="T73" s="66" t="s">
        <v>132</v>
      </c>
      <c r="U73" s="69" t="s">
        <v>471</v>
      </c>
      <c r="V73" s="66" t="s">
        <v>64</v>
      </c>
      <c r="X73" t="str">
        <f>PROPER(Sales_Data!X73)</f>
        <v/>
      </c>
    </row>
    <row r="74" spans="1:24" x14ac:dyDescent="0.3">
      <c r="A74" s="65" t="s">
        <v>472</v>
      </c>
      <c r="B74" s="66" t="s">
        <v>23</v>
      </c>
      <c r="C74" s="66" t="s">
        <v>72</v>
      </c>
      <c r="D74" s="67" t="s">
        <v>473</v>
      </c>
      <c r="E74" s="68" t="s">
        <v>474</v>
      </c>
      <c r="F74" s="66" t="str">
        <f>TRIM(PROPER(Sales_Data!F74))</f>
        <v>Kavya Nair</v>
      </c>
      <c r="G74" s="66" t="s">
        <v>28</v>
      </c>
      <c r="H74" s="66" t="s">
        <v>475</v>
      </c>
      <c r="I74" s="66" t="s">
        <v>212</v>
      </c>
      <c r="J74" s="66" t="str">
        <f>PROPER(Sales_Data!J74)</f>
        <v>North</v>
      </c>
      <c r="K74" s="66" t="str">
        <f>PROPER(Sales_Data!K74)</f>
        <v>Electronics</v>
      </c>
      <c r="L74" s="66" t="s">
        <v>78</v>
      </c>
      <c r="M74" s="66">
        <v>1</v>
      </c>
      <c r="N74" s="66">
        <v>1200</v>
      </c>
      <c r="O74" s="66">
        <v>5</v>
      </c>
      <c r="P74" s="66">
        <v>1140</v>
      </c>
      <c r="Q74" s="66">
        <v>3</v>
      </c>
      <c r="R74" s="66" t="s">
        <v>88</v>
      </c>
      <c r="S74" s="66" t="s">
        <v>61</v>
      </c>
      <c r="T74" s="66" t="s">
        <v>50</v>
      </c>
      <c r="U74" s="69" t="s">
        <v>476</v>
      </c>
      <c r="V74" s="66" t="s">
        <v>69</v>
      </c>
      <c r="X74" t="str">
        <f>PROPER(Sales_Data!X74)</f>
        <v/>
      </c>
    </row>
    <row r="75" spans="1:24" x14ac:dyDescent="0.3">
      <c r="A75" s="65" t="s">
        <v>477</v>
      </c>
      <c r="B75" s="66" t="s">
        <v>53</v>
      </c>
      <c r="C75" s="66" t="s">
        <v>24</v>
      </c>
      <c r="D75" s="67">
        <v>46114</v>
      </c>
      <c r="E75" s="68" t="s">
        <v>479</v>
      </c>
      <c r="F75" s="66" t="str">
        <f>TRIM(PROPER(Sales_Data!F75))</f>
        <v>Pooja Shah</v>
      </c>
      <c r="G75" s="66" t="s">
        <v>28</v>
      </c>
      <c r="H75" s="66" t="s">
        <v>480</v>
      </c>
      <c r="I75" s="66"/>
      <c r="J75" s="66" t="str">
        <f>PROPER(Sales_Data!J75)</f>
        <v>South</v>
      </c>
      <c r="K75" s="66" t="str">
        <f>PROPER(Sales_Data!K75)</f>
        <v>Home Appliances</v>
      </c>
      <c r="L75" s="66" t="s">
        <v>33</v>
      </c>
      <c r="M75" s="66">
        <v>1</v>
      </c>
      <c r="N75" s="66">
        <v>2200</v>
      </c>
      <c r="O75" s="66">
        <v>15</v>
      </c>
      <c r="P75" s="66">
        <v>1870</v>
      </c>
      <c r="Q75" s="66">
        <v>4</v>
      </c>
      <c r="R75" s="66" t="s">
        <v>79</v>
      </c>
      <c r="S75" s="66" t="s">
        <v>61</v>
      </c>
      <c r="T75" s="66" t="s">
        <v>62</v>
      </c>
      <c r="U75" s="69" t="s">
        <v>481</v>
      </c>
      <c r="V75" s="66" t="s">
        <v>38</v>
      </c>
      <c r="X75" t="str">
        <f>PROPER(Sales_Data!X75)</f>
        <v/>
      </c>
    </row>
    <row r="76" spans="1:24" x14ac:dyDescent="0.3">
      <c r="A76" s="65" t="s">
        <v>482</v>
      </c>
      <c r="B76" s="66" t="s">
        <v>127</v>
      </c>
      <c r="C76" s="66" t="s">
        <v>72</v>
      </c>
      <c r="D76" s="67" t="s">
        <v>483</v>
      </c>
      <c r="E76" s="68" t="s">
        <v>484</v>
      </c>
      <c r="F76" s="66" t="str">
        <f>TRIM(PROPER(Sales_Data!F76))</f>
        <v>Rohit Singh</v>
      </c>
      <c r="G76" s="66" t="s">
        <v>76</v>
      </c>
      <c r="H76" s="66" t="s">
        <v>485</v>
      </c>
      <c r="I76" s="66" t="s">
        <v>114</v>
      </c>
      <c r="J76" s="66" t="str">
        <f>PROPER(Sales_Data!J76)</f>
        <v>West</v>
      </c>
      <c r="K76" s="66" t="str">
        <f>PROPER(Sales_Data!K76)</f>
        <v>Electronics</v>
      </c>
      <c r="L76" s="66" t="s">
        <v>78</v>
      </c>
      <c r="M76" s="66">
        <v>3</v>
      </c>
      <c r="N76" s="66">
        <v>1200</v>
      </c>
      <c r="O76" s="66">
        <v>10</v>
      </c>
      <c r="P76" s="66">
        <v>3240</v>
      </c>
      <c r="Q76" s="66">
        <v>5</v>
      </c>
      <c r="R76" s="66" t="s">
        <v>34</v>
      </c>
      <c r="S76" s="66" t="s">
        <v>49</v>
      </c>
      <c r="T76" s="66" t="s">
        <v>132</v>
      </c>
      <c r="U76" s="69" t="s">
        <v>486</v>
      </c>
      <c r="V76" s="66" t="s">
        <v>38</v>
      </c>
      <c r="X76" t="str">
        <f>PROPER(Sales_Data!X76)</f>
        <v/>
      </c>
    </row>
    <row r="77" spans="1:24" x14ac:dyDescent="0.3">
      <c r="A77" s="65" t="s">
        <v>487</v>
      </c>
      <c r="B77" s="66" t="s">
        <v>23</v>
      </c>
      <c r="C77" s="66" t="s">
        <v>92</v>
      </c>
      <c r="D77" s="67" t="s">
        <v>488</v>
      </c>
      <c r="E77" s="68" t="s">
        <v>489</v>
      </c>
      <c r="F77" s="66" t="str">
        <f>TRIM(PROPER(Sales_Data!F77))</f>
        <v>Kavya Nair</v>
      </c>
      <c r="G77" s="66" t="s">
        <v>28</v>
      </c>
      <c r="H77" s="66" t="s">
        <v>490</v>
      </c>
      <c r="I77" s="66" t="s">
        <v>59</v>
      </c>
      <c r="J77" s="66" t="str">
        <f>PROPER(Sales_Data!J77)</f>
        <v>South</v>
      </c>
      <c r="K77" s="66" t="str">
        <f>PROPER(Sales_Data!K77)</f>
        <v>Home Appliances</v>
      </c>
      <c r="L77" s="66" t="s">
        <v>97</v>
      </c>
      <c r="M77" s="66">
        <v>10</v>
      </c>
      <c r="N77" s="66">
        <v>3500</v>
      </c>
      <c r="O77" s="66">
        <v>20</v>
      </c>
      <c r="P77" s="66">
        <v>28000</v>
      </c>
      <c r="Q77" s="66">
        <v>5</v>
      </c>
      <c r="R77" s="66" t="s">
        <v>79</v>
      </c>
      <c r="S77" s="66" t="s">
        <v>35</v>
      </c>
      <c r="T77" s="66" t="s">
        <v>50</v>
      </c>
      <c r="U77" s="69" t="s">
        <v>491</v>
      </c>
      <c r="V77" s="66" t="s">
        <v>38</v>
      </c>
      <c r="X77" t="str">
        <f>PROPER(Sales_Data!X77)</f>
        <v/>
      </c>
    </row>
    <row r="78" spans="1:24" x14ac:dyDescent="0.3">
      <c r="A78" s="65" t="s">
        <v>492</v>
      </c>
      <c r="B78" s="66" t="s">
        <v>83</v>
      </c>
      <c r="C78" s="66" t="s">
        <v>184</v>
      </c>
      <c r="D78" s="67" t="s">
        <v>493</v>
      </c>
      <c r="E78" s="68" t="s">
        <v>404</v>
      </c>
      <c r="F78" s="66" t="str">
        <f>TRIM(PROPER(Sales_Data!F78))</f>
        <v>Arjun Rao</v>
      </c>
      <c r="G78" s="66" t="s">
        <v>76</v>
      </c>
      <c r="H78" s="66" t="s">
        <v>494</v>
      </c>
      <c r="I78" s="66" t="s">
        <v>44</v>
      </c>
      <c r="J78" s="66" t="str">
        <f>PROPER(Sales_Data!J78)</f>
        <v>North</v>
      </c>
      <c r="K78" s="66" t="str">
        <f>PROPER(Sales_Data!K78)</f>
        <v>Electronics</v>
      </c>
      <c r="L78" s="66" t="s">
        <v>189</v>
      </c>
      <c r="M78" s="66">
        <v>18</v>
      </c>
      <c r="N78" s="66">
        <v>700</v>
      </c>
      <c r="O78" s="66">
        <v>5</v>
      </c>
      <c r="P78" s="66">
        <v>11970</v>
      </c>
      <c r="Q78" s="66">
        <v>3</v>
      </c>
      <c r="R78" s="66" t="s">
        <v>79</v>
      </c>
      <c r="S78" s="66" t="s">
        <v>115</v>
      </c>
      <c r="T78" s="66" t="s">
        <v>89</v>
      </c>
      <c r="U78" s="69" t="s">
        <v>495</v>
      </c>
      <c r="V78" s="66" t="s">
        <v>69</v>
      </c>
      <c r="X78" t="str">
        <f>PROPER(Sales_Data!X78)</f>
        <v/>
      </c>
    </row>
    <row r="79" spans="1:24" x14ac:dyDescent="0.3">
      <c r="A79" s="65" t="s">
        <v>496</v>
      </c>
      <c r="B79" s="66" t="s">
        <v>221</v>
      </c>
      <c r="C79" s="66" t="s">
        <v>184</v>
      </c>
      <c r="D79" s="67">
        <v>45906</v>
      </c>
      <c r="E79" s="68" t="s">
        <v>498</v>
      </c>
      <c r="F79" s="66" t="str">
        <f>TRIM(PROPER(Sales_Data!F79))</f>
        <v>Vikas Mehta</v>
      </c>
      <c r="G79" s="66" t="s">
        <v>76</v>
      </c>
      <c r="H79" s="66" t="s">
        <v>499</v>
      </c>
      <c r="I79" s="66" t="s">
        <v>59</v>
      </c>
      <c r="J79" s="66" t="str">
        <f>PROPER(Sales_Data!J79)</f>
        <v>South</v>
      </c>
      <c r="K79" s="66" t="str">
        <f>PROPER(Sales_Data!K79)</f>
        <v>Electronics</v>
      </c>
      <c r="L79" s="66" t="s">
        <v>189</v>
      </c>
      <c r="M79" s="66">
        <v>12</v>
      </c>
      <c r="N79" s="66">
        <v>700</v>
      </c>
      <c r="O79" s="66">
        <v>15</v>
      </c>
      <c r="P79" s="66">
        <v>7140</v>
      </c>
      <c r="Q79" s="66">
        <v>2</v>
      </c>
      <c r="R79" s="66" t="s">
        <v>88</v>
      </c>
      <c r="S79" s="66" t="s">
        <v>49</v>
      </c>
      <c r="T79" s="66" t="s">
        <v>228</v>
      </c>
      <c r="U79" s="69" t="s">
        <v>500</v>
      </c>
      <c r="V79" s="66" t="s">
        <v>38</v>
      </c>
      <c r="X79" t="str">
        <f>PROPER(Sales_Data!X79)</f>
        <v/>
      </c>
    </row>
    <row r="80" spans="1:24" x14ac:dyDescent="0.3">
      <c r="A80" s="65" t="s">
        <v>501</v>
      </c>
      <c r="B80" s="66" t="s">
        <v>71</v>
      </c>
      <c r="C80" s="66" t="s">
        <v>72</v>
      </c>
      <c r="D80" s="67" t="s">
        <v>502</v>
      </c>
      <c r="E80" s="68" t="s">
        <v>503</v>
      </c>
      <c r="F80" s="66" t="str">
        <f>TRIM(PROPER(Sales_Data!F80))</f>
        <v>Mohit Verma</v>
      </c>
      <c r="G80" s="66" t="s">
        <v>76</v>
      </c>
      <c r="H80" s="66" t="s">
        <v>504</v>
      </c>
      <c r="I80" s="66" t="s">
        <v>105</v>
      </c>
      <c r="J80" s="66" t="str">
        <f>PROPER(Sales_Data!J80)</f>
        <v>West</v>
      </c>
      <c r="K80" s="66" t="str">
        <f>PROPER(Sales_Data!K80)</f>
        <v>Electronics</v>
      </c>
      <c r="L80" s="66" t="s">
        <v>78</v>
      </c>
      <c r="M80" s="66">
        <v>8</v>
      </c>
      <c r="N80" s="66">
        <v>1200</v>
      </c>
      <c r="O80" s="66">
        <v>0</v>
      </c>
      <c r="P80" s="66">
        <v>9600</v>
      </c>
      <c r="Q80" s="66">
        <v>4</v>
      </c>
      <c r="R80" s="66" t="s">
        <v>79</v>
      </c>
      <c r="S80" s="66" t="s">
        <v>49</v>
      </c>
      <c r="T80" s="66" t="s">
        <v>80</v>
      </c>
      <c r="U80" s="69" t="s">
        <v>505</v>
      </c>
      <c r="V80" s="66" t="s">
        <v>64</v>
      </c>
      <c r="X80" t="str">
        <f>PROPER(Sales_Data!X80)</f>
        <v/>
      </c>
    </row>
    <row r="81" spans="1:24" x14ac:dyDescent="0.3">
      <c r="A81" s="65" t="s">
        <v>506</v>
      </c>
      <c r="B81" s="66" t="s">
        <v>127</v>
      </c>
      <c r="C81" s="66" t="s">
        <v>118</v>
      </c>
      <c r="D81" s="67">
        <v>45819</v>
      </c>
      <c r="E81" s="68" t="s">
        <v>508</v>
      </c>
      <c r="F81" s="66" t="str">
        <f>TRIM(PROPER(Sales_Data!F81))</f>
        <v>Rohit Singh</v>
      </c>
      <c r="G81" s="66" t="s">
        <v>76</v>
      </c>
      <c r="H81" s="66" t="s">
        <v>509</v>
      </c>
      <c r="I81" s="66" t="s">
        <v>114</v>
      </c>
      <c r="J81" s="66" t="str">
        <f>PROPER(Sales_Data!J81)</f>
        <v>West</v>
      </c>
      <c r="K81" s="66" t="str">
        <f>PROPER(Sales_Data!K81)</f>
        <v>Stationery</v>
      </c>
      <c r="L81" s="66" t="s">
        <v>123</v>
      </c>
      <c r="M81" s="66">
        <v>2</v>
      </c>
      <c r="N81" s="66">
        <v>60</v>
      </c>
      <c r="O81" s="66">
        <v>0</v>
      </c>
      <c r="P81" s="66">
        <v>120</v>
      </c>
      <c r="Q81" s="66">
        <v>2</v>
      </c>
      <c r="R81" s="66" t="s">
        <v>88</v>
      </c>
      <c r="S81" s="66" t="s">
        <v>49</v>
      </c>
      <c r="T81" s="66" t="s">
        <v>132</v>
      </c>
      <c r="U81" s="69" t="s">
        <v>510</v>
      </c>
      <c r="V81" s="66" t="s">
        <v>38</v>
      </c>
      <c r="X81" t="str">
        <f>PROPER(Sales_Data!X81)</f>
        <v/>
      </c>
    </row>
    <row r="82" spans="1:24" x14ac:dyDescent="0.3">
      <c r="A82" s="65" t="s">
        <v>511</v>
      </c>
      <c r="B82" s="66" t="s">
        <v>327</v>
      </c>
      <c r="C82" s="66" t="s">
        <v>259</v>
      </c>
      <c r="D82" s="67">
        <v>45658</v>
      </c>
      <c r="E82" s="68" t="s">
        <v>513</v>
      </c>
      <c r="F82" s="66" t="str">
        <f>TRIM(PROPER(Sales_Data!F82))</f>
        <v>Amit Sharma</v>
      </c>
      <c r="G82" s="66" t="s">
        <v>76</v>
      </c>
      <c r="H82" s="66" t="s">
        <v>514</v>
      </c>
      <c r="I82" s="66" t="s">
        <v>114</v>
      </c>
      <c r="J82" s="66" t="str">
        <f>PROPER(Sales_Data!J82)</f>
        <v>West</v>
      </c>
      <c r="K82" s="66" t="str">
        <f>PROPER(Sales_Data!K82)</f>
        <v>Stationery</v>
      </c>
      <c r="L82" s="66" t="s">
        <v>263</v>
      </c>
      <c r="M82" s="66">
        <v>10</v>
      </c>
      <c r="N82" s="66">
        <v>45</v>
      </c>
      <c r="O82" s="66">
        <v>15</v>
      </c>
      <c r="P82" s="66">
        <v>382.5</v>
      </c>
      <c r="Q82" s="66">
        <v>3</v>
      </c>
      <c r="R82" s="66" t="s">
        <v>48</v>
      </c>
      <c r="S82" s="66" t="s">
        <v>35</v>
      </c>
      <c r="T82" s="66" t="s">
        <v>332</v>
      </c>
      <c r="U82" s="69" t="s">
        <v>515</v>
      </c>
      <c r="V82" s="66" t="s">
        <v>69</v>
      </c>
      <c r="X82" t="str">
        <f>PROPER(Sales_Data!X82)</f>
        <v/>
      </c>
    </row>
    <row r="83" spans="1:24" x14ac:dyDescent="0.3">
      <c r="A83" s="65" t="s">
        <v>516</v>
      </c>
      <c r="B83" s="66" t="s">
        <v>221</v>
      </c>
      <c r="C83" s="66" t="s">
        <v>92</v>
      </c>
      <c r="D83" s="67" t="s">
        <v>517</v>
      </c>
      <c r="E83" s="68" t="s">
        <v>518</v>
      </c>
      <c r="F83" s="66" t="str">
        <f>TRIM(PROPER(Sales_Data!F83))</f>
        <v>Vikas Mehta</v>
      </c>
      <c r="G83" s="66" t="s">
        <v>76</v>
      </c>
      <c r="H83" s="66" t="s">
        <v>519</v>
      </c>
      <c r="I83" s="66" t="s">
        <v>294</v>
      </c>
      <c r="J83" s="66" t="str">
        <f>PROPER(Sales_Data!J83)</f>
        <v>East</v>
      </c>
      <c r="K83" s="66" t="str">
        <f>PROPER(Sales_Data!K83)</f>
        <v>Home Appliances</v>
      </c>
      <c r="L83" s="66" t="s">
        <v>97</v>
      </c>
      <c r="M83" s="66">
        <v>12</v>
      </c>
      <c r="N83" s="66">
        <v>3500</v>
      </c>
      <c r="O83" s="66">
        <v>5</v>
      </c>
      <c r="P83" s="66">
        <v>39900</v>
      </c>
      <c r="Q83" s="66">
        <v>3</v>
      </c>
      <c r="R83" s="66" t="s">
        <v>48</v>
      </c>
      <c r="S83" s="66" t="s">
        <v>61</v>
      </c>
      <c r="T83" s="66" t="s">
        <v>228</v>
      </c>
      <c r="U83" s="69" t="s">
        <v>520</v>
      </c>
      <c r="V83" s="66" t="s">
        <v>64</v>
      </c>
      <c r="X83" t="str">
        <f>PROPER(Sales_Data!X83)</f>
        <v/>
      </c>
    </row>
    <row r="84" spans="1:24" x14ac:dyDescent="0.3">
      <c r="A84" s="65" t="s">
        <v>521</v>
      </c>
      <c r="B84" s="66" t="s">
        <v>127</v>
      </c>
      <c r="C84" s="66" t="s">
        <v>118</v>
      </c>
      <c r="D84" s="67" t="s">
        <v>128</v>
      </c>
      <c r="E84" s="68" t="s">
        <v>73</v>
      </c>
      <c r="F84" s="66" t="str">
        <f>TRIM(PROPER(Sales_Data!F84))</f>
        <v>Rohit Singh</v>
      </c>
      <c r="G84" s="66" t="s">
        <v>76</v>
      </c>
      <c r="H84" s="66" t="s">
        <v>522</v>
      </c>
      <c r="I84" s="66" t="s">
        <v>105</v>
      </c>
      <c r="J84" s="66" t="str">
        <f>PROPER(Sales_Data!J84)</f>
        <v>West</v>
      </c>
      <c r="K84" s="66" t="str">
        <f>PROPER(Sales_Data!K84)</f>
        <v>Stationery</v>
      </c>
      <c r="L84" s="66" t="s">
        <v>123</v>
      </c>
      <c r="M84" s="66">
        <v>2</v>
      </c>
      <c r="N84" s="66">
        <v>60</v>
      </c>
      <c r="O84" s="66">
        <v>15</v>
      </c>
      <c r="P84" s="66">
        <v>102</v>
      </c>
      <c r="Q84" s="66">
        <v>1</v>
      </c>
      <c r="R84" s="66" t="s">
        <v>88</v>
      </c>
      <c r="S84" s="66" t="s">
        <v>115</v>
      </c>
      <c r="T84" s="66" t="s">
        <v>132</v>
      </c>
      <c r="U84" s="69" t="s">
        <v>523</v>
      </c>
      <c r="V84" s="66" t="s">
        <v>38</v>
      </c>
      <c r="X84" t="str">
        <f>PROPER(Sales_Data!X84)</f>
        <v/>
      </c>
    </row>
    <row r="85" spans="1:24" x14ac:dyDescent="0.3">
      <c r="A85" s="65" t="s">
        <v>524</v>
      </c>
      <c r="B85" s="66" t="s">
        <v>127</v>
      </c>
      <c r="C85" s="66" t="s">
        <v>72</v>
      </c>
      <c r="D85" s="67" t="s">
        <v>525</v>
      </c>
      <c r="E85" s="68" t="s">
        <v>526</v>
      </c>
      <c r="F85" s="66" t="str">
        <f>TRIM(PROPER(Sales_Data!F85))</f>
        <v>Rohit Singh</v>
      </c>
      <c r="G85" s="66" t="s">
        <v>76</v>
      </c>
      <c r="H85" s="66" t="s">
        <v>527</v>
      </c>
      <c r="I85" s="66" t="s">
        <v>30</v>
      </c>
      <c r="J85" s="66" t="str">
        <f>PROPER(Sales_Data!J85)</f>
        <v>South</v>
      </c>
      <c r="K85" s="66" t="str">
        <f>PROPER(Sales_Data!K85)</f>
        <v>Electronics</v>
      </c>
      <c r="L85" s="66" t="s">
        <v>78</v>
      </c>
      <c r="M85" s="66">
        <v>18</v>
      </c>
      <c r="N85" s="66">
        <v>1200</v>
      </c>
      <c r="O85" s="66">
        <v>15</v>
      </c>
      <c r="P85" s="66">
        <v>18360</v>
      </c>
      <c r="Q85" s="66">
        <v>3</v>
      </c>
      <c r="R85" s="66" t="s">
        <v>79</v>
      </c>
      <c r="S85" s="66" t="s">
        <v>115</v>
      </c>
      <c r="T85" s="66" t="s">
        <v>132</v>
      </c>
      <c r="U85" s="69" t="s">
        <v>528</v>
      </c>
      <c r="V85" s="66" t="s">
        <v>64</v>
      </c>
      <c r="X85" t="str">
        <f>PROPER(Sales_Data!X85)</f>
        <v/>
      </c>
    </row>
    <row r="86" spans="1:24" x14ac:dyDescent="0.3">
      <c r="A86" s="65" t="s">
        <v>529</v>
      </c>
      <c r="B86" s="66" t="s">
        <v>23</v>
      </c>
      <c r="C86" s="66" t="s">
        <v>40</v>
      </c>
      <c r="D86" s="67" t="s">
        <v>530</v>
      </c>
      <c r="E86" s="68" t="s">
        <v>531</v>
      </c>
      <c r="F86" s="66" t="str">
        <f>TRIM(PROPER(Sales_Data!F86))</f>
        <v>Kavya Nair</v>
      </c>
      <c r="G86" s="66" t="s">
        <v>28</v>
      </c>
      <c r="H86" s="66" t="s">
        <v>532</v>
      </c>
      <c r="I86" s="66" t="s">
        <v>105</v>
      </c>
      <c r="J86" s="66" t="str">
        <f>PROPER(Sales_Data!J86)</f>
        <v>West</v>
      </c>
      <c r="K86" s="66" t="str">
        <f>PROPER(Sales_Data!K86)</f>
        <v>Electronics</v>
      </c>
      <c r="L86" s="66" t="s">
        <v>47</v>
      </c>
      <c r="M86" s="66">
        <v>18</v>
      </c>
      <c r="N86" s="66">
        <v>12000</v>
      </c>
      <c r="O86" s="66">
        <v>15</v>
      </c>
      <c r="P86" s="66">
        <v>183600</v>
      </c>
      <c r="Q86" s="66">
        <v>2</v>
      </c>
      <c r="R86" s="66" t="s">
        <v>34</v>
      </c>
      <c r="S86" s="66" t="s">
        <v>49</v>
      </c>
      <c r="T86" s="66" t="s">
        <v>50</v>
      </c>
      <c r="U86" s="69" t="s">
        <v>533</v>
      </c>
      <c r="V86" s="66" t="s">
        <v>38</v>
      </c>
      <c r="X86" t="str">
        <f>PROPER(Sales_Data!X86)</f>
        <v/>
      </c>
    </row>
    <row r="87" spans="1:24" x14ac:dyDescent="0.3">
      <c r="A87" s="65" t="s">
        <v>534</v>
      </c>
      <c r="B87" s="66" t="s">
        <v>83</v>
      </c>
      <c r="C87" s="66" t="s">
        <v>222</v>
      </c>
      <c r="D87" s="67" t="s">
        <v>531</v>
      </c>
      <c r="E87" s="68" t="s">
        <v>535</v>
      </c>
      <c r="F87" s="66" t="str">
        <f>TRIM(PROPER(Sales_Data!F87))</f>
        <v>Arjun Rao</v>
      </c>
      <c r="G87" s="66" t="s">
        <v>76</v>
      </c>
      <c r="H87" s="66" t="s">
        <v>536</v>
      </c>
      <c r="I87" s="66" t="s">
        <v>138</v>
      </c>
      <c r="J87" s="66" t="str">
        <f>PROPER(Sales_Data!J87)</f>
        <v>West</v>
      </c>
      <c r="K87" s="66" t="str">
        <f>PROPER(Sales_Data!K87)</f>
        <v>Stationery</v>
      </c>
      <c r="L87" s="66" t="s">
        <v>227</v>
      </c>
      <c r="M87" s="66">
        <v>7</v>
      </c>
      <c r="N87" s="66">
        <v>20</v>
      </c>
      <c r="O87" s="66">
        <v>0</v>
      </c>
      <c r="P87" s="66">
        <v>140</v>
      </c>
      <c r="Q87" s="66">
        <v>2</v>
      </c>
      <c r="R87" s="66" t="s">
        <v>79</v>
      </c>
      <c r="S87" s="66" t="s">
        <v>35</v>
      </c>
      <c r="T87" s="66" t="s">
        <v>89</v>
      </c>
      <c r="U87" s="69" t="s">
        <v>537</v>
      </c>
      <c r="V87" s="66" t="s">
        <v>69</v>
      </c>
      <c r="X87" t="str">
        <f>PROPER(Sales_Data!X87)</f>
        <v/>
      </c>
    </row>
    <row r="88" spans="1:24" x14ac:dyDescent="0.3">
      <c r="A88" s="65" t="s">
        <v>538</v>
      </c>
      <c r="B88" s="66" t="s">
        <v>251</v>
      </c>
      <c r="C88" s="66" t="s">
        <v>92</v>
      </c>
      <c r="D88" s="67">
        <v>45934</v>
      </c>
      <c r="E88" s="68" t="s">
        <v>539</v>
      </c>
      <c r="F88" s="66" t="str">
        <f>TRIM(PROPER(Sales_Data!F88))</f>
        <v>Sneha Joshi</v>
      </c>
      <c r="G88" s="66" t="s">
        <v>28</v>
      </c>
      <c r="H88" s="66" t="s">
        <v>540</v>
      </c>
      <c r="I88" s="66" t="s">
        <v>114</v>
      </c>
      <c r="J88" s="66" t="str">
        <f>PROPER(Sales_Data!J88)</f>
        <v>West</v>
      </c>
      <c r="K88" s="66" t="str">
        <f>PROPER(Sales_Data!K88)</f>
        <v>Home Appliances</v>
      </c>
      <c r="L88" s="66" t="s">
        <v>97</v>
      </c>
      <c r="M88" s="66">
        <v>20</v>
      </c>
      <c r="N88" s="66">
        <v>3500</v>
      </c>
      <c r="O88" s="66">
        <v>20</v>
      </c>
      <c r="P88" s="66">
        <v>56000</v>
      </c>
      <c r="Q88" s="66">
        <v>4</v>
      </c>
      <c r="R88" s="66" t="s">
        <v>79</v>
      </c>
      <c r="S88" s="66" t="s">
        <v>115</v>
      </c>
      <c r="T88" s="66" t="s">
        <v>256</v>
      </c>
      <c r="U88" s="69" t="s">
        <v>541</v>
      </c>
      <c r="V88" s="66" t="s">
        <v>64</v>
      </c>
      <c r="X88" t="str">
        <f>PROPER(Sales_Data!X88)</f>
        <v/>
      </c>
    </row>
    <row r="89" spans="1:24" x14ac:dyDescent="0.3">
      <c r="A89" s="65" t="s">
        <v>542</v>
      </c>
      <c r="B89" s="66" t="s">
        <v>100</v>
      </c>
      <c r="C89" s="66" t="s">
        <v>169</v>
      </c>
      <c r="D89" s="67" t="s">
        <v>543</v>
      </c>
      <c r="E89" s="68" t="s">
        <v>544</v>
      </c>
      <c r="F89" s="66" t="str">
        <f>TRIM(PROPER(Sales_Data!F89))</f>
        <v>Priya Patel</v>
      </c>
      <c r="G89" s="66" t="s">
        <v>28</v>
      </c>
      <c r="H89" s="66" t="s">
        <v>545</v>
      </c>
      <c r="I89" s="66" t="s">
        <v>138</v>
      </c>
      <c r="J89" s="66" t="str">
        <f>PROPER(Sales_Data!J89)</f>
        <v>West</v>
      </c>
      <c r="K89" s="66" t="str">
        <f>PROPER(Sales_Data!K89)</f>
        <v>Home Appliances</v>
      </c>
      <c r="L89" s="66" t="s">
        <v>174</v>
      </c>
      <c r="M89" s="66">
        <v>8</v>
      </c>
      <c r="N89" s="66">
        <v>8500</v>
      </c>
      <c r="O89" s="66">
        <v>20</v>
      </c>
      <c r="P89" s="66">
        <v>54400</v>
      </c>
      <c r="Q89" s="66">
        <v>3</v>
      </c>
      <c r="R89" s="66" t="s">
        <v>79</v>
      </c>
      <c r="S89" s="66" t="s">
        <v>115</v>
      </c>
      <c r="T89" s="66" t="s">
        <v>144</v>
      </c>
      <c r="U89" s="69" t="s">
        <v>546</v>
      </c>
      <c r="V89" s="66" t="s">
        <v>64</v>
      </c>
      <c r="X89" t="str">
        <f>PROPER(Sales_Data!X89)</f>
        <v/>
      </c>
    </row>
    <row r="90" spans="1:24" x14ac:dyDescent="0.3">
      <c r="A90" s="65" t="s">
        <v>547</v>
      </c>
      <c r="B90" s="66" t="s">
        <v>327</v>
      </c>
      <c r="C90" s="66" t="s">
        <v>40</v>
      </c>
      <c r="D90" s="67" t="s">
        <v>548</v>
      </c>
      <c r="E90" s="68" t="s">
        <v>549</v>
      </c>
      <c r="F90" s="66" t="str">
        <f>TRIM(PROPER(Sales_Data!F90))</f>
        <v>Amit Sharma</v>
      </c>
      <c r="G90" s="66" t="s">
        <v>76</v>
      </c>
      <c r="H90" s="66" t="s">
        <v>550</v>
      </c>
      <c r="I90" s="66" t="s">
        <v>138</v>
      </c>
      <c r="J90" s="66" t="str">
        <f>PROPER(Sales_Data!J90)</f>
        <v>North</v>
      </c>
      <c r="K90" s="66" t="str">
        <f>PROPER(Sales_Data!K90)</f>
        <v>Electronics</v>
      </c>
      <c r="L90" s="66" t="s">
        <v>47</v>
      </c>
      <c r="M90" s="66">
        <v>6</v>
      </c>
      <c r="N90" s="66">
        <v>12000</v>
      </c>
      <c r="O90" s="66">
        <v>5</v>
      </c>
      <c r="P90" s="66">
        <v>68400</v>
      </c>
      <c r="Q90" s="66">
        <v>4</v>
      </c>
      <c r="R90" s="66" t="s">
        <v>48</v>
      </c>
      <c r="S90" s="66" t="s">
        <v>35</v>
      </c>
      <c r="T90" s="66" t="s">
        <v>332</v>
      </c>
      <c r="U90" s="69" t="s">
        <v>552</v>
      </c>
      <c r="V90" s="66" t="s">
        <v>38</v>
      </c>
      <c r="X90" t="str">
        <f>PROPER(Sales_Data!X90)</f>
        <v/>
      </c>
    </row>
    <row r="91" spans="1:24" x14ac:dyDescent="0.3">
      <c r="A91" s="65" t="s">
        <v>553</v>
      </c>
      <c r="B91" s="66" t="s">
        <v>23</v>
      </c>
      <c r="C91" s="66" t="s">
        <v>169</v>
      </c>
      <c r="D91" s="67">
        <v>46329</v>
      </c>
      <c r="E91" s="68" t="s">
        <v>404</v>
      </c>
      <c r="F91" s="66" t="str">
        <f>TRIM(PROPER(Sales_Data!F91))</f>
        <v>Kavya Nair</v>
      </c>
      <c r="G91" s="66" t="s">
        <v>28</v>
      </c>
      <c r="H91" s="66" t="s">
        <v>555</v>
      </c>
      <c r="I91" s="66" t="s">
        <v>114</v>
      </c>
      <c r="J91" s="66" t="str">
        <f>PROPER(Sales_Data!J91)</f>
        <v>West</v>
      </c>
      <c r="K91" s="66" t="str">
        <f>PROPER(Sales_Data!K91)</f>
        <v>Home Appliances</v>
      </c>
      <c r="L91" s="66" t="s">
        <v>174</v>
      </c>
      <c r="M91" s="66">
        <v>15</v>
      </c>
      <c r="N91" s="66">
        <v>8500</v>
      </c>
      <c r="O91" s="66">
        <v>0</v>
      </c>
      <c r="P91" s="66">
        <v>127500</v>
      </c>
      <c r="Q91" s="66">
        <v>4</v>
      </c>
      <c r="R91" s="66" t="s">
        <v>48</v>
      </c>
      <c r="S91" s="66" t="s">
        <v>35</v>
      </c>
      <c r="T91" s="66" t="s">
        <v>50</v>
      </c>
      <c r="U91" s="69" t="s">
        <v>556</v>
      </c>
      <c r="V91" s="66" t="s">
        <v>69</v>
      </c>
      <c r="X91" t="str">
        <f>PROPER(Sales_Data!X91)</f>
        <v/>
      </c>
    </row>
    <row r="92" spans="1:24" x14ac:dyDescent="0.3">
      <c r="A92" s="65" t="s">
        <v>557</v>
      </c>
      <c r="B92" s="66" t="s">
        <v>53</v>
      </c>
      <c r="C92" s="66" t="s">
        <v>72</v>
      </c>
      <c r="D92" s="67" t="s">
        <v>558</v>
      </c>
      <c r="E92" s="68" t="s">
        <v>377</v>
      </c>
      <c r="F92" s="66" t="str">
        <f>TRIM(PROPER(Sales_Data!F92))</f>
        <v>Pooja Shah</v>
      </c>
      <c r="G92" s="66" t="s">
        <v>28</v>
      </c>
      <c r="H92" s="66" t="s">
        <v>559</v>
      </c>
      <c r="I92" s="66" t="s">
        <v>212</v>
      </c>
      <c r="J92" s="66" t="str">
        <f>PROPER(Sales_Data!J92)</f>
        <v>North</v>
      </c>
      <c r="K92" s="66" t="str">
        <f>PROPER(Sales_Data!K92)</f>
        <v>Electronics</v>
      </c>
      <c r="L92" s="66" t="s">
        <v>78</v>
      </c>
      <c r="M92" s="66">
        <v>5</v>
      </c>
      <c r="N92" s="66">
        <v>1200</v>
      </c>
      <c r="O92" s="66">
        <v>15</v>
      </c>
      <c r="P92" s="66">
        <v>5100</v>
      </c>
      <c r="Q92" s="66">
        <v>1</v>
      </c>
      <c r="R92" s="66" t="s">
        <v>48</v>
      </c>
      <c r="S92" s="66" t="s">
        <v>35</v>
      </c>
      <c r="T92" s="66" t="s">
        <v>62</v>
      </c>
      <c r="U92" s="69" t="s">
        <v>560</v>
      </c>
      <c r="V92" s="66" t="s">
        <v>69</v>
      </c>
      <c r="X92" t="str">
        <f>PROPER(Sales_Data!X92)</f>
        <v/>
      </c>
    </row>
    <row r="93" spans="1:24" x14ac:dyDescent="0.3">
      <c r="A93" s="65" t="s">
        <v>561</v>
      </c>
      <c r="B93" s="66" t="s">
        <v>53</v>
      </c>
      <c r="C93" s="66" t="s">
        <v>222</v>
      </c>
      <c r="D93" s="67" t="s">
        <v>562</v>
      </c>
      <c r="E93" s="68" t="s">
        <v>563</v>
      </c>
      <c r="F93" s="66" t="str">
        <f>TRIM(PROPER(Sales_Data!F93))</f>
        <v>Pooja Shah</v>
      </c>
      <c r="G93" s="66" t="s">
        <v>28</v>
      </c>
      <c r="H93" s="66" t="s">
        <v>564</v>
      </c>
      <c r="I93" s="66" t="s">
        <v>30</v>
      </c>
      <c r="J93" s="66" t="str">
        <f>PROPER(Sales_Data!J93)</f>
        <v>South</v>
      </c>
      <c r="K93" s="66" t="str">
        <f>PROPER(Sales_Data!K93)</f>
        <v>Stationery</v>
      </c>
      <c r="L93" s="66" t="s">
        <v>227</v>
      </c>
      <c r="M93" s="66">
        <v>4</v>
      </c>
      <c r="N93" s="66">
        <v>20</v>
      </c>
      <c r="O93" s="66">
        <v>0</v>
      </c>
      <c r="P93" s="66">
        <v>80</v>
      </c>
      <c r="Q93" s="66">
        <v>4</v>
      </c>
      <c r="R93" s="66" t="s">
        <v>48</v>
      </c>
      <c r="S93" s="66" t="s">
        <v>49</v>
      </c>
      <c r="T93" s="66" t="s">
        <v>62</v>
      </c>
      <c r="U93" s="69" t="s">
        <v>565</v>
      </c>
      <c r="V93" s="66" t="s">
        <v>38</v>
      </c>
      <c r="X93" t="str">
        <f>PROPER(Sales_Data!X93)</f>
        <v/>
      </c>
    </row>
    <row r="94" spans="1:24" x14ac:dyDescent="0.3">
      <c r="A94" s="65" t="s">
        <v>566</v>
      </c>
      <c r="B94" s="66" t="s">
        <v>23</v>
      </c>
      <c r="C94" s="66" t="s">
        <v>222</v>
      </c>
      <c r="D94" s="67" t="s">
        <v>567</v>
      </c>
      <c r="E94" s="68" t="s">
        <v>568</v>
      </c>
      <c r="F94" s="66" t="str">
        <f>TRIM(PROPER(Sales_Data!F94))</f>
        <v>Kavya Nair</v>
      </c>
      <c r="G94" s="66" t="s">
        <v>28</v>
      </c>
      <c r="H94" s="66" t="s">
        <v>569</v>
      </c>
      <c r="I94" s="66" t="s">
        <v>59</v>
      </c>
      <c r="J94" s="66" t="str">
        <f>PROPER(Sales_Data!J94)</f>
        <v>South</v>
      </c>
      <c r="K94" s="66" t="str">
        <f>PROPER(Sales_Data!K94)</f>
        <v>Stationery</v>
      </c>
      <c r="L94" s="66" t="s">
        <v>227</v>
      </c>
      <c r="M94" s="66">
        <v>10</v>
      </c>
      <c r="N94" s="66">
        <v>20</v>
      </c>
      <c r="O94" s="66">
        <v>0</v>
      </c>
      <c r="P94" s="66">
        <v>200</v>
      </c>
      <c r="Q94" s="66">
        <v>3</v>
      </c>
      <c r="R94" s="66" t="s">
        <v>34</v>
      </c>
      <c r="S94" s="66" t="s">
        <v>151</v>
      </c>
      <c r="T94" s="66" t="s">
        <v>50</v>
      </c>
      <c r="U94" s="69" t="s">
        <v>570</v>
      </c>
      <c r="V94" s="66" t="s">
        <v>64</v>
      </c>
      <c r="X94" t="str">
        <f>PROPER(Sales_Data!X94)</f>
        <v/>
      </c>
    </row>
    <row r="95" spans="1:24" x14ac:dyDescent="0.3">
      <c r="A95" s="65" t="s">
        <v>571</v>
      </c>
      <c r="B95" s="66" t="s">
        <v>168</v>
      </c>
      <c r="C95" s="66" t="s">
        <v>24</v>
      </c>
      <c r="D95" s="67">
        <v>45756</v>
      </c>
      <c r="E95" s="68" t="s">
        <v>573</v>
      </c>
      <c r="F95" s="66" t="str">
        <f>TRIM(PROPER(Sales_Data!F95))</f>
        <v>Anita Gupta</v>
      </c>
      <c r="G95" s="66" t="s">
        <v>28</v>
      </c>
      <c r="H95" s="66" t="s">
        <v>574</v>
      </c>
      <c r="I95" s="66" t="s">
        <v>44</v>
      </c>
      <c r="J95" s="66" t="str">
        <f>PROPER(Sales_Data!J95)</f>
        <v>North</v>
      </c>
      <c r="K95" s="66" t="str">
        <f>PROPER(Sales_Data!K95)</f>
        <v>Home Appliances</v>
      </c>
      <c r="L95" s="66" t="s">
        <v>33</v>
      </c>
      <c r="M95" s="66">
        <v>18</v>
      </c>
      <c r="N95" s="66">
        <v>2200</v>
      </c>
      <c r="O95" s="66">
        <v>10</v>
      </c>
      <c r="P95" s="66">
        <v>35640</v>
      </c>
      <c r="Q95" s="66">
        <v>3</v>
      </c>
      <c r="R95" s="66" t="s">
        <v>34</v>
      </c>
      <c r="S95" s="66" t="s">
        <v>35</v>
      </c>
      <c r="T95" s="66" t="s">
        <v>175</v>
      </c>
      <c r="U95" s="69" t="s">
        <v>575</v>
      </c>
      <c r="V95" s="66" t="s">
        <v>69</v>
      </c>
      <c r="X95" t="str">
        <f>PROPER(Sales_Data!X95)</f>
        <v/>
      </c>
    </row>
    <row r="96" spans="1:24" x14ac:dyDescent="0.3">
      <c r="A96" s="65" t="s">
        <v>576</v>
      </c>
      <c r="B96" s="66" t="s">
        <v>327</v>
      </c>
      <c r="C96" s="66" t="s">
        <v>92</v>
      </c>
      <c r="D96" s="67">
        <v>45995</v>
      </c>
      <c r="E96" s="68" t="s">
        <v>578</v>
      </c>
      <c r="F96" s="66" t="str">
        <f>TRIM(PROPER(Sales_Data!F96))</f>
        <v>Amit Sharma</v>
      </c>
      <c r="G96" s="66" t="s">
        <v>76</v>
      </c>
      <c r="H96" s="66" t="s">
        <v>579</v>
      </c>
      <c r="I96" s="66" t="s">
        <v>44</v>
      </c>
      <c r="J96" s="66" t="str">
        <f>PROPER(Sales_Data!J96)</f>
        <v>North</v>
      </c>
      <c r="K96" s="66" t="str">
        <f>PROPER(Sales_Data!K96)</f>
        <v>Home Appliances</v>
      </c>
      <c r="L96" s="66" t="s">
        <v>97</v>
      </c>
      <c r="M96" s="66">
        <v>7</v>
      </c>
      <c r="N96" s="66">
        <v>3500</v>
      </c>
      <c r="O96" s="66">
        <v>15</v>
      </c>
      <c r="P96" s="66">
        <v>20825</v>
      </c>
      <c r="Q96" s="66">
        <v>3</v>
      </c>
      <c r="R96" s="66" t="s">
        <v>48</v>
      </c>
      <c r="S96" s="66" t="s">
        <v>49</v>
      </c>
      <c r="T96" s="66" t="s">
        <v>332</v>
      </c>
      <c r="U96" s="69" t="s">
        <v>580</v>
      </c>
      <c r="V96" s="66" t="s">
        <v>38</v>
      </c>
      <c r="X96" t="str">
        <f>PROPER(Sales_Data!X96)</f>
        <v/>
      </c>
    </row>
    <row r="97" spans="1:24" x14ac:dyDescent="0.3">
      <c r="A97" s="65" t="s">
        <v>581</v>
      </c>
      <c r="B97" s="66" t="s">
        <v>100</v>
      </c>
      <c r="C97" s="66" t="s">
        <v>169</v>
      </c>
      <c r="D97" s="67">
        <v>46117</v>
      </c>
      <c r="E97" s="68" t="s">
        <v>583</v>
      </c>
      <c r="F97" s="66" t="str">
        <f>TRIM(PROPER(Sales_Data!F97))</f>
        <v>Priya Patel</v>
      </c>
      <c r="G97" s="66" t="s">
        <v>28</v>
      </c>
      <c r="H97" s="66" t="s">
        <v>584</v>
      </c>
      <c r="I97" s="66" t="s">
        <v>294</v>
      </c>
      <c r="J97" s="66" t="str">
        <f>PROPER(Sales_Data!J97)</f>
        <v>East</v>
      </c>
      <c r="K97" s="66" t="str">
        <f>PROPER(Sales_Data!K97)</f>
        <v>Home Appliances</v>
      </c>
      <c r="L97" s="66" t="s">
        <v>174</v>
      </c>
      <c r="M97" s="66">
        <v>19</v>
      </c>
      <c r="N97" s="66">
        <v>8500</v>
      </c>
      <c r="O97" s="66">
        <v>15</v>
      </c>
      <c r="P97" s="66">
        <v>137275</v>
      </c>
      <c r="Q97" s="66">
        <v>4</v>
      </c>
      <c r="R97" s="66" t="s">
        <v>79</v>
      </c>
      <c r="S97" s="66" t="s">
        <v>151</v>
      </c>
      <c r="T97" s="66" t="s">
        <v>144</v>
      </c>
      <c r="U97" s="69" t="s">
        <v>585</v>
      </c>
      <c r="V97" s="66" t="s">
        <v>64</v>
      </c>
      <c r="X97" t="str">
        <f>PROPER(Sales_Data!X97)</f>
        <v/>
      </c>
    </row>
    <row r="98" spans="1:24" x14ac:dyDescent="0.3">
      <c r="A98" s="65" t="s">
        <v>586</v>
      </c>
      <c r="B98" s="66" t="s">
        <v>251</v>
      </c>
      <c r="C98" s="66" t="s">
        <v>40</v>
      </c>
      <c r="D98" s="67" t="s">
        <v>587</v>
      </c>
      <c r="E98" s="68" t="s">
        <v>588</v>
      </c>
      <c r="F98" s="66" t="str">
        <f>TRIM(PROPER(Sales_Data!F98))</f>
        <v>Sneha Joshi</v>
      </c>
      <c r="G98" s="66" t="s">
        <v>28</v>
      </c>
      <c r="H98" s="66" t="s">
        <v>589</v>
      </c>
      <c r="I98" s="66" t="s">
        <v>138</v>
      </c>
      <c r="J98" s="66" t="str">
        <f>PROPER(Sales_Data!J98)</f>
        <v>West</v>
      </c>
      <c r="K98" s="66" t="str">
        <f>PROPER(Sales_Data!K98)</f>
        <v>Electronics</v>
      </c>
      <c r="L98" s="66" t="s">
        <v>47</v>
      </c>
      <c r="M98" s="66">
        <v>13</v>
      </c>
      <c r="N98" s="66">
        <v>12000</v>
      </c>
      <c r="O98" s="66">
        <v>15</v>
      </c>
      <c r="P98" s="66">
        <v>132600</v>
      </c>
      <c r="Q98" s="66">
        <v>4</v>
      </c>
      <c r="R98" s="66" t="s">
        <v>34</v>
      </c>
      <c r="S98" s="66" t="s">
        <v>49</v>
      </c>
      <c r="T98" s="66" t="s">
        <v>256</v>
      </c>
      <c r="U98" s="69" t="s">
        <v>590</v>
      </c>
      <c r="V98" s="66" t="s">
        <v>38</v>
      </c>
      <c r="X98" t="str">
        <f>PROPER(Sales_Data!X98)</f>
        <v/>
      </c>
    </row>
    <row r="99" spans="1:24" x14ac:dyDescent="0.3">
      <c r="A99" s="65" t="s">
        <v>591</v>
      </c>
      <c r="B99" s="66" t="s">
        <v>327</v>
      </c>
      <c r="C99" s="66" t="s">
        <v>222</v>
      </c>
      <c r="D99" s="67" t="s">
        <v>592</v>
      </c>
      <c r="E99" s="68" t="s">
        <v>398</v>
      </c>
      <c r="F99" s="66" t="str">
        <f>TRIM(PROPER(Sales_Data!F99))</f>
        <v>Amit Sharma</v>
      </c>
      <c r="G99" s="66" t="s">
        <v>76</v>
      </c>
      <c r="H99" s="66" t="s">
        <v>593</v>
      </c>
      <c r="I99" s="66" t="s">
        <v>114</v>
      </c>
      <c r="J99" s="66" t="str">
        <f>PROPER(Sales_Data!J99)</f>
        <v>West</v>
      </c>
      <c r="K99" s="66" t="str">
        <f>PROPER(Sales_Data!K99)</f>
        <v>Stationery</v>
      </c>
      <c r="L99" s="66" t="s">
        <v>227</v>
      </c>
      <c r="M99" s="66">
        <v>7</v>
      </c>
      <c r="N99" s="66">
        <v>20</v>
      </c>
      <c r="O99" s="66">
        <v>0</v>
      </c>
      <c r="P99" s="66">
        <v>140</v>
      </c>
      <c r="Q99" s="66">
        <v>1</v>
      </c>
      <c r="R99" s="66" t="s">
        <v>79</v>
      </c>
      <c r="S99" s="66" t="s">
        <v>151</v>
      </c>
      <c r="T99" s="66" t="s">
        <v>332</v>
      </c>
      <c r="U99" s="69" t="s">
        <v>594</v>
      </c>
      <c r="V99" s="66" t="s">
        <v>69</v>
      </c>
      <c r="X99" t="str">
        <f>PROPER(Sales_Data!X99)</f>
        <v/>
      </c>
    </row>
    <row r="100" spans="1:24" x14ac:dyDescent="0.3">
      <c r="A100" s="65" t="s">
        <v>595</v>
      </c>
      <c r="B100" s="66" t="s">
        <v>168</v>
      </c>
      <c r="C100" s="66" t="s">
        <v>184</v>
      </c>
      <c r="D100" s="67">
        <v>45905</v>
      </c>
      <c r="E100" s="68" t="s">
        <v>597</v>
      </c>
      <c r="F100" s="66" t="str">
        <f>TRIM(PROPER(Sales_Data!F100))</f>
        <v>Anita Gupta</v>
      </c>
      <c r="G100" s="66" t="s">
        <v>28</v>
      </c>
      <c r="H100" s="66" t="s">
        <v>598</v>
      </c>
      <c r="I100" s="66" t="s">
        <v>44</v>
      </c>
      <c r="J100" s="66" t="str">
        <f>PROPER(Sales_Data!J100)</f>
        <v>North</v>
      </c>
      <c r="K100" s="66" t="str">
        <f>PROPER(Sales_Data!K100)</f>
        <v>Electronics</v>
      </c>
      <c r="L100" s="66" t="s">
        <v>189</v>
      </c>
      <c r="M100" s="66">
        <v>5</v>
      </c>
      <c r="N100" s="66">
        <v>700</v>
      </c>
      <c r="O100" s="66">
        <v>15</v>
      </c>
      <c r="P100" s="66">
        <v>999999</v>
      </c>
      <c r="Q100" s="66">
        <v>4</v>
      </c>
      <c r="R100" s="66" t="s">
        <v>79</v>
      </c>
      <c r="S100" s="66" t="s">
        <v>35</v>
      </c>
      <c r="T100" s="66" t="s">
        <v>175</v>
      </c>
      <c r="U100" s="69" t="s">
        <v>599</v>
      </c>
      <c r="V100" s="66" t="s">
        <v>64</v>
      </c>
      <c r="X100" t="str">
        <f>PROPER(Sales_Data!X100)</f>
        <v/>
      </c>
    </row>
    <row r="101" spans="1:24" x14ac:dyDescent="0.3">
      <c r="A101" s="65" t="s">
        <v>600</v>
      </c>
      <c r="B101" s="66" t="s">
        <v>83</v>
      </c>
      <c r="C101" s="66" t="s">
        <v>259</v>
      </c>
      <c r="D101" s="67">
        <v>46208</v>
      </c>
      <c r="E101" s="68" t="s">
        <v>601</v>
      </c>
      <c r="F101" s="66" t="str">
        <f>TRIM(PROPER(Sales_Data!F101))</f>
        <v>Arjun Rao</v>
      </c>
      <c r="G101" s="66" t="s">
        <v>76</v>
      </c>
      <c r="H101" s="66" t="s">
        <v>602</v>
      </c>
      <c r="I101" s="66" t="s">
        <v>59</v>
      </c>
      <c r="J101" s="66" t="str">
        <f>PROPER(Sales_Data!J101)</f>
        <v>South</v>
      </c>
      <c r="K101" s="66" t="str">
        <f>PROPER(Sales_Data!K101)</f>
        <v>Stationery</v>
      </c>
      <c r="L101" s="66" t="s">
        <v>263</v>
      </c>
      <c r="M101" s="66">
        <v>9</v>
      </c>
      <c r="N101" s="66">
        <v>45</v>
      </c>
      <c r="O101" s="66">
        <v>5</v>
      </c>
      <c r="P101" s="66">
        <v>384.75</v>
      </c>
      <c r="Q101" s="66">
        <v>3</v>
      </c>
      <c r="R101" s="66" t="s">
        <v>34</v>
      </c>
      <c r="S101" s="66" t="s">
        <v>35</v>
      </c>
      <c r="T101" s="66" t="s">
        <v>89</v>
      </c>
      <c r="U101" s="69" t="s">
        <v>603</v>
      </c>
      <c r="V101" s="66" t="s">
        <v>38</v>
      </c>
      <c r="X101" t="str">
        <f>PROPER(Sales_Data!X101)</f>
        <v/>
      </c>
    </row>
    <row r="102" spans="1:24" x14ac:dyDescent="0.3">
      <c r="A102" s="65" t="s">
        <v>604</v>
      </c>
      <c r="B102" s="66" t="s">
        <v>127</v>
      </c>
      <c r="C102" s="66" t="s">
        <v>118</v>
      </c>
      <c r="D102" s="67" t="s">
        <v>605</v>
      </c>
      <c r="E102" s="68" t="s">
        <v>606</v>
      </c>
      <c r="F102" s="66" t="str">
        <f>TRIM(PROPER(Sales_Data!F102))</f>
        <v>Rohit Singh</v>
      </c>
      <c r="G102" s="66" t="s">
        <v>76</v>
      </c>
      <c r="H102" s="66" t="s">
        <v>607</v>
      </c>
      <c r="I102" s="66" t="s">
        <v>294</v>
      </c>
      <c r="J102" s="66" t="str">
        <f>PROPER(Sales_Data!J102)</f>
        <v>East</v>
      </c>
      <c r="K102" s="66" t="str">
        <f>PROPER(Sales_Data!K102)</f>
        <v>Stationery</v>
      </c>
      <c r="L102" s="66" t="s">
        <v>123</v>
      </c>
      <c r="M102" s="66">
        <v>19</v>
      </c>
      <c r="N102" s="66">
        <v>60</v>
      </c>
      <c r="O102" s="66">
        <v>10</v>
      </c>
      <c r="P102" s="66">
        <v>1026</v>
      </c>
      <c r="Q102" s="66">
        <v>5</v>
      </c>
      <c r="R102" s="66" t="s">
        <v>48</v>
      </c>
      <c r="S102" s="66" t="s">
        <v>115</v>
      </c>
      <c r="T102" s="66" t="s">
        <v>132</v>
      </c>
      <c r="U102" s="69" t="s">
        <v>608</v>
      </c>
      <c r="V102" s="66" t="s">
        <v>38</v>
      </c>
      <c r="X102" t="str">
        <f>PROPER(Sales_Data!X102)</f>
        <v/>
      </c>
    </row>
    <row r="103" spans="1:24" x14ac:dyDescent="0.3">
      <c r="A103" s="65" t="s">
        <v>609</v>
      </c>
      <c r="B103" s="66" t="s">
        <v>327</v>
      </c>
      <c r="C103" s="66" t="s">
        <v>184</v>
      </c>
      <c r="D103" s="67">
        <v>45973</v>
      </c>
      <c r="E103" s="68" t="s">
        <v>611</v>
      </c>
      <c r="F103" s="66" t="str">
        <f>TRIM(PROPER(Sales_Data!F103))</f>
        <v>Amit Sharma</v>
      </c>
      <c r="G103" s="66" t="s">
        <v>76</v>
      </c>
      <c r="H103" s="66" t="s">
        <v>612</v>
      </c>
      <c r="I103" s="66" t="s">
        <v>138</v>
      </c>
      <c r="J103" s="66" t="str">
        <f>PROPER(Sales_Data!J103)</f>
        <v>West</v>
      </c>
      <c r="K103" s="66" t="str">
        <f>PROPER(Sales_Data!K103)</f>
        <v>Electronics</v>
      </c>
      <c r="L103" s="66" t="s">
        <v>189</v>
      </c>
      <c r="M103" s="66">
        <v>4</v>
      </c>
      <c r="N103" s="66">
        <v>700</v>
      </c>
      <c r="O103" s="66">
        <v>5</v>
      </c>
      <c r="P103" s="66">
        <v>2660</v>
      </c>
      <c r="Q103" s="66">
        <v>3</v>
      </c>
      <c r="R103" s="66" t="s">
        <v>48</v>
      </c>
      <c r="S103" s="66" t="s">
        <v>61</v>
      </c>
      <c r="T103" s="66" t="s">
        <v>332</v>
      </c>
      <c r="U103" s="69" t="s">
        <v>613</v>
      </c>
      <c r="V103" s="66" t="s">
        <v>38</v>
      </c>
      <c r="X103" t="str">
        <f>PROPER(Sales_Data!X103)</f>
        <v/>
      </c>
    </row>
    <row r="104" spans="1:24" x14ac:dyDescent="0.3">
      <c r="A104" s="65" t="s">
        <v>614</v>
      </c>
      <c r="B104" s="66" t="s">
        <v>327</v>
      </c>
      <c r="C104" s="66" t="s">
        <v>92</v>
      </c>
      <c r="D104" s="67">
        <v>46208</v>
      </c>
      <c r="E104" s="68" t="s">
        <v>615</v>
      </c>
      <c r="F104" s="66" t="str">
        <f>TRIM(PROPER(Sales_Data!F104))</f>
        <v>Amit Sharma</v>
      </c>
      <c r="G104" s="66" t="s">
        <v>76</v>
      </c>
      <c r="H104" s="66" t="s">
        <v>616</v>
      </c>
      <c r="I104" s="66" t="s">
        <v>114</v>
      </c>
      <c r="J104" s="66" t="str">
        <f>PROPER(Sales_Data!J104)</f>
        <v>West</v>
      </c>
      <c r="K104" s="66" t="str">
        <f>PROPER(Sales_Data!K104)</f>
        <v>Home Appliances</v>
      </c>
      <c r="L104" s="66" t="s">
        <v>97</v>
      </c>
      <c r="M104" s="66">
        <v>16</v>
      </c>
      <c r="N104" s="66">
        <v>3500</v>
      </c>
      <c r="O104" s="66">
        <v>0</v>
      </c>
      <c r="P104" s="66">
        <v>56000</v>
      </c>
      <c r="Q104" s="66">
        <v>2</v>
      </c>
      <c r="R104" s="66" t="s">
        <v>79</v>
      </c>
      <c r="S104" s="66" t="s">
        <v>49</v>
      </c>
      <c r="T104" s="66" t="s">
        <v>332</v>
      </c>
      <c r="U104" s="69" t="s">
        <v>617</v>
      </c>
      <c r="V104" s="66" t="s">
        <v>38</v>
      </c>
      <c r="X104" t="str">
        <f>PROPER(Sales_Data!X104)</f>
        <v/>
      </c>
    </row>
    <row r="105" spans="1:24" x14ac:dyDescent="0.3">
      <c r="A105" s="65" t="s">
        <v>618</v>
      </c>
      <c r="B105" s="66" t="s">
        <v>251</v>
      </c>
      <c r="C105" s="66" t="s">
        <v>259</v>
      </c>
      <c r="D105" s="67" t="s">
        <v>619</v>
      </c>
      <c r="E105" s="68" t="s">
        <v>620</v>
      </c>
      <c r="F105" s="66" t="str">
        <f>TRIM(PROPER(Sales_Data!F105))</f>
        <v>Sneha Joshi</v>
      </c>
      <c r="G105" s="66" t="s">
        <v>28</v>
      </c>
      <c r="H105" s="66" t="s">
        <v>621</v>
      </c>
      <c r="I105" s="66" t="s">
        <v>59</v>
      </c>
      <c r="J105" s="66" t="str">
        <f>PROPER(Sales_Data!J105)</f>
        <v>South</v>
      </c>
      <c r="K105" s="66" t="str">
        <f>PROPER(Sales_Data!K105)</f>
        <v>Stationery</v>
      </c>
      <c r="L105" s="66" t="s">
        <v>263</v>
      </c>
      <c r="M105" s="66">
        <v>5</v>
      </c>
      <c r="N105" s="66">
        <v>45</v>
      </c>
      <c r="O105" s="66">
        <v>20</v>
      </c>
      <c r="P105" s="66">
        <v>180</v>
      </c>
      <c r="Q105" s="66">
        <v>3</v>
      </c>
      <c r="R105" s="66" t="s">
        <v>79</v>
      </c>
      <c r="S105" s="66" t="s">
        <v>35</v>
      </c>
      <c r="T105" s="66" t="s">
        <v>256</v>
      </c>
      <c r="U105" s="69" t="s">
        <v>622</v>
      </c>
      <c r="V105" s="66" t="s">
        <v>38</v>
      </c>
      <c r="X105" t="str">
        <f>PROPER(Sales_Data!X105)</f>
        <v/>
      </c>
    </row>
    <row r="106" spans="1:24" x14ac:dyDescent="0.3">
      <c r="A106" s="65" t="s">
        <v>623</v>
      </c>
      <c r="B106" s="66" t="s">
        <v>83</v>
      </c>
      <c r="C106" s="66" t="s">
        <v>222</v>
      </c>
      <c r="D106" s="67" t="s">
        <v>624</v>
      </c>
      <c r="E106" s="68" t="s">
        <v>525</v>
      </c>
      <c r="F106" s="66" t="str">
        <f>TRIM(PROPER(Sales_Data!F106))</f>
        <v>Arjun Rao</v>
      </c>
      <c r="G106" s="66" t="s">
        <v>76</v>
      </c>
      <c r="H106" s="66" t="s">
        <v>625</v>
      </c>
      <c r="I106" s="66" t="s">
        <v>105</v>
      </c>
      <c r="J106" s="66" t="str">
        <f>PROPER(Sales_Data!J106)</f>
        <v>West</v>
      </c>
      <c r="K106" s="66" t="str">
        <f>PROPER(Sales_Data!K106)</f>
        <v>Stationery</v>
      </c>
      <c r="L106" s="66" t="s">
        <v>227</v>
      </c>
      <c r="M106" s="66">
        <v>9</v>
      </c>
      <c r="N106" s="66">
        <v>20</v>
      </c>
      <c r="O106" s="66">
        <v>10</v>
      </c>
      <c r="P106" s="66">
        <v>162</v>
      </c>
      <c r="Q106" s="66">
        <v>4</v>
      </c>
      <c r="R106" s="66" t="s">
        <v>79</v>
      </c>
      <c r="S106" s="66" t="s">
        <v>35</v>
      </c>
      <c r="T106" s="66" t="s">
        <v>89</v>
      </c>
      <c r="U106" s="69" t="s">
        <v>626</v>
      </c>
      <c r="V106" s="66" t="s">
        <v>64</v>
      </c>
      <c r="X106" t="str">
        <f>PROPER(Sales_Data!X106)</f>
        <v/>
      </c>
    </row>
    <row r="107" spans="1:24" x14ac:dyDescent="0.3">
      <c r="A107" s="65" t="s">
        <v>627</v>
      </c>
      <c r="B107" s="66" t="s">
        <v>53</v>
      </c>
      <c r="C107" s="66" t="s">
        <v>72</v>
      </c>
      <c r="D107" s="67" t="s">
        <v>628</v>
      </c>
      <c r="E107" s="68" t="s">
        <v>431</v>
      </c>
      <c r="F107" s="66" t="str">
        <f>TRIM(PROPER(Sales_Data!F107))</f>
        <v>Pooja Shah</v>
      </c>
      <c r="G107" s="66" t="s">
        <v>28</v>
      </c>
      <c r="H107" s="66" t="s">
        <v>629</v>
      </c>
      <c r="I107" s="66" t="s">
        <v>44</v>
      </c>
      <c r="J107" s="66" t="str">
        <f>PROPER(Sales_Data!J107)</f>
        <v>North</v>
      </c>
      <c r="K107" s="66" t="str">
        <f>PROPER(Sales_Data!K107)</f>
        <v>Electronics</v>
      </c>
      <c r="L107" s="66" t="s">
        <v>78</v>
      </c>
      <c r="M107" s="66">
        <v>9</v>
      </c>
      <c r="N107" s="66">
        <v>1200</v>
      </c>
      <c r="O107" s="66">
        <v>5</v>
      </c>
      <c r="P107" s="66">
        <v>10260</v>
      </c>
      <c r="Q107" s="66">
        <v>3</v>
      </c>
      <c r="R107" s="66" t="s">
        <v>88</v>
      </c>
      <c r="S107" s="66" t="s">
        <v>35</v>
      </c>
      <c r="T107" s="66" t="s">
        <v>62</v>
      </c>
      <c r="U107" s="69" t="s">
        <v>630</v>
      </c>
      <c r="V107" s="66" t="s">
        <v>64</v>
      </c>
      <c r="X107" t="str">
        <f>PROPER(Sales_Data!X107)</f>
        <v/>
      </c>
    </row>
    <row r="108" spans="1:24" x14ac:dyDescent="0.3">
      <c r="A108" s="65" t="s">
        <v>631</v>
      </c>
      <c r="B108" s="66" t="s">
        <v>100</v>
      </c>
      <c r="C108" s="66" t="s">
        <v>92</v>
      </c>
      <c r="D108" s="67" t="s">
        <v>387</v>
      </c>
      <c r="E108" s="68" t="s">
        <v>632</v>
      </c>
      <c r="F108" s="66" t="str">
        <f>TRIM(PROPER(Sales_Data!F108))</f>
        <v>Priya Patel</v>
      </c>
      <c r="G108" s="66" t="s">
        <v>28</v>
      </c>
      <c r="H108" s="66" t="s">
        <v>633</v>
      </c>
      <c r="I108" s="66" t="s">
        <v>44</v>
      </c>
      <c r="J108" s="66" t="str">
        <f>PROPER(Sales_Data!J108)</f>
        <v>North</v>
      </c>
      <c r="K108" s="66" t="str">
        <f>PROPER(Sales_Data!K108)</f>
        <v>Home Appliances</v>
      </c>
      <c r="L108" s="66" t="s">
        <v>97</v>
      </c>
      <c r="M108" s="66">
        <v>3</v>
      </c>
      <c r="N108" s="66">
        <v>3500</v>
      </c>
      <c r="O108" s="66">
        <v>10</v>
      </c>
      <c r="P108" s="66">
        <v>9450</v>
      </c>
      <c r="Q108" s="66">
        <v>2</v>
      </c>
      <c r="R108" s="66" t="s">
        <v>79</v>
      </c>
      <c r="S108" s="66" t="s">
        <v>151</v>
      </c>
      <c r="T108" s="66" t="s">
        <v>144</v>
      </c>
      <c r="U108" s="69" t="s">
        <v>634</v>
      </c>
      <c r="V108" s="66" t="s">
        <v>69</v>
      </c>
      <c r="X108" t="str">
        <f>PROPER(Sales_Data!X108)</f>
        <v/>
      </c>
    </row>
    <row r="109" spans="1:24" x14ac:dyDescent="0.3">
      <c r="A109" s="65" t="s">
        <v>635</v>
      </c>
      <c r="B109" s="66" t="s">
        <v>221</v>
      </c>
      <c r="C109" s="66" t="s">
        <v>72</v>
      </c>
      <c r="D109" s="67" t="s">
        <v>241</v>
      </c>
      <c r="E109" s="68" t="s">
        <v>636</v>
      </c>
      <c r="F109" s="66" t="str">
        <f>TRIM(PROPER(Sales_Data!F109))</f>
        <v>Vikas Mehta</v>
      </c>
      <c r="G109" s="66" t="s">
        <v>76</v>
      </c>
      <c r="H109" s="66" t="s">
        <v>637</v>
      </c>
      <c r="I109" s="66" t="s">
        <v>105</v>
      </c>
      <c r="J109" s="66" t="str">
        <f>PROPER(Sales_Data!J109)</f>
        <v>West</v>
      </c>
      <c r="K109" s="66" t="str">
        <f>PROPER(Sales_Data!K109)</f>
        <v>Electronics</v>
      </c>
      <c r="L109" s="66" t="s">
        <v>78</v>
      </c>
      <c r="M109" s="66">
        <v>6</v>
      </c>
      <c r="N109" s="66">
        <v>1200</v>
      </c>
      <c r="O109" s="66">
        <v>15</v>
      </c>
      <c r="P109" s="66">
        <v>6120</v>
      </c>
      <c r="Q109" s="66">
        <v>4</v>
      </c>
      <c r="R109" s="66" t="s">
        <v>88</v>
      </c>
      <c r="S109" s="66" t="s">
        <v>35</v>
      </c>
      <c r="T109" s="66" t="s">
        <v>228</v>
      </c>
      <c r="U109" s="69" t="s">
        <v>638</v>
      </c>
      <c r="V109" s="66" t="s">
        <v>69</v>
      </c>
      <c r="X109" t="str">
        <f>PROPER(Sales_Data!X109)</f>
        <v/>
      </c>
    </row>
    <row r="110" spans="1:24" x14ac:dyDescent="0.3">
      <c r="A110" s="65" t="s">
        <v>639</v>
      </c>
      <c r="B110" s="66" t="s">
        <v>83</v>
      </c>
      <c r="C110" s="66" t="s">
        <v>72</v>
      </c>
      <c r="D110" s="67">
        <v>45937</v>
      </c>
      <c r="E110" s="68" t="s">
        <v>641</v>
      </c>
      <c r="F110" s="66" t="str">
        <f>TRIM(PROPER(Sales_Data!F110))</f>
        <v>Arjun Rao</v>
      </c>
      <c r="G110" s="66" t="s">
        <v>76</v>
      </c>
      <c r="H110" s="66" t="s">
        <v>642</v>
      </c>
      <c r="I110" s="66" t="s">
        <v>212</v>
      </c>
      <c r="J110" s="66" t="str">
        <f>PROPER(Sales_Data!J110)</f>
        <v>North</v>
      </c>
      <c r="K110" s="66" t="str">
        <f>PROPER(Sales_Data!K110)</f>
        <v>Electronics</v>
      </c>
      <c r="L110" s="66" t="s">
        <v>78</v>
      </c>
      <c r="M110" s="66">
        <v>17</v>
      </c>
      <c r="N110" s="66">
        <v>1200</v>
      </c>
      <c r="O110" s="66">
        <v>15</v>
      </c>
      <c r="P110" s="66">
        <v>17340</v>
      </c>
      <c r="Q110" s="66">
        <v>1</v>
      </c>
      <c r="R110" s="66" t="s">
        <v>34</v>
      </c>
      <c r="S110" s="66" t="s">
        <v>61</v>
      </c>
      <c r="T110" s="66" t="s">
        <v>89</v>
      </c>
      <c r="U110" s="69" t="s">
        <v>643</v>
      </c>
      <c r="V110" s="66" t="s">
        <v>38</v>
      </c>
      <c r="X110" t="str">
        <f>PROPER(Sales_Data!X110)</f>
        <v/>
      </c>
    </row>
    <row r="111" spans="1:24" x14ac:dyDescent="0.3">
      <c r="A111" s="65" t="s">
        <v>644</v>
      </c>
      <c r="B111" s="66" t="s">
        <v>221</v>
      </c>
      <c r="C111" s="66" t="s">
        <v>169</v>
      </c>
      <c r="D111" s="67" t="s">
        <v>645</v>
      </c>
      <c r="E111" s="68" t="s">
        <v>287</v>
      </c>
      <c r="F111" s="66" t="str">
        <f>TRIM(PROPER(Sales_Data!F111))</f>
        <v>Vikas Mehta</v>
      </c>
      <c r="G111" s="66" t="s">
        <v>76</v>
      </c>
      <c r="H111" s="66" t="s">
        <v>646</v>
      </c>
      <c r="I111" s="66" t="s">
        <v>59</v>
      </c>
      <c r="J111" s="66" t="str">
        <f>PROPER(Sales_Data!J111)</f>
        <v>South</v>
      </c>
      <c r="K111" s="66" t="str">
        <f>PROPER(Sales_Data!K111)</f>
        <v>Home Appliances</v>
      </c>
      <c r="L111" s="66" t="s">
        <v>174</v>
      </c>
      <c r="M111" s="66">
        <v>15</v>
      </c>
      <c r="N111" s="66">
        <v>8500</v>
      </c>
      <c r="O111" s="66">
        <v>0</v>
      </c>
      <c r="P111" s="66">
        <v>127500</v>
      </c>
      <c r="Q111" s="66">
        <v>3</v>
      </c>
      <c r="R111" s="66" t="s">
        <v>34</v>
      </c>
      <c r="S111" s="66" t="s">
        <v>115</v>
      </c>
      <c r="T111" s="66" t="s">
        <v>228</v>
      </c>
      <c r="U111" s="69" t="s">
        <v>647</v>
      </c>
      <c r="V111" s="66" t="s">
        <v>64</v>
      </c>
      <c r="X111" t="str">
        <f>PROPER(Sales_Data!X111)</f>
        <v/>
      </c>
    </row>
    <row r="112" spans="1:24" x14ac:dyDescent="0.3">
      <c r="A112" s="65" t="s">
        <v>648</v>
      </c>
      <c r="B112" s="66" t="s">
        <v>127</v>
      </c>
      <c r="C112" s="66" t="s">
        <v>72</v>
      </c>
      <c r="D112" s="67" t="s">
        <v>101</v>
      </c>
      <c r="E112" s="68" t="s">
        <v>102</v>
      </c>
      <c r="F112" s="66" t="str">
        <f>TRIM(PROPER(Sales_Data!F112))</f>
        <v>Rohit Singh</v>
      </c>
      <c r="G112" s="66" t="s">
        <v>76</v>
      </c>
      <c r="H112" s="66" t="s">
        <v>649</v>
      </c>
      <c r="I112" s="66" t="s">
        <v>30</v>
      </c>
      <c r="J112" s="66" t="str">
        <f>PROPER(Sales_Data!J112)</f>
        <v>South</v>
      </c>
      <c r="K112" s="66" t="str">
        <f>PROPER(Sales_Data!K112)</f>
        <v>Electronics</v>
      </c>
      <c r="L112" s="66" t="s">
        <v>78</v>
      </c>
      <c r="M112" s="66">
        <v>1</v>
      </c>
      <c r="N112" s="66">
        <v>1200</v>
      </c>
      <c r="O112" s="66">
        <v>20</v>
      </c>
      <c r="P112" s="66">
        <v>960</v>
      </c>
      <c r="Q112" s="66">
        <v>1</v>
      </c>
      <c r="R112" s="66" t="s">
        <v>88</v>
      </c>
      <c r="S112" s="66" t="s">
        <v>115</v>
      </c>
      <c r="T112" s="66" t="s">
        <v>132</v>
      </c>
      <c r="U112" s="69" t="s">
        <v>650</v>
      </c>
      <c r="V112" s="66" t="s">
        <v>64</v>
      </c>
      <c r="X112" t="str">
        <f>PROPER(Sales_Data!X112)</f>
        <v/>
      </c>
    </row>
    <row r="113" spans="1:24" x14ac:dyDescent="0.3">
      <c r="A113" s="65" t="s">
        <v>651</v>
      </c>
      <c r="B113" s="66" t="s">
        <v>127</v>
      </c>
      <c r="C113" s="66" t="s">
        <v>169</v>
      </c>
      <c r="D113" s="67">
        <v>45904</v>
      </c>
      <c r="E113" s="68" t="s">
        <v>539</v>
      </c>
      <c r="F113" s="66" t="str">
        <f>TRIM(PROPER(Sales_Data!F113))</f>
        <v>Rohit Singh</v>
      </c>
      <c r="G113" s="66" t="s">
        <v>76</v>
      </c>
      <c r="H113" s="66" t="s">
        <v>653</v>
      </c>
      <c r="I113" s="66" t="s">
        <v>294</v>
      </c>
      <c r="J113" s="66" t="str">
        <f>PROPER(Sales_Data!J113)</f>
        <v>East</v>
      </c>
      <c r="K113" s="66" t="str">
        <f>PROPER(Sales_Data!K113)</f>
        <v>Home Appliances</v>
      </c>
      <c r="L113" s="66" t="s">
        <v>174</v>
      </c>
      <c r="M113" s="66">
        <v>5</v>
      </c>
      <c r="N113" s="66">
        <v>8500</v>
      </c>
      <c r="O113" s="66">
        <v>10</v>
      </c>
      <c r="P113" s="66">
        <v>38250</v>
      </c>
      <c r="Q113" s="66">
        <v>1</v>
      </c>
      <c r="R113" s="66" t="s">
        <v>79</v>
      </c>
      <c r="S113" s="66" t="s">
        <v>61</v>
      </c>
      <c r="T113" s="66" t="s">
        <v>132</v>
      </c>
      <c r="U113" s="69" t="s">
        <v>654</v>
      </c>
      <c r="V113" s="66" t="s">
        <v>38</v>
      </c>
      <c r="X113" t="str">
        <f>PROPER(Sales_Data!X113)</f>
        <v/>
      </c>
    </row>
    <row r="114" spans="1:24" x14ac:dyDescent="0.3">
      <c r="A114" s="65" t="s">
        <v>655</v>
      </c>
      <c r="B114" s="66" t="s">
        <v>53</v>
      </c>
      <c r="C114" s="66" t="s">
        <v>259</v>
      </c>
      <c r="D114" s="67">
        <v>46085</v>
      </c>
      <c r="E114" s="68" t="s">
        <v>657</v>
      </c>
      <c r="F114" s="66" t="str">
        <f>TRIM(PROPER(Sales_Data!F114))</f>
        <v>Pooja Shah</v>
      </c>
      <c r="G114" s="66" t="s">
        <v>28</v>
      </c>
      <c r="H114" s="66" t="s">
        <v>658</v>
      </c>
      <c r="I114" s="66" t="s">
        <v>30</v>
      </c>
      <c r="J114" s="66" t="str">
        <f>PROPER(Sales_Data!J114)</f>
        <v>South</v>
      </c>
      <c r="K114" s="66" t="str">
        <f>PROPER(Sales_Data!K114)</f>
        <v>Stationery</v>
      </c>
      <c r="L114" s="66" t="s">
        <v>263</v>
      </c>
      <c r="M114" s="66">
        <v>12</v>
      </c>
      <c r="N114" s="66">
        <v>45</v>
      </c>
      <c r="O114" s="66">
        <v>5</v>
      </c>
      <c r="P114" s="66">
        <v>513</v>
      </c>
      <c r="Q114" s="66">
        <v>2</v>
      </c>
      <c r="R114" s="66" t="s">
        <v>48</v>
      </c>
      <c r="S114" s="66" t="s">
        <v>35</v>
      </c>
      <c r="T114" s="66" t="s">
        <v>62</v>
      </c>
      <c r="U114" s="69" t="s">
        <v>659</v>
      </c>
      <c r="V114" s="66" t="s">
        <v>69</v>
      </c>
      <c r="X114" t="str">
        <f>PROPER(Sales_Data!X114)</f>
        <v/>
      </c>
    </row>
    <row r="115" spans="1:24" x14ac:dyDescent="0.3">
      <c r="A115" s="65" t="s">
        <v>660</v>
      </c>
      <c r="B115" s="66" t="s">
        <v>221</v>
      </c>
      <c r="C115" s="66" t="s">
        <v>118</v>
      </c>
      <c r="D115" s="67" t="s">
        <v>341</v>
      </c>
      <c r="E115" s="68" t="s">
        <v>661</v>
      </c>
      <c r="F115" s="66" t="str">
        <f>TRIM(PROPER(Sales_Data!F115))</f>
        <v>Vikas Mehta</v>
      </c>
      <c r="G115" s="66" t="s">
        <v>76</v>
      </c>
      <c r="H115" s="66" t="s">
        <v>662</v>
      </c>
      <c r="I115" s="66" t="s">
        <v>114</v>
      </c>
      <c r="J115" s="66" t="str">
        <f>PROPER(Sales_Data!J115)</f>
        <v>West</v>
      </c>
      <c r="K115" s="66" t="str">
        <f>PROPER(Sales_Data!K115)</f>
        <v>Stationery</v>
      </c>
      <c r="L115" s="66" t="s">
        <v>123</v>
      </c>
      <c r="M115" s="66">
        <v>5</v>
      </c>
      <c r="N115" s="66">
        <v>60</v>
      </c>
      <c r="O115" s="66">
        <v>5</v>
      </c>
      <c r="P115" s="66">
        <v>285</v>
      </c>
      <c r="Q115" s="66">
        <v>2</v>
      </c>
      <c r="R115" s="66" t="s">
        <v>34</v>
      </c>
      <c r="S115" s="66" t="s">
        <v>61</v>
      </c>
      <c r="T115" s="66" t="s">
        <v>228</v>
      </c>
      <c r="U115" s="69" t="s">
        <v>663</v>
      </c>
      <c r="V115" s="66" t="s">
        <v>38</v>
      </c>
      <c r="X115" t="str">
        <f>PROPER(Sales_Data!X115)</f>
        <v/>
      </c>
    </row>
    <row r="116" spans="1:24" x14ac:dyDescent="0.3">
      <c r="A116" s="65" t="s">
        <v>664</v>
      </c>
      <c r="B116" s="66" t="s">
        <v>53</v>
      </c>
      <c r="C116" s="66" t="s">
        <v>184</v>
      </c>
      <c r="D116" s="67">
        <v>45720</v>
      </c>
      <c r="E116" s="68" t="s">
        <v>666</v>
      </c>
      <c r="F116" s="66" t="str">
        <f>TRIM(PROPER(Sales_Data!F116))</f>
        <v>Pooja Shah</v>
      </c>
      <c r="G116" s="66" t="s">
        <v>28</v>
      </c>
      <c r="H116" s="66" t="s">
        <v>667</v>
      </c>
      <c r="I116" s="66" t="s">
        <v>294</v>
      </c>
      <c r="J116" s="66" t="str">
        <f>PROPER(Sales_Data!J116)</f>
        <v>East</v>
      </c>
      <c r="K116" s="66" t="str">
        <f>PROPER(Sales_Data!K116)</f>
        <v>Electronics</v>
      </c>
      <c r="L116" s="66" t="s">
        <v>189</v>
      </c>
      <c r="M116" s="66">
        <v>3</v>
      </c>
      <c r="N116" s="66">
        <v>700</v>
      </c>
      <c r="O116" s="66">
        <v>0</v>
      </c>
      <c r="P116" s="66">
        <v>2100</v>
      </c>
      <c r="Q116" s="66">
        <v>4</v>
      </c>
      <c r="R116" s="66" t="s">
        <v>79</v>
      </c>
      <c r="S116" s="66" t="s">
        <v>61</v>
      </c>
      <c r="T116" s="66" t="s">
        <v>62</v>
      </c>
      <c r="U116" s="69" t="s">
        <v>668</v>
      </c>
      <c r="V116" s="66" t="s">
        <v>38</v>
      </c>
      <c r="X116" t="str">
        <f>PROPER(Sales_Data!X116)</f>
        <v/>
      </c>
    </row>
    <row r="117" spans="1:24" x14ac:dyDescent="0.3">
      <c r="A117" s="65" t="s">
        <v>669</v>
      </c>
      <c r="B117" s="66" t="s">
        <v>168</v>
      </c>
      <c r="C117" s="66" t="s">
        <v>222</v>
      </c>
      <c r="D117" s="67" t="s">
        <v>335</v>
      </c>
      <c r="E117" s="68" t="s">
        <v>606</v>
      </c>
      <c r="F117" s="66" t="str">
        <f>TRIM(PROPER(Sales_Data!F117))</f>
        <v>Anita Gupta</v>
      </c>
      <c r="G117" s="66" t="s">
        <v>28</v>
      </c>
      <c r="H117" s="66" t="s">
        <v>670</v>
      </c>
      <c r="I117" s="66" t="s">
        <v>44</v>
      </c>
      <c r="J117" s="66" t="str">
        <f>PROPER(Sales_Data!J117)</f>
        <v>North</v>
      </c>
      <c r="K117" s="66" t="str">
        <f>PROPER(Sales_Data!K117)</f>
        <v>Stationery</v>
      </c>
      <c r="L117" s="66" t="s">
        <v>227</v>
      </c>
      <c r="M117" s="66">
        <v>6</v>
      </c>
      <c r="N117" s="66">
        <v>20</v>
      </c>
      <c r="O117" s="66">
        <v>15</v>
      </c>
      <c r="P117" s="66">
        <v>102</v>
      </c>
      <c r="Q117" s="66">
        <v>5</v>
      </c>
      <c r="R117" s="66" t="s">
        <v>79</v>
      </c>
      <c r="S117" s="66" t="s">
        <v>151</v>
      </c>
      <c r="T117" s="66" t="s">
        <v>175</v>
      </c>
      <c r="U117" s="69" t="s">
        <v>671</v>
      </c>
      <c r="V117" s="66" t="s">
        <v>38</v>
      </c>
      <c r="X117" t="str">
        <f>PROPER(Sales_Data!X117)</f>
        <v/>
      </c>
    </row>
    <row r="118" spans="1:24" x14ac:dyDescent="0.3">
      <c r="A118" s="65" t="s">
        <v>672</v>
      </c>
      <c r="B118" s="66" t="s">
        <v>100</v>
      </c>
      <c r="C118" s="66" t="s">
        <v>184</v>
      </c>
      <c r="D118" s="67" t="s">
        <v>673</v>
      </c>
      <c r="E118" s="68" t="s">
        <v>674</v>
      </c>
      <c r="F118" s="66" t="str">
        <f>TRIM(PROPER(Sales_Data!F118))</f>
        <v>Priya Patel</v>
      </c>
      <c r="G118" s="66" t="s">
        <v>28</v>
      </c>
      <c r="H118" s="66" t="s">
        <v>675</v>
      </c>
      <c r="I118" s="66" t="s">
        <v>59</v>
      </c>
      <c r="J118" s="66" t="str">
        <f>PROPER(Sales_Data!J118)</f>
        <v>South</v>
      </c>
      <c r="K118" s="66" t="str">
        <f>PROPER(Sales_Data!K118)</f>
        <v>Electronics</v>
      </c>
      <c r="L118" s="66" t="s">
        <v>189</v>
      </c>
      <c r="M118" s="66">
        <v>2</v>
      </c>
      <c r="N118" s="66">
        <v>700</v>
      </c>
      <c r="O118" s="66">
        <v>15</v>
      </c>
      <c r="P118" s="66">
        <v>1190</v>
      </c>
      <c r="Q118" s="66">
        <v>4</v>
      </c>
      <c r="R118" s="66" t="s">
        <v>34</v>
      </c>
      <c r="S118" s="66" t="s">
        <v>151</v>
      </c>
      <c r="T118" s="66" t="s">
        <v>144</v>
      </c>
      <c r="U118" s="69" t="s">
        <v>676</v>
      </c>
      <c r="V118" s="66" t="s">
        <v>64</v>
      </c>
      <c r="X118" t="str">
        <f>PROPER(Sales_Data!X118)</f>
        <v/>
      </c>
    </row>
    <row r="119" spans="1:24" x14ac:dyDescent="0.3">
      <c r="A119" s="65" t="s">
        <v>677</v>
      </c>
      <c r="B119" s="66" t="s">
        <v>327</v>
      </c>
      <c r="C119" s="66" t="s">
        <v>259</v>
      </c>
      <c r="D119" s="67" t="s">
        <v>678</v>
      </c>
      <c r="E119" s="68" t="s">
        <v>679</v>
      </c>
      <c r="F119" s="66" t="str">
        <f>TRIM(PROPER(Sales_Data!F119))</f>
        <v>Amit Sharma</v>
      </c>
      <c r="G119" s="66" t="s">
        <v>76</v>
      </c>
      <c r="H119" s="66" t="s">
        <v>680</v>
      </c>
      <c r="I119" s="66" t="s">
        <v>114</v>
      </c>
      <c r="J119" s="66" t="str">
        <f>PROPER(Sales_Data!J119)</f>
        <v>West</v>
      </c>
      <c r="K119" s="66" t="str">
        <f>PROPER(Sales_Data!K119)</f>
        <v>Stationery</v>
      </c>
      <c r="L119" s="66" t="s">
        <v>263</v>
      </c>
      <c r="M119" s="66">
        <v>16</v>
      </c>
      <c r="N119" s="66">
        <v>45</v>
      </c>
      <c r="O119" s="66">
        <v>0</v>
      </c>
      <c r="P119" s="66">
        <v>720</v>
      </c>
      <c r="Q119" s="66">
        <v>1</v>
      </c>
      <c r="R119" s="66" t="s">
        <v>48</v>
      </c>
      <c r="S119" s="66" t="s">
        <v>61</v>
      </c>
      <c r="T119" s="66" t="s">
        <v>332</v>
      </c>
      <c r="U119" s="69" t="s">
        <v>681</v>
      </c>
      <c r="V119" s="66" t="s">
        <v>38</v>
      </c>
      <c r="X119" t="str">
        <f>PROPER(Sales_Data!X119)</f>
        <v/>
      </c>
    </row>
    <row r="120" spans="1:24" x14ac:dyDescent="0.3">
      <c r="A120" s="65" t="s">
        <v>682</v>
      </c>
      <c r="B120" s="66" t="s">
        <v>71</v>
      </c>
      <c r="C120" s="66" t="s">
        <v>72</v>
      </c>
      <c r="D120" s="67" t="s">
        <v>683</v>
      </c>
      <c r="E120" s="68" t="s">
        <v>684</v>
      </c>
      <c r="F120" s="66" t="str">
        <f>TRIM(PROPER(Sales_Data!F120))</f>
        <v>Mohit Verma</v>
      </c>
      <c r="G120" s="66" t="s">
        <v>76</v>
      </c>
      <c r="H120" s="66" t="s">
        <v>685</v>
      </c>
      <c r="I120" s="66" t="s">
        <v>138</v>
      </c>
      <c r="J120" s="66" t="str">
        <f>PROPER(Sales_Data!J120)</f>
        <v>West</v>
      </c>
      <c r="K120" s="66" t="str">
        <f>PROPER(Sales_Data!K120)</f>
        <v>Electronics</v>
      </c>
      <c r="L120" s="66" t="s">
        <v>78</v>
      </c>
      <c r="M120" s="66" t="s">
        <v>686</v>
      </c>
      <c r="N120" s="66">
        <v>1200</v>
      </c>
      <c r="O120" s="66">
        <v>15</v>
      </c>
      <c r="P120" s="66">
        <v>7140</v>
      </c>
      <c r="Q120" s="66">
        <v>4</v>
      </c>
      <c r="R120" s="66" t="s">
        <v>88</v>
      </c>
      <c r="S120" s="66" t="s">
        <v>151</v>
      </c>
      <c r="T120" s="66" t="s">
        <v>80</v>
      </c>
      <c r="U120" s="69" t="s">
        <v>687</v>
      </c>
      <c r="V120" s="66" t="s">
        <v>64</v>
      </c>
      <c r="X120" t="str">
        <f>PROPER(Sales_Data!X120)</f>
        <v/>
      </c>
    </row>
    <row r="121" spans="1:24" x14ac:dyDescent="0.3">
      <c r="A121" s="65" t="s">
        <v>688</v>
      </c>
      <c r="B121" s="66" t="s">
        <v>100</v>
      </c>
      <c r="C121" s="66" t="s">
        <v>40</v>
      </c>
      <c r="D121" s="67" t="s">
        <v>376</v>
      </c>
      <c r="E121" s="68" t="s">
        <v>469</v>
      </c>
      <c r="F121" s="66" t="str">
        <f>TRIM(PROPER(Sales_Data!F121))</f>
        <v>Priya Patel</v>
      </c>
      <c r="G121" s="66" t="s">
        <v>28</v>
      </c>
      <c r="H121" s="66" t="s">
        <v>689</v>
      </c>
      <c r="I121" s="66" t="s">
        <v>212</v>
      </c>
      <c r="J121" s="66" t="str">
        <f>PROPER(Sales_Data!J121)</f>
        <v>North</v>
      </c>
      <c r="K121" s="66" t="str">
        <f>PROPER(Sales_Data!K121)</f>
        <v>Electronics</v>
      </c>
      <c r="L121" s="66" t="s">
        <v>47</v>
      </c>
      <c r="M121" s="66">
        <v>14</v>
      </c>
      <c r="N121" s="66">
        <v>12000</v>
      </c>
      <c r="O121" s="66">
        <v>15</v>
      </c>
      <c r="P121" s="66">
        <v>142800</v>
      </c>
      <c r="Q121" s="66">
        <v>2</v>
      </c>
      <c r="R121" s="66" t="s">
        <v>48</v>
      </c>
      <c r="S121" s="66" t="s">
        <v>61</v>
      </c>
      <c r="T121" s="66" t="s">
        <v>144</v>
      </c>
      <c r="U121" s="69" t="s">
        <v>690</v>
      </c>
      <c r="V121" s="66" t="s">
        <v>64</v>
      </c>
      <c r="X121" t="str">
        <f>PROPER(Sales_Data!X121)</f>
        <v/>
      </c>
    </row>
    <row r="122" spans="1:24" x14ac:dyDescent="0.3">
      <c r="A122" s="65" t="s">
        <v>691</v>
      </c>
      <c r="B122" s="66" t="s">
        <v>127</v>
      </c>
      <c r="C122" s="66" t="s">
        <v>169</v>
      </c>
      <c r="D122" s="67" t="s">
        <v>454</v>
      </c>
      <c r="E122" s="68" t="s">
        <v>692</v>
      </c>
      <c r="F122" s="66" t="str">
        <f>TRIM(PROPER(Sales_Data!F122))</f>
        <v>Rohit Singh</v>
      </c>
      <c r="G122" s="66" t="s">
        <v>76</v>
      </c>
      <c r="H122" s="66" t="s">
        <v>693</v>
      </c>
      <c r="I122" s="66" t="s">
        <v>114</v>
      </c>
      <c r="J122" s="66" t="str">
        <f>PROPER(Sales_Data!J122)</f>
        <v>West</v>
      </c>
      <c r="K122" s="66" t="str">
        <f>PROPER(Sales_Data!K122)</f>
        <v>Home Appliances</v>
      </c>
      <c r="L122" s="66" t="s">
        <v>174</v>
      </c>
      <c r="M122" s="66">
        <v>8</v>
      </c>
      <c r="N122" s="66">
        <v>8500</v>
      </c>
      <c r="O122" s="66">
        <v>20</v>
      </c>
      <c r="P122" s="66">
        <v>54400</v>
      </c>
      <c r="Q122" s="66">
        <v>3</v>
      </c>
      <c r="R122" s="66" t="s">
        <v>79</v>
      </c>
      <c r="S122" s="66" t="s">
        <v>49</v>
      </c>
      <c r="T122" s="66" t="s">
        <v>132</v>
      </c>
      <c r="U122" s="69" t="s">
        <v>694</v>
      </c>
      <c r="V122" s="66" t="s">
        <v>38</v>
      </c>
      <c r="X122" t="str">
        <f>PROPER(Sales_Data!X122)</f>
        <v/>
      </c>
    </row>
    <row r="123" spans="1:24" x14ac:dyDescent="0.3">
      <c r="A123" s="65" t="s">
        <v>695</v>
      </c>
      <c r="B123" s="66" t="s">
        <v>83</v>
      </c>
      <c r="C123" s="66" t="s">
        <v>259</v>
      </c>
      <c r="D123" s="67" t="s">
        <v>110</v>
      </c>
      <c r="E123" s="68" t="s">
        <v>313</v>
      </c>
      <c r="F123" s="66" t="str">
        <f>TRIM(PROPER(Sales_Data!F123))</f>
        <v>Arjun Rao</v>
      </c>
      <c r="G123" s="66" t="s">
        <v>76</v>
      </c>
      <c r="H123" s="66" t="s">
        <v>696</v>
      </c>
      <c r="I123" s="66" t="s">
        <v>59</v>
      </c>
      <c r="J123" s="66" t="str">
        <f>PROPER(Sales_Data!J123)</f>
        <v>South</v>
      </c>
      <c r="K123" s="66" t="str">
        <f>PROPER(Sales_Data!K123)</f>
        <v>Stationery</v>
      </c>
      <c r="L123" s="66" t="s">
        <v>263</v>
      </c>
      <c r="M123" s="66">
        <v>3</v>
      </c>
      <c r="N123" s="66">
        <v>45</v>
      </c>
      <c r="O123" s="66">
        <v>0</v>
      </c>
      <c r="P123" s="66">
        <v>135</v>
      </c>
      <c r="Q123" s="66">
        <v>4</v>
      </c>
      <c r="R123" s="66" t="s">
        <v>88</v>
      </c>
      <c r="S123" s="66" t="s">
        <v>61</v>
      </c>
      <c r="T123" s="66" t="s">
        <v>89</v>
      </c>
      <c r="U123" s="69" t="s">
        <v>697</v>
      </c>
      <c r="V123" s="66" t="s">
        <v>69</v>
      </c>
      <c r="X123" t="str">
        <f>PROPER(Sales_Data!X123)</f>
        <v/>
      </c>
    </row>
    <row r="124" spans="1:24" x14ac:dyDescent="0.3">
      <c r="A124" s="65" t="s">
        <v>698</v>
      </c>
      <c r="B124" s="66" t="s">
        <v>327</v>
      </c>
      <c r="C124" s="66" t="s">
        <v>184</v>
      </c>
      <c r="D124" s="67">
        <v>46082</v>
      </c>
      <c r="E124" s="68" t="s">
        <v>84</v>
      </c>
      <c r="F124" s="66" t="str">
        <f>TRIM(PROPER(Sales_Data!F124))</f>
        <v>Amit Sharma</v>
      </c>
      <c r="G124" s="66" t="s">
        <v>76</v>
      </c>
      <c r="H124" s="66" t="s">
        <v>699</v>
      </c>
      <c r="I124" s="66" t="s">
        <v>212</v>
      </c>
      <c r="J124" s="66" t="str">
        <f>PROPER(Sales_Data!J124)</f>
        <v>North</v>
      </c>
      <c r="K124" s="66" t="str">
        <f>PROPER(Sales_Data!K124)</f>
        <v>Electronics</v>
      </c>
      <c r="L124" s="66" t="s">
        <v>189</v>
      </c>
      <c r="M124" s="66">
        <v>13</v>
      </c>
      <c r="N124" s="66">
        <v>700</v>
      </c>
      <c r="O124" s="66">
        <v>5</v>
      </c>
      <c r="P124" s="66">
        <v>8645</v>
      </c>
      <c r="Q124" s="66">
        <v>3</v>
      </c>
      <c r="R124" s="66" t="s">
        <v>79</v>
      </c>
      <c r="S124" s="66" t="s">
        <v>115</v>
      </c>
      <c r="T124" s="66" t="s">
        <v>332</v>
      </c>
      <c r="U124" s="69" t="s">
        <v>700</v>
      </c>
      <c r="V124" s="66" t="s">
        <v>64</v>
      </c>
      <c r="X124" t="str">
        <f>PROPER(Sales_Data!X124)</f>
        <v/>
      </c>
    </row>
    <row r="125" spans="1:24" x14ac:dyDescent="0.3">
      <c r="A125" s="65" t="s">
        <v>701</v>
      </c>
      <c r="B125" s="66" t="s">
        <v>168</v>
      </c>
      <c r="C125" s="66" t="s">
        <v>72</v>
      </c>
      <c r="D125" s="67" t="s">
        <v>702</v>
      </c>
      <c r="E125" s="68" t="s">
        <v>703</v>
      </c>
      <c r="F125" s="66" t="str">
        <f>TRIM(PROPER(Sales_Data!F125))</f>
        <v>Anita Gupta</v>
      </c>
      <c r="G125" s="66" t="s">
        <v>28</v>
      </c>
      <c r="H125" s="66" t="s">
        <v>704</v>
      </c>
      <c r="I125" s="66" t="s">
        <v>105</v>
      </c>
      <c r="J125" s="66" t="str">
        <f>PROPER(Sales_Data!J125)</f>
        <v>West</v>
      </c>
      <c r="K125" s="66" t="str">
        <f>PROPER(Sales_Data!K125)</f>
        <v>Electronics</v>
      </c>
      <c r="L125" s="66" t="s">
        <v>78</v>
      </c>
      <c r="M125" s="66">
        <v>14</v>
      </c>
      <c r="N125" s="66">
        <v>1200</v>
      </c>
      <c r="O125" s="66">
        <v>20</v>
      </c>
      <c r="P125" s="66">
        <v>13440</v>
      </c>
      <c r="Q125" s="66">
        <v>5</v>
      </c>
      <c r="R125" s="66" t="s">
        <v>48</v>
      </c>
      <c r="S125" s="66" t="s">
        <v>61</v>
      </c>
      <c r="T125" s="66" t="s">
        <v>175</v>
      </c>
      <c r="U125" s="69" t="s">
        <v>705</v>
      </c>
      <c r="V125" s="66" t="s">
        <v>38</v>
      </c>
      <c r="X125" t="str">
        <f>PROPER(Sales_Data!X125)</f>
        <v/>
      </c>
    </row>
    <row r="126" spans="1:24" x14ac:dyDescent="0.3">
      <c r="A126" s="65" t="s">
        <v>706</v>
      </c>
      <c r="B126" s="66" t="s">
        <v>100</v>
      </c>
      <c r="C126" s="66" t="s">
        <v>259</v>
      </c>
      <c r="D126" s="67">
        <v>45966</v>
      </c>
      <c r="E126" s="68" t="s">
        <v>707</v>
      </c>
      <c r="F126" s="66" t="str">
        <f>TRIM(PROPER(Sales_Data!F126))</f>
        <v>Priya Patel</v>
      </c>
      <c r="G126" s="66" t="s">
        <v>28</v>
      </c>
      <c r="H126" s="66" t="s">
        <v>708</v>
      </c>
      <c r="I126" s="66" t="s">
        <v>44</v>
      </c>
      <c r="J126" s="66" t="str">
        <f>PROPER(Sales_Data!J126)</f>
        <v>North</v>
      </c>
      <c r="K126" s="66" t="str">
        <f>PROPER(Sales_Data!K126)</f>
        <v>Stationery</v>
      </c>
      <c r="L126" s="66" t="s">
        <v>263</v>
      </c>
      <c r="M126" s="66">
        <v>2</v>
      </c>
      <c r="N126" s="66">
        <v>45</v>
      </c>
      <c r="O126" s="66">
        <v>5</v>
      </c>
      <c r="P126" s="66">
        <v>85.5</v>
      </c>
      <c r="Q126" s="66">
        <v>3</v>
      </c>
      <c r="R126" s="66" t="s">
        <v>88</v>
      </c>
      <c r="S126" s="66" t="s">
        <v>35</v>
      </c>
      <c r="T126" s="66" t="s">
        <v>144</v>
      </c>
      <c r="U126" s="69" t="s">
        <v>709</v>
      </c>
      <c r="V126" s="66" t="s">
        <v>69</v>
      </c>
      <c r="X126" t="str">
        <f>PROPER(Sales_Data!X126)</f>
        <v/>
      </c>
    </row>
    <row r="127" spans="1:24" x14ac:dyDescent="0.3">
      <c r="A127" s="65" t="s">
        <v>710</v>
      </c>
      <c r="B127" s="66" t="s">
        <v>168</v>
      </c>
      <c r="C127" s="66" t="s">
        <v>72</v>
      </c>
      <c r="D127" s="67">
        <v>46054</v>
      </c>
      <c r="E127" s="68" t="s">
        <v>712</v>
      </c>
      <c r="F127" s="66" t="str">
        <f>TRIM(PROPER(Sales_Data!F127))</f>
        <v>Anita Gupta</v>
      </c>
      <c r="G127" s="66" t="s">
        <v>28</v>
      </c>
      <c r="H127" s="66" t="s">
        <v>713</v>
      </c>
      <c r="I127" s="66" t="s">
        <v>59</v>
      </c>
      <c r="J127" s="66" t="str">
        <f>PROPER(Sales_Data!J127)</f>
        <v>South</v>
      </c>
      <c r="K127" s="66" t="str">
        <f>PROPER(Sales_Data!K127)</f>
        <v>Electronics</v>
      </c>
      <c r="L127" s="66" t="s">
        <v>78</v>
      </c>
      <c r="M127" s="66">
        <v>2</v>
      </c>
      <c r="N127" s="66">
        <v>1200</v>
      </c>
      <c r="O127" s="66">
        <v>20</v>
      </c>
      <c r="P127" s="66">
        <v>1920</v>
      </c>
      <c r="Q127" s="66">
        <v>3</v>
      </c>
      <c r="R127" s="66" t="s">
        <v>79</v>
      </c>
      <c r="S127" s="66" t="s">
        <v>115</v>
      </c>
      <c r="T127" s="66" t="s">
        <v>175</v>
      </c>
      <c r="U127" s="69" t="s">
        <v>714</v>
      </c>
      <c r="V127" s="66" t="s">
        <v>38</v>
      </c>
      <c r="X127" t="str">
        <f>PROPER(Sales_Data!X127)</f>
        <v/>
      </c>
    </row>
    <row r="128" spans="1:24" x14ac:dyDescent="0.3">
      <c r="A128" s="65" t="s">
        <v>715</v>
      </c>
      <c r="B128" s="66" t="s">
        <v>127</v>
      </c>
      <c r="C128" s="66" t="s">
        <v>54</v>
      </c>
      <c r="D128" s="67" t="s">
        <v>224</v>
      </c>
      <c r="E128" s="68" t="s">
        <v>716</v>
      </c>
      <c r="F128" s="66" t="str">
        <f>TRIM(PROPER(Sales_Data!F128))</f>
        <v>Rohit Singh</v>
      </c>
      <c r="G128" s="66" t="s">
        <v>76</v>
      </c>
      <c r="H128" s="66" t="s">
        <v>717</v>
      </c>
      <c r="I128" s="66" t="s">
        <v>59</v>
      </c>
      <c r="J128" s="66" t="str">
        <f>PROPER(Sales_Data!J128)</f>
        <v>South</v>
      </c>
      <c r="K128" s="66" t="str">
        <f>PROPER(Sales_Data!K128)</f>
        <v>Electronics</v>
      </c>
      <c r="L128" s="66" t="s">
        <v>60</v>
      </c>
      <c r="M128" s="66">
        <v>10</v>
      </c>
      <c r="N128" s="66">
        <v>55000</v>
      </c>
      <c r="O128" s="66">
        <v>5</v>
      </c>
      <c r="P128" s="66">
        <v>522500</v>
      </c>
      <c r="Q128" s="66">
        <v>5</v>
      </c>
      <c r="R128" s="66" t="s">
        <v>88</v>
      </c>
      <c r="S128" s="66" t="s">
        <v>61</v>
      </c>
      <c r="T128" s="66" t="s">
        <v>132</v>
      </c>
      <c r="U128" s="69" t="s">
        <v>718</v>
      </c>
      <c r="V128" s="66" t="s">
        <v>64</v>
      </c>
      <c r="X128" t="str">
        <f>PROPER(Sales_Data!X128)</f>
        <v/>
      </c>
    </row>
    <row r="129" spans="1:24" x14ac:dyDescent="0.3">
      <c r="A129" s="65" t="s">
        <v>719</v>
      </c>
      <c r="B129" s="66" t="s">
        <v>251</v>
      </c>
      <c r="C129" s="66" t="s">
        <v>92</v>
      </c>
      <c r="D129" s="67">
        <v>45755</v>
      </c>
      <c r="E129" s="68" t="s">
        <v>382</v>
      </c>
      <c r="F129" s="66" t="str">
        <f>TRIM(PROPER(Sales_Data!F129))</f>
        <v>Sneha Joshi</v>
      </c>
      <c r="G129" s="66" t="s">
        <v>28</v>
      </c>
      <c r="H129" s="66" t="s">
        <v>721</v>
      </c>
      <c r="I129" s="66" t="s">
        <v>212</v>
      </c>
      <c r="J129" s="66" t="str">
        <f>PROPER(Sales_Data!J129)</f>
        <v>North</v>
      </c>
      <c r="K129" s="66" t="str">
        <f>PROPER(Sales_Data!K129)</f>
        <v>Home Appliances</v>
      </c>
      <c r="L129" s="66" t="s">
        <v>97</v>
      </c>
      <c r="M129" s="66">
        <v>15</v>
      </c>
      <c r="N129" s="66">
        <v>3500</v>
      </c>
      <c r="O129" s="66">
        <v>10</v>
      </c>
      <c r="P129" s="66">
        <v>47250</v>
      </c>
      <c r="Q129" s="66">
        <v>3</v>
      </c>
      <c r="R129" s="66" t="s">
        <v>48</v>
      </c>
      <c r="S129" s="66" t="s">
        <v>115</v>
      </c>
      <c r="T129" s="66" t="s">
        <v>256</v>
      </c>
      <c r="U129" s="69" t="s">
        <v>722</v>
      </c>
      <c r="V129" s="66" t="s">
        <v>38</v>
      </c>
      <c r="X129" t="str">
        <f>PROPER(Sales_Data!X129)</f>
        <v/>
      </c>
    </row>
    <row r="130" spans="1:24" x14ac:dyDescent="0.3">
      <c r="A130" s="65" t="s">
        <v>723</v>
      </c>
      <c r="B130" s="66" t="s">
        <v>100</v>
      </c>
      <c r="C130" s="66" t="s">
        <v>24</v>
      </c>
      <c r="D130" s="67" t="s">
        <v>562</v>
      </c>
      <c r="E130" s="68" t="s">
        <v>724</v>
      </c>
      <c r="F130" s="66" t="str">
        <f>TRIM(PROPER(Sales_Data!F130))</f>
        <v>Priya Patel</v>
      </c>
      <c r="G130" s="66" t="s">
        <v>28</v>
      </c>
      <c r="H130" s="66" t="s">
        <v>725</v>
      </c>
      <c r="I130" s="66" t="s">
        <v>59</v>
      </c>
      <c r="J130" s="66" t="str">
        <f>PROPER(Sales_Data!J130)</f>
        <v>South</v>
      </c>
      <c r="K130" s="66" t="str">
        <f>PROPER(Sales_Data!K130)</f>
        <v>Home Appliances</v>
      </c>
      <c r="L130" s="66" t="s">
        <v>33</v>
      </c>
      <c r="M130" s="66">
        <v>10</v>
      </c>
      <c r="N130" s="66">
        <v>2200</v>
      </c>
      <c r="O130" s="66">
        <v>15</v>
      </c>
      <c r="P130" s="66">
        <v>18700</v>
      </c>
      <c r="Q130" s="66">
        <v>4</v>
      </c>
      <c r="R130" s="66" t="s">
        <v>79</v>
      </c>
      <c r="S130" s="66" t="s">
        <v>49</v>
      </c>
      <c r="T130" s="66" t="s">
        <v>144</v>
      </c>
      <c r="U130" s="69" t="s">
        <v>726</v>
      </c>
      <c r="V130" s="66" t="s">
        <v>64</v>
      </c>
      <c r="X130" t="str">
        <f>PROPER(Sales_Data!X130)</f>
        <v/>
      </c>
    </row>
    <row r="131" spans="1:24" x14ac:dyDescent="0.3">
      <c r="A131" s="65" t="s">
        <v>727</v>
      </c>
      <c r="B131" s="66" t="s">
        <v>251</v>
      </c>
      <c r="C131" s="66" t="s">
        <v>92</v>
      </c>
      <c r="D131" s="67" t="s">
        <v>260</v>
      </c>
      <c r="E131" s="68" t="s">
        <v>231</v>
      </c>
      <c r="F131" s="66" t="str">
        <f>TRIM(PROPER(Sales_Data!F131))</f>
        <v>Sneha Joshi</v>
      </c>
      <c r="G131" s="66" t="s">
        <v>28</v>
      </c>
      <c r="H131" s="66" t="s">
        <v>728</v>
      </c>
      <c r="I131" s="66" t="s">
        <v>114</v>
      </c>
      <c r="J131" s="66" t="str">
        <f>PROPER(Sales_Data!J131)</f>
        <v>West</v>
      </c>
      <c r="K131" s="66" t="str">
        <f>PROPER(Sales_Data!K131)</f>
        <v>Home Appliances</v>
      </c>
      <c r="L131" s="66" t="s">
        <v>97</v>
      </c>
      <c r="M131" s="66">
        <v>11</v>
      </c>
      <c r="N131" s="66">
        <v>3500</v>
      </c>
      <c r="O131" s="66">
        <v>5</v>
      </c>
      <c r="P131" s="66">
        <v>36575</v>
      </c>
      <c r="Q131" s="66">
        <v>5</v>
      </c>
      <c r="R131" s="66" t="s">
        <v>34</v>
      </c>
      <c r="S131" s="66" t="s">
        <v>35</v>
      </c>
      <c r="T131" s="66" t="s">
        <v>256</v>
      </c>
      <c r="U131" s="69" t="s">
        <v>729</v>
      </c>
      <c r="V131" s="66" t="s">
        <v>69</v>
      </c>
      <c r="X131" t="str">
        <f>PROPER(Sales_Data!X131)</f>
        <v/>
      </c>
    </row>
    <row r="132" spans="1:24" x14ac:dyDescent="0.3">
      <c r="A132" s="65" t="s">
        <v>730</v>
      </c>
      <c r="B132" s="66" t="s">
        <v>168</v>
      </c>
      <c r="C132" s="66" t="s">
        <v>72</v>
      </c>
      <c r="D132" s="67" t="s">
        <v>731</v>
      </c>
      <c r="E132" s="68" t="s">
        <v>732</v>
      </c>
      <c r="F132" s="66" t="str">
        <f>TRIM(PROPER(Sales_Data!F132))</f>
        <v>Anita Gupta</v>
      </c>
      <c r="G132" s="66" t="s">
        <v>28</v>
      </c>
      <c r="H132" s="66" t="s">
        <v>733</v>
      </c>
      <c r="I132" s="66" t="s">
        <v>59</v>
      </c>
      <c r="J132" s="66" t="str">
        <f>PROPER(Sales_Data!J132)</f>
        <v>South</v>
      </c>
      <c r="K132" s="66" t="str">
        <f>PROPER(Sales_Data!K132)</f>
        <v>Electronics</v>
      </c>
      <c r="L132" s="66" t="s">
        <v>78</v>
      </c>
      <c r="M132" s="66">
        <v>14</v>
      </c>
      <c r="N132" s="66">
        <v>1200</v>
      </c>
      <c r="O132" s="66">
        <v>0</v>
      </c>
      <c r="P132" s="66">
        <v>16800</v>
      </c>
      <c r="Q132" s="66">
        <v>5</v>
      </c>
      <c r="R132" s="66" t="s">
        <v>34</v>
      </c>
      <c r="S132" s="66" t="s">
        <v>49</v>
      </c>
      <c r="T132" s="66" t="s">
        <v>175</v>
      </c>
      <c r="U132" s="69" t="s">
        <v>734</v>
      </c>
      <c r="V132" s="66" t="s">
        <v>69</v>
      </c>
      <c r="X132" t="str">
        <f>PROPER(Sales_Data!X132)</f>
        <v/>
      </c>
    </row>
    <row r="133" spans="1:24" x14ac:dyDescent="0.3">
      <c r="A133" s="65" t="s">
        <v>735</v>
      </c>
      <c r="B133" s="66" t="s">
        <v>100</v>
      </c>
      <c r="C133" s="66" t="s">
        <v>222</v>
      </c>
      <c r="D133" s="67" t="s">
        <v>736</v>
      </c>
      <c r="E133" s="68" t="s">
        <v>170</v>
      </c>
      <c r="F133" s="66" t="str">
        <f>TRIM(PROPER(Sales_Data!F133))</f>
        <v>Priya Patel</v>
      </c>
      <c r="G133" s="66" t="s">
        <v>28</v>
      </c>
      <c r="H133" s="66" t="s">
        <v>737</v>
      </c>
      <c r="I133" s="66" t="s">
        <v>44</v>
      </c>
      <c r="J133" s="66" t="str">
        <f>PROPER(Sales_Data!J133)</f>
        <v>North</v>
      </c>
      <c r="K133" s="66" t="str">
        <f>PROPER(Sales_Data!K133)</f>
        <v>Stationery</v>
      </c>
      <c r="L133" s="66" t="s">
        <v>227</v>
      </c>
      <c r="M133" s="66">
        <v>11</v>
      </c>
      <c r="N133" s="66">
        <v>20</v>
      </c>
      <c r="O133" s="66">
        <v>20</v>
      </c>
      <c r="P133" s="66">
        <v>176</v>
      </c>
      <c r="Q133" s="66">
        <v>4</v>
      </c>
      <c r="R133" s="66" t="s">
        <v>48</v>
      </c>
      <c r="S133" s="66" t="s">
        <v>35</v>
      </c>
      <c r="T133" s="66" t="s">
        <v>144</v>
      </c>
      <c r="U133" s="69" t="s">
        <v>738</v>
      </c>
      <c r="V133" s="66" t="s">
        <v>38</v>
      </c>
      <c r="X133" t="str">
        <f>PROPER(Sales_Data!X133)</f>
        <v/>
      </c>
    </row>
    <row r="134" spans="1:24" x14ac:dyDescent="0.3">
      <c r="A134" s="65" t="s">
        <v>739</v>
      </c>
      <c r="B134" s="66" t="s">
        <v>71</v>
      </c>
      <c r="C134" s="66" t="s">
        <v>40</v>
      </c>
      <c r="D134" s="67">
        <v>46116</v>
      </c>
      <c r="E134" s="68" t="s">
        <v>657</v>
      </c>
      <c r="F134" s="66" t="str">
        <f>TRIM(PROPER(Sales_Data!F134))</f>
        <v>Mohit Verma</v>
      </c>
      <c r="G134" s="66" t="s">
        <v>76</v>
      </c>
      <c r="H134" s="66" t="s">
        <v>741</v>
      </c>
      <c r="I134" s="66" t="s">
        <v>114</v>
      </c>
      <c r="J134" s="66" t="str">
        <f>PROPER(Sales_Data!J134)</f>
        <v>West</v>
      </c>
      <c r="K134" s="66" t="str">
        <f>PROPER(Sales_Data!K134)</f>
        <v>Electronics</v>
      </c>
      <c r="L134" s="66" t="s">
        <v>47</v>
      </c>
      <c r="M134" s="66">
        <v>6</v>
      </c>
      <c r="N134" s="66">
        <v>12000</v>
      </c>
      <c r="O134" s="66">
        <v>10</v>
      </c>
      <c r="P134" s="66">
        <v>64800</v>
      </c>
      <c r="Q134" s="66">
        <v>5</v>
      </c>
      <c r="R134" s="66" t="s">
        <v>88</v>
      </c>
      <c r="S134" s="66" t="s">
        <v>151</v>
      </c>
      <c r="T134" s="66" t="s">
        <v>80</v>
      </c>
      <c r="U134" s="69" t="s">
        <v>742</v>
      </c>
      <c r="V134" s="66" t="s">
        <v>38</v>
      </c>
      <c r="X134" t="str">
        <f>PROPER(Sales_Data!X134)</f>
        <v/>
      </c>
    </row>
    <row r="135" spans="1:24" x14ac:dyDescent="0.3">
      <c r="A135" s="65" t="s">
        <v>743</v>
      </c>
      <c r="B135" s="66" t="s">
        <v>71</v>
      </c>
      <c r="C135" s="66" t="s">
        <v>24</v>
      </c>
      <c r="D135" s="67">
        <v>45904</v>
      </c>
      <c r="E135" s="68" t="s">
        <v>539</v>
      </c>
      <c r="F135" s="66" t="str">
        <f>TRIM(PROPER(Sales_Data!F135))</f>
        <v>Mohit Verma</v>
      </c>
      <c r="G135" s="66" t="s">
        <v>76</v>
      </c>
      <c r="H135" s="66" t="s">
        <v>744</v>
      </c>
      <c r="I135" s="66" t="s">
        <v>30</v>
      </c>
      <c r="J135" s="66" t="str">
        <f>PROPER(Sales_Data!J135)</f>
        <v>South</v>
      </c>
      <c r="K135" s="66" t="str">
        <f>PROPER(Sales_Data!K135)</f>
        <v>Home Appliances</v>
      </c>
      <c r="L135" s="66" t="s">
        <v>33</v>
      </c>
      <c r="M135" s="66">
        <v>6</v>
      </c>
      <c r="N135" s="66">
        <v>2200</v>
      </c>
      <c r="O135" s="66">
        <v>5</v>
      </c>
      <c r="P135" s="66">
        <v>12540</v>
      </c>
      <c r="Q135" s="66">
        <v>4</v>
      </c>
      <c r="R135" s="66" t="s">
        <v>34</v>
      </c>
      <c r="S135" s="66" t="s">
        <v>49</v>
      </c>
      <c r="T135" s="66" t="s">
        <v>80</v>
      </c>
      <c r="U135" s="69" t="s">
        <v>745</v>
      </c>
      <c r="V135" s="66" t="s">
        <v>38</v>
      </c>
      <c r="X135" t="str">
        <f>PROPER(Sales_Data!X135)</f>
        <v/>
      </c>
    </row>
    <row r="136" spans="1:24" x14ac:dyDescent="0.3">
      <c r="A136" s="65" t="s">
        <v>746</v>
      </c>
      <c r="B136" s="66" t="s">
        <v>53</v>
      </c>
      <c r="C136" s="66" t="s">
        <v>92</v>
      </c>
      <c r="D136" s="67" t="s">
        <v>408</v>
      </c>
      <c r="E136" s="68" t="s">
        <v>488</v>
      </c>
      <c r="F136" s="66" t="str">
        <f>TRIM(PROPER(Sales_Data!F136))</f>
        <v>Pooja Shah</v>
      </c>
      <c r="G136" s="66" t="s">
        <v>28</v>
      </c>
      <c r="H136" s="66" t="s">
        <v>747</v>
      </c>
      <c r="I136" s="66" t="s">
        <v>44</v>
      </c>
      <c r="J136" s="66" t="str">
        <f>PROPER(Sales_Data!J136)</f>
        <v>North</v>
      </c>
      <c r="K136" s="66" t="str">
        <f>PROPER(Sales_Data!K136)</f>
        <v>Home Appliances</v>
      </c>
      <c r="L136" s="66" t="s">
        <v>97</v>
      </c>
      <c r="M136" s="66">
        <v>3</v>
      </c>
      <c r="N136" s="66">
        <v>3500</v>
      </c>
      <c r="O136" s="66">
        <v>5</v>
      </c>
      <c r="P136" s="66">
        <v>9975</v>
      </c>
      <c r="Q136" s="66">
        <v>4</v>
      </c>
      <c r="R136" s="66" t="s">
        <v>48</v>
      </c>
      <c r="S136" s="66" t="s">
        <v>49</v>
      </c>
      <c r="T136" s="66" t="s">
        <v>62</v>
      </c>
      <c r="U136" s="69" t="s">
        <v>748</v>
      </c>
      <c r="V136" s="66" t="s">
        <v>64</v>
      </c>
      <c r="X136" t="str">
        <f>PROPER(Sales_Data!X136)</f>
        <v/>
      </c>
    </row>
    <row r="137" spans="1:24" x14ac:dyDescent="0.3">
      <c r="A137" s="65" t="s">
        <v>749</v>
      </c>
      <c r="B137" s="66" t="s">
        <v>71</v>
      </c>
      <c r="C137" s="66" t="s">
        <v>169</v>
      </c>
      <c r="D137" s="67">
        <v>45875</v>
      </c>
      <c r="E137" s="68" t="s">
        <v>751</v>
      </c>
      <c r="F137" s="66" t="str">
        <f>TRIM(PROPER(Sales_Data!F137))</f>
        <v>Mohit Verma</v>
      </c>
      <c r="G137" s="66" t="s">
        <v>76</v>
      </c>
      <c r="H137" s="66" t="s">
        <v>752</v>
      </c>
      <c r="I137" s="66" t="s">
        <v>30</v>
      </c>
      <c r="J137" s="66" t="str">
        <f>PROPER(Sales_Data!J137)</f>
        <v>South</v>
      </c>
      <c r="K137" s="66" t="str">
        <f>PROPER(Sales_Data!K137)</f>
        <v>Home Appliances</v>
      </c>
      <c r="L137" s="66" t="s">
        <v>174</v>
      </c>
      <c r="M137" s="66">
        <v>5</v>
      </c>
      <c r="N137" s="66">
        <v>8500</v>
      </c>
      <c r="O137" s="66">
        <v>20</v>
      </c>
      <c r="P137" s="66">
        <v>34000</v>
      </c>
      <c r="Q137" s="66">
        <v>5</v>
      </c>
      <c r="R137" s="66" t="s">
        <v>34</v>
      </c>
      <c r="S137" s="66" t="s">
        <v>61</v>
      </c>
      <c r="T137" s="66" t="s">
        <v>80</v>
      </c>
      <c r="U137" s="69" t="s">
        <v>753</v>
      </c>
      <c r="V137" s="66" t="s">
        <v>64</v>
      </c>
      <c r="X137" t="str">
        <f>PROPER(Sales_Data!X137)</f>
        <v/>
      </c>
    </row>
    <row r="138" spans="1:24" x14ac:dyDescent="0.3">
      <c r="A138" s="65" t="s">
        <v>754</v>
      </c>
      <c r="B138" s="66" t="s">
        <v>23</v>
      </c>
      <c r="C138" s="66" t="s">
        <v>92</v>
      </c>
      <c r="D138" s="67" t="s">
        <v>755</v>
      </c>
      <c r="E138" s="68" t="s">
        <v>756</v>
      </c>
      <c r="F138" s="66" t="str">
        <f>TRIM(PROPER(Sales_Data!F138))</f>
        <v>Kavya Nair</v>
      </c>
      <c r="G138" s="66" t="s">
        <v>28</v>
      </c>
      <c r="H138" s="66" t="s">
        <v>757</v>
      </c>
      <c r="I138" s="66" t="s">
        <v>59</v>
      </c>
      <c r="J138" s="66" t="str">
        <f>PROPER(Sales_Data!J138)</f>
        <v>South</v>
      </c>
      <c r="K138" s="66" t="str">
        <f>PROPER(Sales_Data!K138)</f>
        <v>Home Appliances</v>
      </c>
      <c r="L138" s="66" t="s">
        <v>97</v>
      </c>
      <c r="M138" s="66">
        <v>14</v>
      </c>
      <c r="N138" s="66">
        <v>3500</v>
      </c>
      <c r="O138" s="66">
        <v>10</v>
      </c>
      <c r="P138" s="66">
        <v>44100</v>
      </c>
      <c r="Q138" s="66">
        <v>4</v>
      </c>
      <c r="R138" s="66" t="s">
        <v>88</v>
      </c>
      <c r="S138" s="66" t="s">
        <v>35</v>
      </c>
      <c r="T138" s="66" t="s">
        <v>50</v>
      </c>
      <c r="U138" s="69" t="s">
        <v>758</v>
      </c>
      <c r="V138" s="66" t="s">
        <v>69</v>
      </c>
      <c r="X138" t="str">
        <f>PROPER(Sales_Data!X138)</f>
        <v/>
      </c>
    </row>
    <row r="139" spans="1:24" x14ac:dyDescent="0.3">
      <c r="A139" s="65" t="s">
        <v>759</v>
      </c>
      <c r="B139" s="66" t="s">
        <v>327</v>
      </c>
      <c r="C139" s="66" t="s">
        <v>259</v>
      </c>
      <c r="D139" s="67" t="s">
        <v>760</v>
      </c>
      <c r="E139" s="68" t="s">
        <v>761</v>
      </c>
      <c r="F139" s="66" t="str">
        <f>TRIM(PROPER(Sales_Data!F139))</f>
        <v>Amit Sharma</v>
      </c>
      <c r="G139" s="66" t="s">
        <v>76</v>
      </c>
      <c r="H139" s="66" t="s">
        <v>762</v>
      </c>
      <c r="I139" s="66" t="s">
        <v>138</v>
      </c>
      <c r="J139" s="66" t="str">
        <f>PROPER(Sales_Data!J139)</f>
        <v>West</v>
      </c>
      <c r="K139" s="66" t="str">
        <f>PROPER(Sales_Data!K139)</f>
        <v>Stationery</v>
      </c>
      <c r="L139" s="66" t="s">
        <v>263</v>
      </c>
      <c r="M139" s="66">
        <v>8</v>
      </c>
      <c r="N139" s="66">
        <v>45</v>
      </c>
      <c r="O139" s="66">
        <v>0</v>
      </c>
      <c r="P139" s="66">
        <v>360</v>
      </c>
      <c r="Q139" s="66">
        <v>1</v>
      </c>
      <c r="R139" s="66" t="s">
        <v>79</v>
      </c>
      <c r="S139" s="66" t="s">
        <v>151</v>
      </c>
      <c r="T139" s="66" t="s">
        <v>332</v>
      </c>
      <c r="U139" s="69" t="s">
        <v>763</v>
      </c>
      <c r="V139" s="66" t="s">
        <v>69</v>
      </c>
      <c r="X139" t="str">
        <f>PROPER(Sales_Data!X139)</f>
        <v/>
      </c>
    </row>
    <row r="140" spans="1:24" x14ac:dyDescent="0.3">
      <c r="A140" s="65" t="s">
        <v>764</v>
      </c>
      <c r="B140" s="66" t="s">
        <v>221</v>
      </c>
      <c r="C140" s="66" t="s">
        <v>259</v>
      </c>
      <c r="D140" s="67">
        <v>45749</v>
      </c>
      <c r="E140" s="68" t="s">
        <v>766</v>
      </c>
      <c r="F140" s="66" t="str">
        <f>TRIM(PROPER(Sales_Data!F140))</f>
        <v>Vikas Mehta</v>
      </c>
      <c r="G140" s="66" t="s">
        <v>76</v>
      </c>
      <c r="H140" s="66" t="s">
        <v>767</v>
      </c>
      <c r="I140" s="66" t="s">
        <v>44</v>
      </c>
      <c r="J140" s="66" t="str">
        <f>PROPER(Sales_Data!J140)</f>
        <v>North</v>
      </c>
      <c r="K140" s="66" t="str">
        <f>PROPER(Sales_Data!K140)</f>
        <v>Stationery</v>
      </c>
      <c r="L140" s="66" t="s">
        <v>263</v>
      </c>
      <c r="M140" s="66">
        <v>11</v>
      </c>
      <c r="N140" s="66">
        <v>45</v>
      </c>
      <c r="O140" s="66">
        <v>5</v>
      </c>
      <c r="P140" s="66">
        <v>470.25</v>
      </c>
      <c r="Q140" s="66">
        <v>3</v>
      </c>
      <c r="R140" s="66" t="s">
        <v>79</v>
      </c>
      <c r="S140" s="66" t="s">
        <v>49</v>
      </c>
      <c r="T140" s="66" t="s">
        <v>228</v>
      </c>
      <c r="U140" s="69" t="s">
        <v>768</v>
      </c>
      <c r="V140" s="66" t="s">
        <v>38</v>
      </c>
      <c r="X140" t="str">
        <f>PROPER(Sales_Data!X140)</f>
        <v/>
      </c>
    </row>
    <row r="141" spans="1:24" x14ac:dyDescent="0.3">
      <c r="A141" s="65" t="s">
        <v>769</v>
      </c>
      <c r="B141" s="66" t="s">
        <v>83</v>
      </c>
      <c r="C141" s="66" t="s">
        <v>54</v>
      </c>
      <c r="D141" s="67" t="s">
        <v>770</v>
      </c>
      <c r="E141" s="68" t="s">
        <v>771</v>
      </c>
      <c r="F141" s="66" t="str">
        <f>TRIM(PROPER(Sales_Data!F141))</f>
        <v>Arjun Rao</v>
      </c>
      <c r="G141" s="66" t="s">
        <v>76</v>
      </c>
      <c r="H141" s="66" t="s">
        <v>772</v>
      </c>
      <c r="I141" s="66" t="s">
        <v>138</v>
      </c>
      <c r="J141" s="66" t="str">
        <f>PROPER(Sales_Data!J141)</f>
        <v>West</v>
      </c>
      <c r="K141" s="66" t="str">
        <f>PROPER(Sales_Data!K141)</f>
        <v>Electronics</v>
      </c>
      <c r="L141" s="66" t="s">
        <v>60</v>
      </c>
      <c r="M141" s="66">
        <v>19</v>
      </c>
      <c r="N141" s="66">
        <v>55000</v>
      </c>
      <c r="O141" s="66">
        <v>0</v>
      </c>
      <c r="P141" s="66">
        <v>1045000</v>
      </c>
      <c r="Q141" s="66">
        <v>2</v>
      </c>
      <c r="R141" s="66" t="s">
        <v>79</v>
      </c>
      <c r="S141" s="66" t="s">
        <v>35</v>
      </c>
      <c r="T141" s="66" t="s">
        <v>89</v>
      </c>
      <c r="U141" s="69" t="s">
        <v>773</v>
      </c>
      <c r="V141" s="66" t="s">
        <v>69</v>
      </c>
      <c r="X141" t="str">
        <f>PROPER(Sales_Data!X141)</f>
        <v/>
      </c>
    </row>
    <row r="142" spans="1:24" x14ac:dyDescent="0.3">
      <c r="A142" s="65" t="s">
        <v>774</v>
      </c>
      <c r="B142" s="66" t="s">
        <v>53</v>
      </c>
      <c r="C142" s="66" t="s">
        <v>92</v>
      </c>
      <c r="D142" s="67">
        <v>45965</v>
      </c>
      <c r="E142" s="68" t="s">
        <v>539</v>
      </c>
      <c r="F142" s="66" t="str">
        <f>TRIM(PROPER(Sales_Data!F142))</f>
        <v>Pooja Shah</v>
      </c>
      <c r="G142" s="66" t="s">
        <v>28</v>
      </c>
      <c r="H142" s="66" t="s">
        <v>776</v>
      </c>
      <c r="I142" s="66" t="s">
        <v>114</v>
      </c>
      <c r="J142" s="66" t="str">
        <f>PROPER(Sales_Data!J142)</f>
        <v>West</v>
      </c>
      <c r="K142" s="66" t="str">
        <f>PROPER(Sales_Data!K142)</f>
        <v>Home Appliances</v>
      </c>
      <c r="L142" s="66" t="s">
        <v>97</v>
      </c>
      <c r="M142" s="66">
        <v>20</v>
      </c>
      <c r="N142" s="66">
        <v>3500</v>
      </c>
      <c r="O142" s="66">
        <v>20</v>
      </c>
      <c r="P142" s="66">
        <v>56000</v>
      </c>
      <c r="Q142" s="66">
        <v>4</v>
      </c>
      <c r="R142" s="66" t="s">
        <v>48</v>
      </c>
      <c r="S142" s="66" t="s">
        <v>49</v>
      </c>
      <c r="T142" s="66" t="s">
        <v>62</v>
      </c>
      <c r="U142" s="69" t="s">
        <v>777</v>
      </c>
      <c r="V142" s="66" t="s">
        <v>38</v>
      </c>
      <c r="X142" t="str">
        <f>PROPER(Sales_Data!X142)</f>
        <v/>
      </c>
    </row>
    <row r="143" spans="1:24" x14ac:dyDescent="0.3">
      <c r="A143" s="65" t="s">
        <v>778</v>
      </c>
      <c r="B143" s="66" t="s">
        <v>83</v>
      </c>
      <c r="C143" s="66" t="s">
        <v>24</v>
      </c>
      <c r="D143" s="67">
        <v>45754</v>
      </c>
      <c r="E143" s="68" t="s">
        <v>779</v>
      </c>
      <c r="F143" s="66" t="str">
        <f>TRIM(PROPER(Sales_Data!F143))</f>
        <v>Arjun Rao</v>
      </c>
      <c r="G143" s="66" t="s">
        <v>76</v>
      </c>
      <c r="H143" s="66" t="s">
        <v>780</v>
      </c>
      <c r="I143" s="66" t="s">
        <v>114</v>
      </c>
      <c r="J143" s="66" t="str">
        <f>PROPER(Sales_Data!J143)</f>
        <v>West</v>
      </c>
      <c r="K143" s="66" t="str">
        <f>PROPER(Sales_Data!K143)</f>
        <v>Home Appliances</v>
      </c>
      <c r="L143" s="66" t="s">
        <v>33</v>
      </c>
      <c r="M143" s="66">
        <v>17</v>
      </c>
      <c r="N143" s="66">
        <v>2200</v>
      </c>
      <c r="O143" s="66">
        <v>0</v>
      </c>
      <c r="P143" s="66">
        <v>37400</v>
      </c>
      <c r="Q143" s="66">
        <v>5</v>
      </c>
      <c r="R143" s="66" t="s">
        <v>48</v>
      </c>
      <c r="S143" s="66" t="s">
        <v>35</v>
      </c>
      <c r="T143" s="66" t="s">
        <v>89</v>
      </c>
      <c r="U143" s="69" t="s">
        <v>781</v>
      </c>
      <c r="V143" s="66" t="s">
        <v>64</v>
      </c>
      <c r="X143" t="str">
        <f>PROPER(Sales_Data!X143)</f>
        <v/>
      </c>
    </row>
    <row r="144" spans="1:24" x14ac:dyDescent="0.3">
      <c r="A144" s="65" t="s">
        <v>782</v>
      </c>
      <c r="B144" s="66" t="s">
        <v>83</v>
      </c>
      <c r="C144" s="66" t="s">
        <v>72</v>
      </c>
      <c r="D144" s="67" t="s">
        <v>770</v>
      </c>
      <c r="E144" s="68" t="s">
        <v>783</v>
      </c>
      <c r="F144" s="66" t="str">
        <f>TRIM(PROPER(Sales_Data!F144))</f>
        <v>Arjun Rao</v>
      </c>
      <c r="G144" s="66" t="s">
        <v>76</v>
      </c>
      <c r="H144" s="66" t="s">
        <v>784</v>
      </c>
      <c r="I144" s="66" t="s">
        <v>114</v>
      </c>
      <c r="J144" s="66" t="str">
        <f>PROPER(Sales_Data!J144)</f>
        <v>West</v>
      </c>
      <c r="K144" s="66" t="str">
        <f>PROPER(Sales_Data!K144)</f>
        <v>Electronics</v>
      </c>
      <c r="L144" s="66" t="s">
        <v>78</v>
      </c>
      <c r="M144" s="66">
        <v>10</v>
      </c>
      <c r="N144" s="66">
        <v>1200</v>
      </c>
      <c r="O144" s="66">
        <v>5</v>
      </c>
      <c r="P144" s="66">
        <v>11400</v>
      </c>
      <c r="Q144" s="66">
        <v>2</v>
      </c>
      <c r="R144" s="66" t="s">
        <v>34</v>
      </c>
      <c r="S144" s="66" t="s">
        <v>49</v>
      </c>
      <c r="T144" s="66" t="s">
        <v>89</v>
      </c>
      <c r="U144" s="69" t="s">
        <v>785</v>
      </c>
      <c r="V144" s="66" t="s">
        <v>69</v>
      </c>
      <c r="X144" t="str">
        <f>PROPER(Sales_Data!X144)</f>
        <v/>
      </c>
    </row>
    <row r="145" spans="1:24" x14ac:dyDescent="0.3">
      <c r="A145" s="65" t="s">
        <v>786</v>
      </c>
      <c r="B145" s="66" t="s">
        <v>221</v>
      </c>
      <c r="C145" s="66" t="s">
        <v>118</v>
      </c>
      <c r="D145" s="67" t="s">
        <v>787</v>
      </c>
      <c r="E145" s="68" t="s">
        <v>788</v>
      </c>
      <c r="F145" s="66" t="str">
        <f>TRIM(PROPER(Sales_Data!F145))</f>
        <v>Vikas Mehta</v>
      </c>
      <c r="G145" s="66" t="s">
        <v>76</v>
      </c>
      <c r="H145" s="66" t="s">
        <v>789</v>
      </c>
      <c r="I145" s="66" t="s">
        <v>30</v>
      </c>
      <c r="J145" s="66" t="str">
        <f>PROPER(Sales_Data!J145)</f>
        <v>South</v>
      </c>
      <c r="K145" s="66" t="str">
        <f>PROPER(Sales_Data!K145)</f>
        <v>Stationery</v>
      </c>
      <c r="L145" s="66" t="s">
        <v>123</v>
      </c>
      <c r="M145" s="66">
        <v>3</v>
      </c>
      <c r="N145" s="66">
        <v>60</v>
      </c>
      <c r="O145" s="66">
        <v>0</v>
      </c>
      <c r="P145" s="66">
        <v>180</v>
      </c>
      <c r="Q145" s="66">
        <v>4</v>
      </c>
      <c r="R145" s="66" t="s">
        <v>48</v>
      </c>
      <c r="S145" s="66" t="s">
        <v>151</v>
      </c>
      <c r="T145" s="66" t="s">
        <v>228</v>
      </c>
      <c r="U145" s="69" t="s">
        <v>790</v>
      </c>
      <c r="V145" s="66" t="s">
        <v>38</v>
      </c>
      <c r="X145" t="str">
        <f>PROPER(Sales_Data!X145)</f>
        <v/>
      </c>
    </row>
    <row r="146" spans="1:24" x14ac:dyDescent="0.3">
      <c r="A146" s="65" t="s">
        <v>791</v>
      </c>
      <c r="B146" s="66" t="s">
        <v>53</v>
      </c>
      <c r="C146" s="66" t="s">
        <v>24</v>
      </c>
      <c r="D146" s="67">
        <v>45940</v>
      </c>
      <c r="E146" s="68" t="s">
        <v>793</v>
      </c>
      <c r="F146" s="66" t="str">
        <f>TRIM(PROPER(Sales_Data!F146))</f>
        <v>Pooja Shah</v>
      </c>
      <c r="G146" s="66" t="s">
        <v>28</v>
      </c>
      <c r="H146" s="66" t="s">
        <v>794</v>
      </c>
      <c r="I146" s="66" t="s">
        <v>105</v>
      </c>
      <c r="J146" s="66" t="str">
        <f>PROPER(Sales_Data!J146)</f>
        <v>West</v>
      </c>
      <c r="K146" s="66" t="str">
        <f>PROPER(Sales_Data!K146)</f>
        <v>Home Appliances</v>
      </c>
      <c r="L146" s="66" t="s">
        <v>33</v>
      </c>
      <c r="M146" s="66">
        <v>18</v>
      </c>
      <c r="N146" s="66">
        <v>2200</v>
      </c>
      <c r="O146" s="66">
        <v>10</v>
      </c>
      <c r="P146" s="66">
        <v>35640</v>
      </c>
      <c r="Q146" s="66">
        <v>1</v>
      </c>
      <c r="R146" s="66" t="s">
        <v>79</v>
      </c>
      <c r="S146" s="66" t="s">
        <v>151</v>
      </c>
      <c r="T146" s="66" t="s">
        <v>62</v>
      </c>
      <c r="U146" s="69" t="s">
        <v>795</v>
      </c>
      <c r="V146" s="66" t="s">
        <v>69</v>
      </c>
      <c r="X146" t="str">
        <f>PROPER(Sales_Data!X146)</f>
        <v/>
      </c>
    </row>
    <row r="147" spans="1:24" x14ac:dyDescent="0.3">
      <c r="A147" s="65" t="s">
        <v>796</v>
      </c>
      <c r="B147" s="66" t="s">
        <v>71</v>
      </c>
      <c r="C147" s="66" t="s">
        <v>118</v>
      </c>
      <c r="D147" s="67">
        <v>46206</v>
      </c>
      <c r="E147" s="68" t="s">
        <v>798</v>
      </c>
      <c r="F147" s="66" t="str">
        <f>TRIM(PROPER(Sales_Data!F147))</f>
        <v>Mohit Verma</v>
      </c>
      <c r="G147" s="66" t="s">
        <v>76</v>
      </c>
      <c r="H147" s="66" t="s">
        <v>799</v>
      </c>
      <c r="I147" s="66" t="s">
        <v>44</v>
      </c>
      <c r="J147" s="66" t="str">
        <f>PROPER(Sales_Data!J147)</f>
        <v>North</v>
      </c>
      <c r="K147" s="66" t="str">
        <f>PROPER(Sales_Data!K147)</f>
        <v>Stationery</v>
      </c>
      <c r="L147" s="66" t="s">
        <v>123</v>
      </c>
      <c r="M147" s="66">
        <v>18</v>
      </c>
      <c r="N147" s="66">
        <v>60</v>
      </c>
      <c r="O147" s="66">
        <v>5</v>
      </c>
      <c r="P147" s="66">
        <v>1026</v>
      </c>
      <c r="Q147" s="66">
        <v>3</v>
      </c>
      <c r="R147" s="66" t="s">
        <v>79</v>
      </c>
      <c r="S147" s="66" t="s">
        <v>49</v>
      </c>
      <c r="T147" s="66" t="s">
        <v>80</v>
      </c>
      <c r="U147" s="69" t="s">
        <v>800</v>
      </c>
      <c r="V147" s="66" t="s">
        <v>64</v>
      </c>
      <c r="X147" t="str">
        <f>PROPER(Sales_Data!X147)</f>
        <v/>
      </c>
    </row>
    <row r="148" spans="1:24" x14ac:dyDescent="0.3">
      <c r="A148" s="65" t="s">
        <v>801</v>
      </c>
      <c r="B148" s="66" t="s">
        <v>127</v>
      </c>
      <c r="C148" s="66" t="s">
        <v>54</v>
      </c>
      <c r="D148" s="67" t="s">
        <v>422</v>
      </c>
      <c r="E148" s="68" t="s">
        <v>377</v>
      </c>
      <c r="F148" s="66" t="str">
        <f>TRIM(PROPER(Sales_Data!F148))</f>
        <v>Rohit Singh</v>
      </c>
      <c r="G148" s="66" t="s">
        <v>76</v>
      </c>
      <c r="H148" s="66" t="s">
        <v>802</v>
      </c>
      <c r="I148" s="66" t="s">
        <v>114</v>
      </c>
      <c r="J148" s="66" t="str">
        <f>PROPER(Sales_Data!J148)</f>
        <v>West</v>
      </c>
      <c r="K148" s="66" t="str">
        <f>PROPER(Sales_Data!K148)</f>
        <v>Electronics</v>
      </c>
      <c r="L148" s="66" t="s">
        <v>60</v>
      </c>
      <c r="M148" s="66">
        <v>11</v>
      </c>
      <c r="N148" s="66">
        <v>55000</v>
      </c>
      <c r="O148" s="66">
        <v>15</v>
      </c>
      <c r="P148" s="66">
        <v>514250</v>
      </c>
      <c r="Q148" s="66">
        <v>4</v>
      </c>
      <c r="R148" s="66" t="s">
        <v>88</v>
      </c>
      <c r="S148" s="66" t="s">
        <v>115</v>
      </c>
      <c r="T148" s="66" t="s">
        <v>132</v>
      </c>
      <c r="U148" s="69" t="s">
        <v>803</v>
      </c>
      <c r="V148" s="66" t="s">
        <v>69</v>
      </c>
      <c r="X148" t="str">
        <f>PROPER(Sales_Data!X148)</f>
        <v/>
      </c>
    </row>
    <row r="149" spans="1:24" x14ac:dyDescent="0.3">
      <c r="A149" s="65" t="s">
        <v>804</v>
      </c>
      <c r="B149" s="66" t="s">
        <v>251</v>
      </c>
      <c r="C149" s="66" t="s">
        <v>169</v>
      </c>
      <c r="D149" s="67" t="s">
        <v>474</v>
      </c>
      <c r="E149" s="68" t="s">
        <v>464</v>
      </c>
      <c r="F149" s="66" t="str">
        <f>TRIM(PROPER(Sales_Data!F149))</f>
        <v>Sneha Joshi</v>
      </c>
      <c r="G149" s="66" t="s">
        <v>28</v>
      </c>
      <c r="H149" s="66" t="s">
        <v>805</v>
      </c>
      <c r="I149" s="66" t="s">
        <v>294</v>
      </c>
      <c r="J149" s="66" t="str">
        <f>PROPER(Sales_Data!J149)</f>
        <v>East</v>
      </c>
      <c r="K149" s="66" t="str">
        <f>PROPER(Sales_Data!K149)</f>
        <v>Home Appliances</v>
      </c>
      <c r="L149" s="66" t="s">
        <v>174</v>
      </c>
      <c r="M149" s="66">
        <v>5</v>
      </c>
      <c r="N149" s="66">
        <v>8500</v>
      </c>
      <c r="O149" s="66">
        <v>5</v>
      </c>
      <c r="P149" s="66">
        <v>40375</v>
      </c>
      <c r="Q149" s="66">
        <v>4</v>
      </c>
      <c r="R149" s="66" t="s">
        <v>34</v>
      </c>
      <c r="S149" s="66" t="s">
        <v>151</v>
      </c>
      <c r="T149" s="66" t="s">
        <v>256</v>
      </c>
      <c r="U149" s="69" t="s">
        <v>806</v>
      </c>
      <c r="V149" s="66" t="s">
        <v>38</v>
      </c>
      <c r="X149" t="str">
        <f>PROPER(Sales_Data!X149)</f>
        <v/>
      </c>
    </row>
    <row r="150" spans="1:24" x14ac:dyDescent="0.3">
      <c r="A150" s="65" t="s">
        <v>192</v>
      </c>
      <c r="B150" s="66" t="s">
        <v>100</v>
      </c>
      <c r="C150" s="66" t="s">
        <v>184</v>
      </c>
      <c r="D150" s="67">
        <v>45878</v>
      </c>
      <c r="E150" s="68" t="s">
        <v>128</v>
      </c>
      <c r="F150" s="66" t="str">
        <f>TRIM(PROPER(Sales_Data!F150))</f>
        <v>Priya Patel</v>
      </c>
      <c r="G150" s="66" t="s">
        <v>28</v>
      </c>
      <c r="H150" s="66" t="s">
        <v>807</v>
      </c>
      <c r="I150" s="66" t="s">
        <v>212</v>
      </c>
      <c r="J150" s="66" t="str">
        <f>PROPER(Sales_Data!J150)</f>
        <v>North</v>
      </c>
      <c r="K150" s="66" t="str">
        <f>PROPER(Sales_Data!K150)</f>
        <v>Electronics</v>
      </c>
      <c r="L150" s="66" t="s">
        <v>189</v>
      </c>
      <c r="M150" s="66">
        <v>16</v>
      </c>
      <c r="N150" s="66">
        <v>700</v>
      </c>
      <c r="O150" s="66">
        <v>15</v>
      </c>
      <c r="P150" s="66">
        <v>9520</v>
      </c>
      <c r="Q150" s="66">
        <v>4</v>
      </c>
      <c r="R150" s="66" t="s">
        <v>79</v>
      </c>
      <c r="S150" s="66" t="s">
        <v>61</v>
      </c>
      <c r="T150" s="66" t="s">
        <v>144</v>
      </c>
      <c r="U150" s="69" t="s">
        <v>808</v>
      </c>
      <c r="V150" s="66" t="s">
        <v>38</v>
      </c>
      <c r="X150" t="str">
        <f>PROPER(Sales_Data!X150)</f>
        <v/>
      </c>
    </row>
    <row r="151" spans="1:24" x14ac:dyDescent="0.3">
      <c r="A151" s="65" t="s">
        <v>809</v>
      </c>
      <c r="B151" s="66" t="s">
        <v>127</v>
      </c>
      <c r="C151" s="66" t="s">
        <v>184</v>
      </c>
      <c r="D151" s="67">
        <v>45845</v>
      </c>
      <c r="E151" s="68" t="s">
        <v>267</v>
      </c>
      <c r="F151" s="66" t="str">
        <f>TRIM(PROPER(Sales_Data!F151))</f>
        <v>Rohit Singh</v>
      </c>
      <c r="G151" s="66" t="s">
        <v>76</v>
      </c>
      <c r="H151" s="66" t="s">
        <v>810</v>
      </c>
      <c r="I151" s="66" t="s">
        <v>114</v>
      </c>
      <c r="J151" s="66" t="str">
        <f>PROPER(Sales_Data!J151)</f>
        <v>West</v>
      </c>
      <c r="K151" s="66" t="str">
        <f>PROPER(Sales_Data!K151)</f>
        <v>Electronics</v>
      </c>
      <c r="L151" s="66" t="s">
        <v>189</v>
      </c>
      <c r="M151" s="66">
        <v>6</v>
      </c>
      <c r="N151" s="66">
        <v>700</v>
      </c>
      <c r="O151" s="66">
        <v>10</v>
      </c>
      <c r="P151" s="66">
        <v>3780</v>
      </c>
      <c r="Q151" s="66">
        <v>4</v>
      </c>
      <c r="R151" s="66" t="s">
        <v>34</v>
      </c>
      <c r="S151" s="66" t="s">
        <v>49</v>
      </c>
      <c r="T151" s="66" t="s">
        <v>132</v>
      </c>
      <c r="U151" s="69" t="s">
        <v>811</v>
      </c>
      <c r="V151" s="66" t="s">
        <v>69</v>
      </c>
      <c r="X151" t="str">
        <f>PROPER(Sales_Data!X151)</f>
        <v/>
      </c>
    </row>
    <row r="152" spans="1:24" x14ac:dyDescent="0.3">
      <c r="A152" s="65" t="s">
        <v>812</v>
      </c>
      <c r="B152" s="66" t="s">
        <v>53</v>
      </c>
      <c r="C152" s="66" t="s">
        <v>92</v>
      </c>
      <c r="D152" s="67">
        <v>46086</v>
      </c>
      <c r="E152" s="68" t="s">
        <v>615</v>
      </c>
      <c r="F152" s="66" t="str">
        <f>TRIM(PROPER(Sales_Data!F152))</f>
        <v>Pooja Shah</v>
      </c>
      <c r="G152" s="66" t="s">
        <v>28</v>
      </c>
      <c r="H152" s="66" t="s">
        <v>813</v>
      </c>
      <c r="I152" s="66" t="s">
        <v>44</v>
      </c>
      <c r="J152" s="66" t="str">
        <f>PROPER(Sales_Data!J152)</f>
        <v>North</v>
      </c>
      <c r="K152" s="66" t="str">
        <f>PROPER(Sales_Data!K152)</f>
        <v>Home Appliances</v>
      </c>
      <c r="L152" s="66" t="s">
        <v>97</v>
      </c>
      <c r="M152" s="66">
        <v>20</v>
      </c>
      <c r="N152" s="66">
        <v>3500</v>
      </c>
      <c r="O152" s="66">
        <v>10</v>
      </c>
      <c r="P152" s="66">
        <v>63000</v>
      </c>
      <c r="Q152" s="66">
        <v>4</v>
      </c>
      <c r="R152" s="66" t="s">
        <v>88</v>
      </c>
      <c r="S152" s="66" t="s">
        <v>49</v>
      </c>
      <c r="T152" s="66" t="s">
        <v>62</v>
      </c>
      <c r="U152" s="69" t="s">
        <v>814</v>
      </c>
      <c r="V152" s="66" t="s">
        <v>64</v>
      </c>
      <c r="X152" t="str">
        <f>PROPER(Sales_Data!X152)</f>
        <v/>
      </c>
    </row>
    <row r="153" spans="1:24" x14ac:dyDescent="0.3">
      <c r="A153" s="65" t="s">
        <v>815</v>
      </c>
      <c r="B153" s="66" t="s">
        <v>23</v>
      </c>
      <c r="C153" s="66" t="s">
        <v>222</v>
      </c>
      <c r="D153" s="67" t="s">
        <v>816</v>
      </c>
      <c r="E153" s="68" t="s">
        <v>817</v>
      </c>
      <c r="F153" s="66" t="str">
        <f>TRIM(PROPER(Sales_Data!F153))</f>
        <v>Kavya Nair</v>
      </c>
      <c r="G153" s="66" t="s">
        <v>28</v>
      </c>
      <c r="H153" s="66" t="s">
        <v>818</v>
      </c>
      <c r="I153" s="66" t="s">
        <v>59</v>
      </c>
      <c r="J153" s="66" t="str">
        <f>PROPER(Sales_Data!J153)</f>
        <v>South</v>
      </c>
      <c r="K153" s="66" t="str">
        <f>PROPER(Sales_Data!K153)</f>
        <v>Stationery</v>
      </c>
      <c r="L153" s="66" t="s">
        <v>227</v>
      </c>
      <c r="M153" s="66">
        <v>2</v>
      </c>
      <c r="N153" s="66">
        <v>20</v>
      </c>
      <c r="O153" s="66">
        <v>10</v>
      </c>
      <c r="P153" s="66">
        <v>36</v>
      </c>
      <c r="Q153" s="66">
        <v>1</v>
      </c>
      <c r="R153" s="66" t="s">
        <v>48</v>
      </c>
      <c r="S153" s="66" t="s">
        <v>115</v>
      </c>
      <c r="T153" s="66" t="s">
        <v>50</v>
      </c>
      <c r="U153" s="69" t="s">
        <v>819</v>
      </c>
      <c r="V153" s="66" t="s">
        <v>64</v>
      </c>
      <c r="X153" t="str">
        <f>PROPER(Sales_Data!X153)</f>
        <v/>
      </c>
    </row>
    <row r="154" spans="1:24" x14ac:dyDescent="0.3">
      <c r="A154" s="65" t="s">
        <v>820</v>
      </c>
      <c r="B154" s="66" t="s">
        <v>100</v>
      </c>
      <c r="C154" s="66" t="s">
        <v>24</v>
      </c>
      <c r="D154" s="67" t="s">
        <v>779</v>
      </c>
      <c r="E154" s="68" t="s">
        <v>821</v>
      </c>
      <c r="F154" s="66" t="str">
        <f>TRIM(PROPER(Sales_Data!F154))</f>
        <v>Priya Patel</v>
      </c>
      <c r="G154" s="66" t="s">
        <v>28</v>
      </c>
      <c r="H154" s="66" t="s">
        <v>822</v>
      </c>
      <c r="I154" s="66" t="s">
        <v>114</v>
      </c>
      <c r="J154" s="66" t="str">
        <f>PROPER(Sales_Data!J154)</f>
        <v>West</v>
      </c>
      <c r="K154" s="66" t="str">
        <f>PROPER(Sales_Data!K154)</f>
        <v>Home Appliances</v>
      </c>
      <c r="L154" s="66" t="s">
        <v>33</v>
      </c>
      <c r="M154" s="66">
        <v>16</v>
      </c>
      <c r="N154" s="66">
        <v>2200</v>
      </c>
      <c r="O154" s="66">
        <v>20</v>
      </c>
      <c r="P154" s="66">
        <v>28160</v>
      </c>
      <c r="Q154" s="66">
        <v>2</v>
      </c>
      <c r="R154" s="66" t="s">
        <v>88</v>
      </c>
      <c r="S154" s="66" t="s">
        <v>151</v>
      </c>
      <c r="T154" s="66" t="s">
        <v>144</v>
      </c>
      <c r="U154" s="69" t="s">
        <v>823</v>
      </c>
      <c r="V154" s="66" t="s">
        <v>64</v>
      </c>
      <c r="X154" t="str">
        <f>PROPER(Sales_Data!X154)</f>
        <v/>
      </c>
    </row>
    <row r="155" spans="1:24" x14ac:dyDescent="0.3">
      <c r="A155" s="65" t="s">
        <v>824</v>
      </c>
      <c r="B155" s="66" t="s">
        <v>221</v>
      </c>
      <c r="C155" s="66" t="s">
        <v>40</v>
      </c>
      <c r="D155" s="67" t="s">
        <v>148</v>
      </c>
      <c r="E155" s="68" t="s">
        <v>825</v>
      </c>
      <c r="F155" s="66" t="str">
        <f>TRIM(PROPER(Sales_Data!F155))</f>
        <v>Vikas Mehta</v>
      </c>
      <c r="G155" s="66" t="s">
        <v>76</v>
      </c>
      <c r="H155" s="66" t="s">
        <v>826</v>
      </c>
      <c r="I155" s="66" t="s">
        <v>114</v>
      </c>
      <c r="J155" s="66" t="str">
        <f>PROPER(Sales_Data!J155)</f>
        <v>West</v>
      </c>
      <c r="K155" s="66" t="str">
        <f>PROPER(Sales_Data!K155)</f>
        <v>Electronics</v>
      </c>
      <c r="L155" s="66" t="s">
        <v>47</v>
      </c>
      <c r="M155" s="66">
        <v>15</v>
      </c>
      <c r="N155" s="66">
        <v>12000</v>
      </c>
      <c r="O155" s="66">
        <v>0</v>
      </c>
      <c r="P155" s="66">
        <v>180000</v>
      </c>
      <c r="Q155" s="66">
        <v>1</v>
      </c>
      <c r="R155" s="66" t="s">
        <v>79</v>
      </c>
      <c r="S155" s="66" t="s">
        <v>61</v>
      </c>
      <c r="T155" s="66" t="s">
        <v>228</v>
      </c>
      <c r="U155" s="69" t="s">
        <v>827</v>
      </c>
      <c r="V155" s="66" t="s">
        <v>64</v>
      </c>
      <c r="X155" t="str">
        <f>PROPER(Sales_Data!X155)</f>
        <v/>
      </c>
    </row>
    <row r="156" spans="1:24" x14ac:dyDescent="0.3">
      <c r="A156" s="65" t="s">
        <v>828</v>
      </c>
      <c r="B156" s="66" t="s">
        <v>23</v>
      </c>
      <c r="C156" s="66" t="s">
        <v>118</v>
      </c>
      <c r="D156" s="67" t="s">
        <v>829</v>
      </c>
      <c r="E156" s="68" t="s">
        <v>830</v>
      </c>
      <c r="F156" s="66" t="str">
        <f>TRIM(PROPER(Sales_Data!F156))</f>
        <v>Kavya Nair</v>
      </c>
      <c r="G156" s="66" t="s">
        <v>28</v>
      </c>
      <c r="H156" s="66" t="s">
        <v>831</v>
      </c>
      <c r="I156" s="66" t="s">
        <v>44</v>
      </c>
      <c r="J156" s="66" t="str">
        <f>PROPER(Sales_Data!J156)</f>
        <v>North</v>
      </c>
      <c r="K156" s="66" t="str">
        <f>PROPER(Sales_Data!K156)</f>
        <v>Stationery</v>
      </c>
      <c r="L156" s="66" t="s">
        <v>123</v>
      </c>
      <c r="M156" s="66">
        <v>14</v>
      </c>
      <c r="N156" s="66">
        <v>60</v>
      </c>
      <c r="O156" s="66">
        <v>15</v>
      </c>
      <c r="P156" s="66">
        <v>714</v>
      </c>
      <c r="Q156" s="66">
        <v>4</v>
      </c>
      <c r="R156" s="66" t="s">
        <v>88</v>
      </c>
      <c r="S156" s="66" t="s">
        <v>49</v>
      </c>
      <c r="T156" s="66" t="s">
        <v>50</v>
      </c>
      <c r="U156" s="69" t="s">
        <v>832</v>
      </c>
      <c r="V156" s="66" t="s">
        <v>38</v>
      </c>
      <c r="X156" t="str">
        <f>PROPER(Sales_Data!X156)</f>
        <v/>
      </c>
    </row>
    <row r="157" spans="1:24" x14ac:dyDescent="0.3">
      <c r="A157" s="65" t="s">
        <v>833</v>
      </c>
      <c r="B157" s="66" t="s">
        <v>53</v>
      </c>
      <c r="C157" s="66" t="s">
        <v>72</v>
      </c>
      <c r="D157" s="67" t="s">
        <v>834</v>
      </c>
      <c r="E157" s="68" t="s">
        <v>835</v>
      </c>
      <c r="F157" s="66" t="str">
        <f>TRIM(PROPER(Sales_Data!F157))</f>
        <v>Pooja Shah</v>
      </c>
      <c r="G157" s="66" t="s">
        <v>28</v>
      </c>
      <c r="H157" s="66" t="s">
        <v>836</v>
      </c>
      <c r="I157" s="66" t="s">
        <v>30</v>
      </c>
      <c r="J157" s="66" t="str">
        <f>PROPER(Sales_Data!J157)</f>
        <v>South</v>
      </c>
      <c r="K157" s="66" t="str">
        <f>PROPER(Sales_Data!K157)</f>
        <v>Electronics</v>
      </c>
      <c r="L157" s="66" t="s">
        <v>78</v>
      </c>
      <c r="M157" s="66">
        <v>9</v>
      </c>
      <c r="N157" s="66">
        <v>1200</v>
      </c>
      <c r="O157" s="66">
        <v>5</v>
      </c>
      <c r="P157" s="66">
        <v>10260</v>
      </c>
      <c r="Q157" s="66">
        <v>5</v>
      </c>
      <c r="R157" s="66" t="s">
        <v>48</v>
      </c>
      <c r="S157" s="66" t="s">
        <v>61</v>
      </c>
      <c r="T157" s="66" t="s">
        <v>62</v>
      </c>
      <c r="U157" s="69" t="s">
        <v>837</v>
      </c>
      <c r="V157" s="66" t="s">
        <v>64</v>
      </c>
      <c r="X157" t="str">
        <f>PROPER(Sales_Data!X157)</f>
        <v/>
      </c>
    </row>
    <row r="158" spans="1:24" x14ac:dyDescent="0.3">
      <c r="A158" s="65" t="s">
        <v>838</v>
      </c>
      <c r="B158" s="66" t="s">
        <v>221</v>
      </c>
      <c r="C158" s="66" t="s">
        <v>72</v>
      </c>
      <c r="D158" s="67" t="s">
        <v>821</v>
      </c>
      <c r="E158" s="68" t="s">
        <v>839</v>
      </c>
      <c r="F158" s="66" t="str">
        <f>TRIM(PROPER(Sales_Data!F158))</f>
        <v>Vikas Mehta</v>
      </c>
      <c r="G158" s="66" t="s">
        <v>76</v>
      </c>
      <c r="H158" s="66" t="s">
        <v>840</v>
      </c>
      <c r="I158" s="66" t="s">
        <v>294</v>
      </c>
      <c r="J158" s="66" t="str">
        <f>PROPER(Sales_Data!J158)</f>
        <v>East</v>
      </c>
      <c r="K158" s="66" t="str">
        <f>PROPER(Sales_Data!K158)</f>
        <v>Electronics</v>
      </c>
      <c r="L158" s="66" t="s">
        <v>78</v>
      </c>
      <c r="M158" s="66">
        <v>3</v>
      </c>
      <c r="N158" s="66">
        <v>1200</v>
      </c>
      <c r="O158" s="66">
        <v>10</v>
      </c>
      <c r="P158" s="66">
        <v>3240</v>
      </c>
      <c r="Q158" s="66">
        <v>2</v>
      </c>
      <c r="R158" s="66" t="s">
        <v>79</v>
      </c>
      <c r="S158" s="66" t="s">
        <v>151</v>
      </c>
      <c r="T158" s="66" t="s">
        <v>228</v>
      </c>
      <c r="U158" s="69" t="s">
        <v>841</v>
      </c>
      <c r="V158" s="66" t="s">
        <v>69</v>
      </c>
      <c r="X158" t="str">
        <f>PROPER(Sales_Data!X158)</f>
        <v/>
      </c>
    </row>
    <row r="159" spans="1:24" x14ac:dyDescent="0.3">
      <c r="A159" s="65" t="s">
        <v>842</v>
      </c>
      <c r="B159" s="66" t="s">
        <v>327</v>
      </c>
      <c r="C159" s="66" t="s">
        <v>118</v>
      </c>
      <c r="D159" s="67">
        <v>45934</v>
      </c>
      <c r="E159" s="68" t="s">
        <v>577</v>
      </c>
      <c r="F159" s="66" t="str">
        <f>TRIM(PROPER(Sales_Data!F159))</f>
        <v>Amit Sharma</v>
      </c>
      <c r="G159" s="66" t="s">
        <v>76</v>
      </c>
      <c r="H159" s="66" t="s">
        <v>843</v>
      </c>
      <c r="I159" s="66" t="s">
        <v>30</v>
      </c>
      <c r="J159" s="66" t="str">
        <f>PROPER(Sales_Data!J159)</f>
        <v>South</v>
      </c>
      <c r="K159" s="66" t="str">
        <f>PROPER(Sales_Data!K159)</f>
        <v>Stationery</v>
      </c>
      <c r="L159" s="66" t="s">
        <v>123</v>
      </c>
      <c r="M159" s="66">
        <v>2</v>
      </c>
      <c r="N159" s="66">
        <v>60</v>
      </c>
      <c r="O159" s="66">
        <v>10</v>
      </c>
      <c r="P159" s="66">
        <v>108</v>
      </c>
      <c r="Q159" s="66">
        <v>2</v>
      </c>
      <c r="R159" s="66" t="s">
        <v>88</v>
      </c>
      <c r="S159" s="66" t="s">
        <v>61</v>
      </c>
      <c r="T159" s="66" t="s">
        <v>332</v>
      </c>
      <c r="U159" s="69" t="s">
        <v>844</v>
      </c>
      <c r="V159" s="66" t="s">
        <v>38</v>
      </c>
      <c r="X159" t="str">
        <f>PROPER(Sales_Data!X159)</f>
        <v/>
      </c>
    </row>
    <row r="160" spans="1:24" x14ac:dyDescent="0.3">
      <c r="A160" s="65" t="s">
        <v>845</v>
      </c>
      <c r="B160" s="66" t="s">
        <v>71</v>
      </c>
      <c r="C160" s="66" t="s">
        <v>92</v>
      </c>
      <c r="D160" s="67" t="s">
        <v>426</v>
      </c>
      <c r="E160" s="68" t="s">
        <v>846</v>
      </c>
      <c r="F160" s="66" t="str">
        <f>TRIM(PROPER(Sales_Data!F160))</f>
        <v>Mohit Verma</v>
      </c>
      <c r="G160" s="66" t="s">
        <v>76</v>
      </c>
      <c r="H160" s="66" t="s">
        <v>847</v>
      </c>
      <c r="I160" s="66" t="s">
        <v>44</v>
      </c>
      <c r="J160" s="66" t="str">
        <f>PROPER(Sales_Data!J160)</f>
        <v>North</v>
      </c>
      <c r="K160" s="66" t="str">
        <f>PROPER(Sales_Data!K160)</f>
        <v>Home Appliances</v>
      </c>
      <c r="L160" s="66" t="s">
        <v>97</v>
      </c>
      <c r="M160" s="66">
        <v>9</v>
      </c>
      <c r="N160" s="66">
        <v>3500</v>
      </c>
      <c r="O160" s="66">
        <v>20</v>
      </c>
      <c r="P160" s="66">
        <v>25200</v>
      </c>
      <c r="Q160" s="66">
        <v>1</v>
      </c>
      <c r="R160" s="66" t="s">
        <v>48</v>
      </c>
      <c r="S160" s="66" t="s">
        <v>35</v>
      </c>
      <c r="T160" s="66" t="s">
        <v>80</v>
      </c>
      <c r="U160" s="69" t="s">
        <v>848</v>
      </c>
      <c r="V160" s="66" t="s">
        <v>38</v>
      </c>
      <c r="X160" t="str">
        <f>PROPER(Sales_Data!X160)</f>
        <v/>
      </c>
    </row>
    <row r="161" spans="1:24" x14ac:dyDescent="0.3">
      <c r="A161" s="65" t="s">
        <v>849</v>
      </c>
      <c r="B161" s="66" t="s">
        <v>221</v>
      </c>
      <c r="C161" s="66" t="s">
        <v>54</v>
      </c>
      <c r="D161" s="67" t="s">
        <v>241</v>
      </c>
      <c r="E161" s="68" t="s">
        <v>543</v>
      </c>
      <c r="F161" s="66" t="str">
        <f>TRIM(PROPER(Sales_Data!F161))</f>
        <v>Vikas Mehta</v>
      </c>
      <c r="G161" s="66" t="s">
        <v>76</v>
      </c>
      <c r="H161" s="66" t="s">
        <v>850</v>
      </c>
      <c r="I161" s="66" t="s">
        <v>212</v>
      </c>
      <c r="J161" s="66" t="str">
        <f>PROPER(Sales_Data!J161)</f>
        <v>North</v>
      </c>
      <c r="K161" s="66" t="str">
        <f>PROPER(Sales_Data!K161)</f>
        <v>Electronics</v>
      </c>
      <c r="L161" s="66" t="s">
        <v>60</v>
      </c>
      <c r="M161" s="66">
        <v>4</v>
      </c>
      <c r="N161" s="66">
        <v>55000</v>
      </c>
      <c r="O161" s="66">
        <v>5</v>
      </c>
      <c r="P161" s="66">
        <v>209000</v>
      </c>
      <c r="Q161" s="66">
        <v>2</v>
      </c>
      <c r="R161" s="66" t="s">
        <v>34</v>
      </c>
      <c r="S161" s="66" t="s">
        <v>151</v>
      </c>
      <c r="T161" s="66" t="s">
        <v>228</v>
      </c>
      <c r="U161" s="69" t="s">
        <v>851</v>
      </c>
      <c r="V161" s="66" t="s">
        <v>64</v>
      </c>
      <c r="X161" t="str">
        <f>PROPER(Sales_Data!X161)</f>
        <v/>
      </c>
    </row>
    <row r="162" spans="1:24" x14ac:dyDescent="0.3">
      <c r="A162" s="65" t="s">
        <v>852</v>
      </c>
      <c r="B162" s="66" t="s">
        <v>327</v>
      </c>
      <c r="C162" s="66" t="s">
        <v>184</v>
      </c>
      <c r="D162" s="67" t="s">
        <v>488</v>
      </c>
      <c r="E162" s="68" t="s">
        <v>266</v>
      </c>
      <c r="F162" s="66" t="str">
        <f>TRIM(PROPER(Sales_Data!F162))</f>
        <v>Amit Sharma</v>
      </c>
      <c r="G162" s="66" t="s">
        <v>76</v>
      </c>
      <c r="H162" s="66" t="s">
        <v>854</v>
      </c>
      <c r="I162" s="66" t="s">
        <v>44</v>
      </c>
      <c r="J162" s="66" t="str">
        <f>PROPER(Sales_Data!J162)</f>
        <v>North</v>
      </c>
      <c r="K162" s="66" t="str">
        <f>PROPER(Sales_Data!K162)</f>
        <v>Electronics</v>
      </c>
      <c r="L162" s="66" t="s">
        <v>189</v>
      </c>
      <c r="M162" s="66">
        <v>11</v>
      </c>
      <c r="N162" s="66">
        <v>700</v>
      </c>
      <c r="O162" s="66">
        <v>20</v>
      </c>
      <c r="P162" s="66">
        <v>6160</v>
      </c>
      <c r="Q162" s="66">
        <v>4</v>
      </c>
      <c r="R162" s="66" t="s">
        <v>34</v>
      </c>
      <c r="S162" s="66" t="s">
        <v>151</v>
      </c>
      <c r="T162" s="66" t="s">
        <v>332</v>
      </c>
      <c r="U162" s="69" t="s">
        <v>855</v>
      </c>
      <c r="V162" s="66" t="s">
        <v>69</v>
      </c>
      <c r="X162" t="str">
        <f>PROPER(Sales_Data!X162)</f>
        <v/>
      </c>
    </row>
    <row r="163" spans="1:24" x14ac:dyDescent="0.3">
      <c r="A163" s="65" t="s">
        <v>856</v>
      </c>
      <c r="B163" s="66" t="s">
        <v>168</v>
      </c>
      <c r="C163" s="66" t="s">
        <v>72</v>
      </c>
      <c r="D163" s="67" t="s">
        <v>286</v>
      </c>
      <c r="E163" s="68" t="s">
        <v>816</v>
      </c>
      <c r="F163" s="66" t="str">
        <f>TRIM(PROPER(Sales_Data!F163))</f>
        <v>Anita Gupta</v>
      </c>
      <c r="G163" s="66" t="s">
        <v>28</v>
      </c>
      <c r="H163" s="66" t="s">
        <v>857</v>
      </c>
      <c r="I163" s="66" t="s">
        <v>294</v>
      </c>
      <c r="J163" s="66" t="str">
        <f>PROPER(Sales_Data!J163)</f>
        <v>East</v>
      </c>
      <c r="K163" s="66" t="str">
        <f>PROPER(Sales_Data!K163)</f>
        <v>Electronics</v>
      </c>
      <c r="L163" s="66" t="s">
        <v>78</v>
      </c>
      <c r="M163" s="66">
        <v>16</v>
      </c>
      <c r="N163" s="66">
        <v>1200</v>
      </c>
      <c r="O163" s="66">
        <v>5</v>
      </c>
      <c r="P163" s="66">
        <v>18240</v>
      </c>
      <c r="Q163" s="66">
        <v>1</v>
      </c>
      <c r="R163" s="66" t="s">
        <v>79</v>
      </c>
      <c r="S163" s="66" t="s">
        <v>35</v>
      </c>
      <c r="T163" s="66" t="s">
        <v>175</v>
      </c>
      <c r="U163" s="69" t="s">
        <v>858</v>
      </c>
      <c r="V163" s="66" t="s">
        <v>64</v>
      </c>
      <c r="X163" t="str">
        <f>PROPER(Sales_Data!X163)</f>
        <v/>
      </c>
    </row>
    <row r="164" spans="1:24" x14ac:dyDescent="0.3">
      <c r="A164" s="65" t="s">
        <v>859</v>
      </c>
      <c r="B164" s="66" t="s">
        <v>168</v>
      </c>
      <c r="C164" s="66" t="s">
        <v>72</v>
      </c>
      <c r="D164" s="67" t="s">
        <v>548</v>
      </c>
      <c r="E164" s="68" t="s">
        <v>860</v>
      </c>
      <c r="F164" s="66" t="str">
        <f>TRIM(PROPER(Sales_Data!F164))</f>
        <v>Anita Gupta</v>
      </c>
      <c r="G164" s="66" t="s">
        <v>28</v>
      </c>
      <c r="H164" s="66" t="s">
        <v>861</v>
      </c>
      <c r="I164" s="66" t="s">
        <v>114</v>
      </c>
      <c r="J164" s="66" t="str">
        <f>PROPER(Sales_Data!J164)</f>
        <v>West</v>
      </c>
      <c r="K164" s="66" t="str">
        <f>PROPER(Sales_Data!K164)</f>
        <v>Electronics</v>
      </c>
      <c r="L164" s="66" t="s">
        <v>78</v>
      </c>
      <c r="M164" s="66">
        <v>1</v>
      </c>
      <c r="N164" s="66">
        <v>1200</v>
      </c>
      <c r="O164" s="66">
        <v>5</v>
      </c>
      <c r="P164" s="66">
        <v>1140</v>
      </c>
      <c r="Q164" s="66">
        <v>4</v>
      </c>
      <c r="R164" s="66" t="s">
        <v>79</v>
      </c>
      <c r="S164" s="66" t="s">
        <v>35</v>
      </c>
      <c r="T164" s="66" t="s">
        <v>175</v>
      </c>
      <c r="U164" s="69" t="s">
        <v>862</v>
      </c>
      <c r="V164" s="66" t="s">
        <v>38</v>
      </c>
      <c r="X164" t="str">
        <f>PROPER(Sales_Data!X164)</f>
        <v/>
      </c>
    </row>
    <row r="165" spans="1:24" x14ac:dyDescent="0.3">
      <c r="A165" s="65" t="s">
        <v>863</v>
      </c>
      <c r="B165" s="66" t="s">
        <v>327</v>
      </c>
      <c r="C165" s="66" t="s">
        <v>118</v>
      </c>
      <c r="D165" s="67">
        <v>45758</v>
      </c>
      <c r="E165" s="68" t="s">
        <v>865</v>
      </c>
      <c r="F165" s="66" t="str">
        <f>TRIM(PROPER(Sales_Data!F165))</f>
        <v>Amit Sharma</v>
      </c>
      <c r="G165" s="66" t="s">
        <v>76</v>
      </c>
      <c r="H165" s="66" t="s">
        <v>866</v>
      </c>
      <c r="I165" s="66" t="s">
        <v>212</v>
      </c>
      <c r="J165" s="66" t="str">
        <f>PROPER(Sales_Data!J165)</f>
        <v>North</v>
      </c>
      <c r="K165" s="66" t="str">
        <f>PROPER(Sales_Data!K165)</f>
        <v>Stationery</v>
      </c>
      <c r="L165" s="66" t="s">
        <v>123</v>
      </c>
      <c r="M165" s="66">
        <v>7</v>
      </c>
      <c r="N165" s="66">
        <v>60</v>
      </c>
      <c r="O165" s="66">
        <v>0</v>
      </c>
      <c r="P165" s="66">
        <v>420</v>
      </c>
      <c r="Q165" s="66">
        <v>2</v>
      </c>
      <c r="R165" s="66" t="s">
        <v>88</v>
      </c>
      <c r="S165" s="66" t="s">
        <v>151</v>
      </c>
      <c r="T165" s="66" t="s">
        <v>332</v>
      </c>
      <c r="U165" s="69" t="s">
        <v>867</v>
      </c>
      <c r="V165" s="66" t="s">
        <v>38</v>
      </c>
      <c r="X165" t="str">
        <f>PROPER(Sales_Data!X165)</f>
        <v/>
      </c>
    </row>
    <row r="166" spans="1:24" x14ac:dyDescent="0.3">
      <c r="A166" s="65" t="s">
        <v>868</v>
      </c>
      <c r="B166" s="66" t="s">
        <v>168</v>
      </c>
      <c r="C166" s="66" t="s">
        <v>24</v>
      </c>
      <c r="D166" s="67">
        <v>45717</v>
      </c>
      <c r="E166" s="68" t="s">
        <v>513</v>
      </c>
      <c r="F166" s="66" t="str">
        <f>TRIM(PROPER(Sales_Data!F166))</f>
        <v>Anita Gupta</v>
      </c>
      <c r="G166" s="66" t="s">
        <v>28</v>
      </c>
      <c r="H166" s="66" t="s">
        <v>869</v>
      </c>
      <c r="I166" s="66" t="s">
        <v>114</v>
      </c>
      <c r="J166" s="66" t="str">
        <f>PROPER(Sales_Data!J166)</f>
        <v>West</v>
      </c>
      <c r="K166" s="66" t="str">
        <f>PROPER(Sales_Data!K166)</f>
        <v>Home Appliances</v>
      </c>
      <c r="L166" s="66" t="s">
        <v>33</v>
      </c>
      <c r="M166" s="66">
        <v>14</v>
      </c>
      <c r="N166" s="66">
        <v>2200</v>
      </c>
      <c r="O166" s="66">
        <v>0</v>
      </c>
      <c r="P166" s="66">
        <v>30800</v>
      </c>
      <c r="Q166" s="66">
        <v>2</v>
      </c>
      <c r="R166" s="66" t="s">
        <v>88</v>
      </c>
      <c r="S166" s="66" t="s">
        <v>35</v>
      </c>
      <c r="T166" s="66" t="s">
        <v>175</v>
      </c>
      <c r="U166" s="69" t="s">
        <v>870</v>
      </c>
      <c r="V166" s="66" t="s">
        <v>69</v>
      </c>
      <c r="X166" t="str">
        <f>PROPER(Sales_Data!X166)</f>
        <v/>
      </c>
    </row>
    <row r="167" spans="1:24" x14ac:dyDescent="0.3">
      <c r="A167" s="65" t="s">
        <v>871</v>
      </c>
      <c r="B167" s="66" t="s">
        <v>168</v>
      </c>
      <c r="C167" s="66" t="s">
        <v>92</v>
      </c>
      <c r="D167" s="67" t="s">
        <v>872</v>
      </c>
      <c r="E167" s="68" t="s">
        <v>488</v>
      </c>
      <c r="F167" s="66" t="str">
        <f>TRIM(PROPER(Sales_Data!F167))</f>
        <v>Anita Gupta</v>
      </c>
      <c r="G167" s="66" t="s">
        <v>28</v>
      </c>
      <c r="H167" s="66" t="s">
        <v>873</v>
      </c>
      <c r="I167" s="66" t="s">
        <v>138</v>
      </c>
      <c r="J167" s="66" t="str">
        <f>PROPER(Sales_Data!J167)</f>
        <v>West</v>
      </c>
      <c r="K167" s="66" t="str">
        <f>PROPER(Sales_Data!K167)</f>
        <v>Home Appliances</v>
      </c>
      <c r="L167" s="66" t="s">
        <v>97</v>
      </c>
      <c r="M167" s="66">
        <v>15</v>
      </c>
      <c r="N167" s="66">
        <v>3500</v>
      </c>
      <c r="O167" s="66">
        <v>15</v>
      </c>
      <c r="P167" s="66">
        <v>44625</v>
      </c>
      <c r="Q167" s="66">
        <v>2</v>
      </c>
      <c r="R167" s="66" t="s">
        <v>88</v>
      </c>
      <c r="S167" s="66" t="s">
        <v>61</v>
      </c>
      <c r="T167" s="66" t="s">
        <v>175</v>
      </c>
      <c r="U167" s="69" t="s">
        <v>874</v>
      </c>
      <c r="V167" s="66" t="s">
        <v>64</v>
      </c>
      <c r="X167" t="str">
        <f>PROPER(Sales_Data!X167)</f>
        <v/>
      </c>
    </row>
    <row r="168" spans="1:24" x14ac:dyDescent="0.3">
      <c r="A168" s="65" t="s">
        <v>875</v>
      </c>
      <c r="B168" s="66" t="s">
        <v>127</v>
      </c>
      <c r="C168" s="66" t="s">
        <v>92</v>
      </c>
      <c r="D168" s="67" t="s">
        <v>876</v>
      </c>
      <c r="E168" s="68" t="s">
        <v>877</v>
      </c>
      <c r="F168" s="66" t="str">
        <f>TRIM(PROPER(Sales_Data!F168))</f>
        <v>Rohit Singh</v>
      </c>
      <c r="G168" s="66" t="s">
        <v>76</v>
      </c>
      <c r="H168" s="66" t="s">
        <v>878</v>
      </c>
      <c r="I168" s="66" t="s">
        <v>294</v>
      </c>
      <c r="J168" s="66" t="str">
        <f>PROPER(Sales_Data!J168)</f>
        <v>East</v>
      </c>
      <c r="K168" s="66" t="str">
        <f>PROPER(Sales_Data!K168)</f>
        <v>Home Appliances</v>
      </c>
      <c r="L168" s="66" t="s">
        <v>97</v>
      </c>
      <c r="M168" s="66">
        <v>19</v>
      </c>
      <c r="N168" s="66">
        <v>3500</v>
      </c>
      <c r="O168" s="66">
        <v>5</v>
      </c>
      <c r="P168" s="66">
        <v>63175</v>
      </c>
      <c r="Q168" s="66">
        <v>2</v>
      </c>
      <c r="R168" s="66" t="s">
        <v>34</v>
      </c>
      <c r="S168" s="66" t="s">
        <v>115</v>
      </c>
      <c r="T168" s="66" t="s">
        <v>132</v>
      </c>
      <c r="U168" s="69" t="s">
        <v>879</v>
      </c>
      <c r="V168" s="66" t="s">
        <v>69</v>
      </c>
      <c r="X168" t="str">
        <f>PROPER(Sales_Data!X168)</f>
        <v/>
      </c>
    </row>
    <row r="169" spans="1:24" x14ac:dyDescent="0.3">
      <c r="A169" s="65" t="s">
        <v>880</v>
      </c>
      <c r="B169" s="66" t="s">
        <v>327</v>
      </c>
      <c r="C169" s="66" t="s">
        <v>54</v>
      </c>
      <c r="D169" s="67">
        <v>45815</v>
      </c>
      <c r="E169" s="68" t="s">
        <v>640</v>
      </c>
      <c r="F169" s="66" t="str">
        <f>TRIM(PROPER(Sales_Data!F169))</f>
        <v>Amit Sharma</v>
      </c>
      <c r="G169" s="66" t="s">
        <v>76</v>
      </c>
      <c r="H169" s="66" t="s">
        <v>882</v>
      </c>
      <c r="I169" s="66" t="s">
        <v>59</v>
      </c>
      <c r="J169" s="66" t="str">
        <f>PROPER(Sales_Data!J169)</f>
        <v>South</v>
      </c>
      <c r="K169" s="66" t="str">
        <f>PROPER(Sales_Data!K169)</f>
        <v>Electronics</v>
      </c>
      <c r="L169" s="66" t="s">
        <v>60</v>
      </c>
      <c r="M169" s="66">
        <v>12</v>
      </c>
      <c r="N169" s="66">
        <v>55000</v>
      </c>
      <c r="O169" s="66">
        <v>5</v>
      </c>
      <c r="P169" s="66">
        <v>627000</v>
      </c>
      <c r="Q169" s="66">
        <v>4</v>
      </c>
      <c r="R169" s="66" t="s">
        <v>79</v>
      </c>
      <c r="S169" s="66" t="s">
        <v>61</v>
      </c>
      <c r="T169" s="66" t="s">
        <v>332</v>
      </c>
      <c r="U169" s="69" t="s">
        <v>883</v>
      </c>
      <c r="V169" s="66" t="s">
        <v>69</v>
      </c>
      <c r="X169" t="str">
        <f>PROPER(Sales_Data!X169)</f>
        <v/>
      </c>
    </row>
    <row r="170" spans="1:24" x14ac:dyDescent="0.3">
      <c r="A170" s="65" t="s">
        <v>884</v>
      </c>
      <c r="B170" s="66" t="s">
        <v>53</v>
      </c>
      <c r="C170" s="66" t="s">
        <v>72</v>
      </c>
      <c r="D170" s="67" t="s">
        <v>587</v>
      </c>
      <c r="E170" s="68" t="s">
        <v>483</v>
      </c>
      <c r="F170" s="66" t="str">
        <f>TRIM(PROPER(Sales_Data!F170))</f>
        <v>Pooja Shah</v>
      </c>
      <c r="G170" s="66" t="s">
        <v>28</v>
      </c>
      <c r="H170" s="66" t="s">
        <v>885</v>
      </c>
      <c r="I170" s="66" t="s">
        <v>105</v>
      </c>
      <c r="J170" s="66" t="str">
        <f>PROPER(Sales_Data!J170)</f>
        <v>West</v>
      </c>
      <c r="K170" s="66" t="str">
        <f>PROPER(Sales_Data!K170)</f>
        <v>Electronics</v>
      </c>
      <c r="L170" s="66" t="s">
        <v>78</v>
      </c>
      <c r="M170" s="66">
        <v>6</v>
      </c>
      <c r="N170" s="66">
        <v>1200</v>
      </c>
      <c r="O170" s="66">
        <v>10</v>
      </c>
      <c r="P170" s="66">
        <v>6480</v>
      </c>
      <c r="Q170" s="66">
        <v>5</v>
      </c>
      <c r="R170" s="66" t="s">
        <v>48</v>
      </c>
      <c r="S170" s="66" t="s">
        <v>115</v>
      </c>
      <c r="T170" s="66" t="s">
        <v>62</v>
      </c>
      <c r="U170" s="69" t="s">
        <v>886</v>
      </c>
      <c r="V170" s="66" t="s">
        <v>69</v>
      </c>
      <c r="X170" t="str">
        <f>PROPER(Sales_Data!X170)</f>
        <v/>
      </c>
    </row>
    <row r="171" spans="1:24" x14ac:dyDescent="0.3">
      <c r="A171" s="65" t="s">
        <v>887</v>
      </c>
      <c r="B171" s="66" t="s">
        <v>251</v>
      </c>
      <c r="C171" s="66" t="s">
        <v>169</v>
      </c>
      <c r="D171" s="67" t="s">
        <v>128</v>
      </c>
      <c r="E171" s="68" t="s">
        <v>247</v>
      </c>
      <c r="F171" s="66" t="str">
        <f>TRIM(PROPER(Sales_Data!F171))</f>
        <v>Sneha Joshi</v>
      </c>
      <c r="G171" s="66" t="s">
        <v>28</v>
      </c>
      <c r="H171" s="66" t="s">
        <v>888</v>
      </c>
      <c r="I171" s="66" t="s">
        <v>30</v>
      </c>
      <c r="J171" s="66" t="str">
        <f>PROPER(Sales_Data!J171)</f>
        <v>South</v>
      </c>
      <c r="K171" s="66" t="str">
        <f>PROPER(Sales_Data!K171)</f>
        <v>Home Appliances</v>
      </c>
      <c r="L171" s="66" t="s">
        <v>174</v>
      </c>
      <c r="M171" s="66">
        <v>1</v>
      </c>
      <c r="N171" s="66">
        <v>8500</v>
      </c>
      <c r="O171" s="66">
        <v>0</v>
      </c>
      <c r="P171" s="66">
        <v>8500</v>
      </c>
      <c r="Q171" s="66">
        <v>1</v>
      </c>
      <c r="R171" s="66" t="s">
        <v>88</v>
      </c>
      <c r="S171" s="66" t="s">
        <v>151</v>
      </c>
      <c r="T171" s="66" t="s">
        <v>256</v>
      </c>
      <c r="U171" s="69" t="s">
        <v>889</v>
      </c>
      <c r="V171" s="66" t="s">
        <v>69</v>
      </c>
      <c r="X171" t="str">
        <f>PROPER(Sales_Data!X171)</f>
        <v/>
      </c>
    </row>
    <row r="172" spans="1:24" x14ac:dyDescent="0.3">
      <c r="A172" s="65" t="s">
        <v>890</v>
      </c>
      <c r="B172" s="66" t="s">
        <v>127</v>
      </c>
      <c r="C172" s="66" t="s">
        <v>54</v>
      </c>
      <c r="D172" s="67">
        <v>46026</v>
      </c>
      <c r="E172" s="68" t="s">
        <v>892</v>
      </c>
      <c r="F172" s="66" t="str">
        <f>TRIM(PROPER(Sales_Data!F172))</f>
        <v>Rohit Singh</v>
      </c>
      <c r="G172" s="66" t="s">
        <v>76</v>
      </c>
      <c r="H172" s="66" t="s">
        <v>893</v>
      </c>
      <c r="I172" s="66" t="s">
        <v>138</v>
      </c>
      <c r="J172" s="66" t="str">
        <f>PROPER(Sales_Data!J172)</f>
        <v>West</v>
      </c>
      <c r="K172" s="66" t="str">
        <f>PROPER(Sales_Data!K172)</f>
        <v>Electronics</v>
      </c>
      <c r="L172" s="66" t="s">
        <v>60</v>
      </c>
      <c r="M172" s="66">
        <v>20</v>
      </c>
      <c r="N172" s="66">
        <v>55000</v>
      </c>
      <c r="O172" s="66">
        <v>10</v>
      </c>
      <c r="P172" s="66">
        <v>990000</v>
      </c>
      <c r="Q172" s="66">
        <v>5</v>
      </c>
      <c r="R172" s="66" t="s">
        <v>48</v>
      </c>
      <c r="S172" s="66" t="s">
        <v>151</v>
      </c>
      <c r="T172" s="66" t="s">
        <v>132</v>
      </c>
      <c r="U172" s="69" t="s">
        <v>894</v>
      </c>
      <c r="V172" s="66" t="s">
        <v>38</v>
      </c>
      <c r="X172" t="str">
        <f>PROPER(Sales_Data!X172)</f>
        <v/>
      </c>
    </row>
    <row r="173" spans="1:24" x14ac:dyDescent="0.3">
      <c r="A173" s="65" t="s">
        <v>895</v>
      </c>
      <c r="B173" s="66" t="s">
        <v>221</v>
      </c>
      <c r="C173" s="66" t="s">
        <v>72</v>
      </c>
      <c r="D173" s="67" t="s">
        <v>661</v>
      </c>
      <c r="E173" s="68" t="s">
        <v>896</v>
      </c>
      <c r="F173" s="66" t="str">
        <f>TRIM(PROPER(Sales_Data!F173))</f>
        <v>Vikas Mehta</v>
      </c>
      <c r="G173" s="66" t="s">
        <v>76</v>
      </c>
      <c r="H173" s="66" t="s">
        <v>897</v>
      </c>
      <c r="I173" s="66" t="s">
        <v>138</v>
      </c>
      <c r="J173" s="66" t="str">
        <f>PROPER(Sales_Data!J173)</f>
        <v>West</v>
      </c>
      <c r="K173" s="66" t="str">
        <f>PROPER(Sales_Data!K173)</f>
        <v>Electronics</v>
      </c>
      <c r="L173" s="66" t="s">
        <v>78</v>
      </c>
      <c r="M173" s="66">
        <v>8</v>
      </c>
      <c r="N173" s="66">
        <v>1200</v>
      </c>
      <c r="O173" s="66">
        <v>15</v>
      </c>
      <c r="P173" s="66">
        <v>8160</v>
      </c>
      <c r="Q173" s="66">
        <v>2</v>
      </c>
      <c r="R173" s="66" t="s">
        <v>88</v>
      </c>
      <c r="S173" s="66" t="s">
        <v>115</v>
      </c>
      <c r="T173" s="66" t="s">
        <v>228</v>
      </c>
      <c r="U173" s="69" t="s">
        <v>898</v>
      </c>
      <c r="V173" s="66" t="s">
        <v>69</v>
      </c>
      <c r="X173" t="str">
        <f>PROPER(Sales_Data!X173)</f>
        <v/>
      </c>
    </row>
    <row r="174" spans="1:24" x14ac:dyDescent="0.3">
      <c r="A174" s="65" t="s">
        <v>899</v>
      </c>
      <c r="B174" s="66" t="s">
        <v>23</v>
      </c>
      <c r="C174" s="66" t="s">
        <v>92</v>
      </c>
      <c r="D174" s="67">
        <v>45810</v>
      </c>
      <c r="E174" s="68" t="s">
        <v>901</v>
      </c>
      <c r="F174" s="66" t="str">
        <f>TRIM(PROPER(Sales_Data!F174))</f>
        <v>Kavya Nair</v>
      </c>
      <c r="G174" s="66" t="s">
        <v>28</v>
      </c>
      <c r="H174" s="66" t="s">
        <v>902</v>
      </c>
      <c r="I174" s="66" t="s">
        <v>212</v>
      </c>
      <c r="J174" s="66" t="str">
        <f>PROPER(Sales_Data!J174)</f>
        <v>North</v>
      </c>
      <c r="K174" s="66" t="str">
        <f>PROPER(Sales_Data!K174)</f>
        <v>Home Appliances</v>
      </c>
      <c r="L174" s="66" t="s">
        <v>97</v>
      </c>
      <c r="M174" s="66">
        <v>19</v>
      </c>
      <c r="N174" s="66">
        <v>3500</v>
      </c>
      <c r="O174" s="66">
        <v>5</v>
      </c>
      <c r="P174" s="66">
        <v>63175</v>
      </c>
      <c r="Q174" s="66">
        <v>4</v>
      </c>
      <c r="R174" s="66" t="s">
        <v>88</v>
      </c>
      <c r="S174" s="66" t="s">
        <v>49</v>
      </c>
      <c r="T174" s="66" t="s">
        <v>50</v>
      </c>
      <c r="U174" s="69" t="s">
        <v>903</v>
      </c>
      <c r="V174" s="66" t="s">
        <v>64</v>
      </c>
      <c r="X174" t="str">
        <f>PROPER(Sales_Data!X174)</f>
        <v/>
      </c>
    </row>
    <row r="175" spans="1:24" x14ac:dyDescent="0.3">
      <c r="A175" s="65" t="s">
        <v>904</v>
      </c>
      <c r="B175" s="66" t="s">
        <v>221</v>
      </c>
      <c r="C175" s="66" t="s">
        <v>259</v>
      </c>
      <c r="D175" s="67" t="s">
        <v>41</v>
      </c>
      <c r="E175" s="68" t="s">
        <v>606</v>
      </c>
      <c r="F175" s="66" t="str">
        <f>TRIM(PROPER(Sales_Data!F175))</f>
        <v>Vikas Mehta</v>
      </c>
      <c r="G175" s="66" t="s">
        <v>76</v>
      </c>
      <c r="H175" s="66" t="s">
        <v>906</v>
      </c>
      <c r="I175" s="66" t="s">
        <v>212</v>
      </c>
      <c r="J175" s="66" t="str">
        <f>PROPER(Sales_Data!J175)</f>
        <v>North</v>
      </c>
      <c r="K175" s="66" t="str">
        <f>PROPER(Sales_Data!K175)</f>
        <v>Stationery</v>
      </c>
      <c r="L175" s="66" t="s">
        <v>263</v>
      </c>
      <c r="M175" s="66">
        <v>6</v>
      </c>
      <c r="N175" s="66">
        <v>45</v>
      </c>
      <c r="O175" s="66">
        <v>20</v>
      </c>
      <c r="P175" s="66">
        <v>216</v>
      </c>
      <c r="Q175" s="66">
        <v>1</v>
      </c>
      <c r="R175" s="66" t="s">
        <v>79</v>
      </c>
      <c r="S175" s="66" t="s">
        <v>49</v>
      </c>
      <c r="T175" s="66" t="s">
        <v>907</v>
      </c>
      <c r="U175" s="69" t="s">
        <v>908</v>
      </c>
      <c r="V175" s="66" t="s">
        <v>64</v>
      </c>
      <c r="X175" t="str">
        <f>PROPER(Sales_Data!X175)</f>
        <v/>
      </c>
    </row>
    <row r="176" spans="1:24" x14ac:dyDescent="0.3">
      <c r="A176" s="65" t="s">
        <v>909</v>
      </c>
      <c r="B176" s="66" t="s">
        <v>251</v>
      </c>
      <c r="C176" s="66" t="s">
        <v>259</v>
      </c>
      <c r="D176" s="67" t="s">
        <v>910</v>
      </c>
      <c r="E176" s="68" t="s">
        <v>119</v>
      </c>
      <c r="F176" s="66" t="str">
        <f>TRIM(PROPER(Sales_Data!F176))</f>
        <v>Sneha Joshi</v>
      </c>
      <c r="G176" s="66" t="s">
        <v>28</v>
      </c>
      <c r="H176" s="66" t="s">
        <v>911</v>
      </c>
      <c r="I176" s="66" t="s">
        <v>114</v>
      </c>
      <c r="J176" s="66" t="str">
        <f>PROPER(Sales_Data!J176)</f>
        <v>West</v>
      </c>
      <c r="K176" s="66" t="str">
        <f>PROPER(Sales_Data!K176)</f>
        <v>Stationery</v>
      </c>
      <c r="L176" s="66" t="s">
        <v>263</v>
      </c>
      <c r="M176" s="66">
        <v>17</v>
      </c>
      <c r="N176" s="66">
        <v>45</v>
      </c>
      <c r="O176" s="66">
        <v>15</v>
      </c>
      <c r="P176" s="66">
        <v>650.25</v>
      </c>
      <c r="Q176" s="66">
        <v>5</v>
      </c>
      <c r="R176" s="66" t="s">
        <v>34</v>
      </c>
      <c r="S176" s="66" t="s">
        <v>115</v>
      </c>
      <c r="T176" s="66" t="s">
        <v>256</v>
      </c>
      <c r="U176" s="69" t="s">
        <v>912</v>
      </c>
      <c r="V176" s="66" t="s">
        <v>64</v>
      </c>
      <c r="X176" t="str">
        <f>PROPER(Sales_Data!X176)</f>
        <v/>
      </c>
    </row>
    <row r="177" spans="1:24" x14ac:dyDescent="0.3">
      <c r="A177" s="65" t="s">
        <v>913</v>
      </c>
      <c r="B177" s="66" t="s">
        <v>23</v>
      </c>
      <c r="C177" s="66" t="s">
        <v>222</v>
      </c>
      <c r="D177" s="67">
        <v>45754</v>
      </c>
      <c r="E177" s="68" t="s">
        <v>914</v>
      </c>
      <c r="F177" s="66" t="str">
        <f>TRIM(PROPER(Sales_Data!F177))</f>
        <v>Kavya Nair</v>
      </c>
      <c r="G177" s="66" t="s">
        <v>28</v>
      </c>
      <c r="H177" s="66" t="s">
        <v>915</v>
      </c>
      <c r="I177" s="66" t="s">
        <v>114</v>
      </c>
      <c r="J177" s="66" t="str">
        <f>PROPER(Sales_Data!J177)</f>
        <v>West</v>
      </c>
      <c r="K177" s="66" t="str">
        <f>PROPER(Sales_Data!K177)</f>
        <v>Stationery</v>
      </c>
      <c r="L177" s="66" t="s">
        <v>227</v>
      </c>
      <c r="M177" s="66">
        <v>19</v>
      </c>
      <c r="N177" s="66">
        <v>20</v>
      </c>
      <c r="O177" s="66">
        <v>5</v>
      </c>
      <c r="P177" s="66">
        <v>361</v>
      </c>
      <c r="Q177" s="66">
        <v>4</v>
      </c>
      <c r="R177" s="66" t="s">
        <v>34</v>
      </c>
      <c r="S177" s="66" t="s">
        <v>35</v>
      </c>
      <c r="T177" s="66" t="s">
        <v>50</v>
      </c>
      <c r="U177" s="69" t="s">
        <v>916</v>
      </c>
      <c r="V177" s="66" t="s">
        <v>64</v>
      </c>
      <c r="X177" t="str">
        <f>PROPER(Sales_Data!X177)</f>
        <v/>
      </c>
    </row>
    <row r="178" spans="1:24" x14ac:dyDescent="0.3">
      <c r="A178" s="65" t="s">
        <v>917</v>
      </c>
      <c r="B178" s="66" t="s">
        <v>251</v>
      </c>
      <c r="C178" s="66" t="s">
        <v>222</v>
      </c>
      <c r="D178" s="67">
        <v>45700</v>
      </c>
      <c r="E178" s="68" t="s">
        <v>352</v>
      </c>
      <c r="F178" s="66" t="str">
        <f>TRIM(PROPER(Sales_Data!F178))</f>
        <v>Sneha Joshi</v>
      </c>
      <c r="G178" s="66" t="s">
        <v>28</v>
      </c>
      <c r="H178" s="66" t="s">
        <v>920</v>
      </c>
      <c r="I178" s="66" t="s">
        <v>138</v>
      </c>
      <c r="J178" s="66" t="str">
        <f>PROPER(Sales_Data!J178)</f>
        <v>West</v>
      </c>
      <c r="K178" s="66" t="str">
        <f>PROPER(Sales_Data!K178)</f>
        <v>Stationery</v>
      </c>
      <c r="L178" s="66" t="s">
        <v>227</v>
      </c>
      <c r="M178" s="66">
        <v>11</v>
      </c>
      <c r="N178" s="66">
        <v>20</v>
      </c>
      <c r="O178" s="66">
        <v>0</v>
      </c>
      <c r="P178" s="66">
        <v>220</v>
      </c>
      <c r="Q178" s="66">
        <v>3</v>
      </c>
      <c r="R178" s="66" t="s">
        <v>48</v>
      </c>
      <c r="S178" s="66" t="s">
        <v>49</v>
      </c>
      <c r="T178" s="66" t="s">
        <v>256</v>
      </c>
      <c r="U178" s="69" t="s">
        <v>921</v>
      </c>
      <c r="V178" s="66" t="s">
        <v>38</v>
      </c>
      <c r="X178" t="str">
        <f>PROPER(Sales_Data!X178)</f>
        <v/>
      </c>
    </row>
    <row r="179" spans="1:24" x14ac:dyDescent="0.3">
      <c r="A179" s="65" t="s">
        <v>922</v>
      </c>
      <c r="B179" s="66" t="s">
        <v>168</v>
      </c>
      <c r="C179" s="66" t="s">
        <v>118</v>
      </c>
      <c r="D179" s="67" t="s">
        <v>323</v>
      </c>
      <c r="E179" s="68" t="s">
        <v>923</v>
      </c>
      <c r="F179" s="66" t="str">
        <f>TRIM(PROPER(Sales_Data!F179))</f>
        <v>Anita Gupta</v>
      </c>
      <c r="G179" s="66" t="s">
        <v>28</v>
      </c>
      <c r="H179" s="66" t="s">
        <v>924</v>
      </c>
      <c r="I179" s="66" t="s">
        <v>44</v>
      </c>
      <c r="J179" s="66" t="str">
        <f>PROPER(Sales_Data!J179)</f>
        <v>North</v>
      </c>
      <c r="K179" s="66" t="str">
        <f>PROPER(Sales_Data!K179)</f>
        <v>Stationery</v>
      </c>
      <c r="L179" s="66" t="s">
        <v>123</v>
      </c>
      <c r="M179" s="66">
        <v>12</v>
      </c>
      <c r="N179" s="66">
        <v>60</v>
      </c>
      <c r="O179" s="66">
        <v>0</v>
      </c>
      <c r="P179" s="66">
        <v>720</v>
      </c>
      <c r="Q179" s="66">
        <v>2</v>
      </c>
      <c r="R179" s="66" t="s">
        <v>48</v>
      </c>
      <c r="S179" s="66" t="s">
        <v>49</v>
      </c>
      <c r="T179" s="66" t="s">
        <v>175</v>
      </c>
      <c r="U179" s="69" t="s">
        <v>925</v>
      </c>
      <c r="V179" s="66" t="s">
        <v>38</v>
      </c>
      <c r="X179" t="str">
        <f>PROPER(Sales_Data!X179)</f>
        <v/>
      </c>
    </row>
    <row r="180" spans="1:24" x14ac:dyDescent="0.3">
      <c r="A180" s="65" t="s">
        <v>926</v>
      </c>
      <c r="B180" s="66" t="s">
        <v>221</v>
      </c>
      <c r="C180" s="66" t="s">
        <v>259</v>
      </c>
      <c r="D180" s="67">
        <v>45911</v>
      </c>
      <c r="E180" s="68" t="s">
        <v>865</v>
      </c>
      <c r="F180" s="66" t="str">
        <f>TRIM(PROPER(Sales_Data!F180))</f>
        <v>Priya Patel</v>
      </c>
      <c r="G180" s="66" t="s">
        <v>76</v>
      </c>
      <c r="H180" s="66" t="s">
        <v>929</v>
      </c>
      <c r="I180" s="66" t="s">
        <v>294</v>
      </c>
      <c r="J180" s="66" t="str">
        <f>PROPER(Sales_Data!J180)</f>
        <v>East</v>
      </c>
      <c r="K180" s="66" t="str">
        <f>PROPER(Sales_Data!K180)</f>
        <v>Stationery</v>
      </c>
      <c r="L180" s="66" t="s">
        <v>263</v>
      </c>
      <c r="M180" s="66">
        <v>14</v>
      </c>
      <c r="N180" s="66">
        <v>45</v>
      </c>
      <c r="O180" s="66">
        <v>15</v>
      </c>
      <c r="P180" s="66">
        <v>535.5</v>
      </c>
      <c r="Q180" s="66">
        <v>5</v>
      </c>
      <c r="R180" s="66" t="s">
        <v>88</v>
      </c>
      <c r="S180" s="66" t="s">
        <v>115</v>
      </c>
      <c r="T180" s="66" t="s">
        <v>228</v>
      </c>
      <c r="U180" s="69" t="s">
        <v>930</v>
      </c>
      <c r="V180" s="66" t="s">
        <v>64</v>
      </c>
      <c r="X180" t="str">
        <f>PROPER(Sales_Data!X180)</f>
        <v/>
      </c>
    </row>
    <row r="181" spans="1:24" x14ac:dyDescent="0.3">
      <c r="A181" s="65" t="s">
        <v>931</v>
      </c>
      <c r="B181" s="66" t="s">
        <v>23</v>
      </c>
      <c r="C181" s="66" t="s">
        <v>184</v>
      </c>
      <c r="D181" s="67">
        <v>45840</v>
      </c>
      <c r="E181" s="68" t="s">
        <v>303</v>
      </c>
      <c r="F181" s="66" t="str">
        <f>TRIM(PROPER(Sales_Data!F181))</f>
        <v>Kavya Nair</v>
      </c>
      <c r="G181" s="66" t="s">
        <v>28</v>
      </c>
      <c r="H181" s="66" t="s">
        <v>933</v>
      </c>
      <c r="I181" s="66" t="s">
        <v>30</v>
      </c>
      <c r="J181" s="66" t="str">
        <f>PROPER(Sales_Data!J181)</f>
        <v>South</v>
      </c>
      <c r="K181" s="66" t="str">
        <f>PROPER(Sales_Data!K181)</f>
        <v>Electronics</v>
      </c>
      <c r="L181" s="66" t="s">
        <v>189</v>
      </c>
      <c r="M181" s="66">
        <v>15</v>
      </c>
      <c r="N181" s="66">
        <v>700</v>
      </c>
      <c r="O181" s="66">
        <v>10</v>
      </c>
      <c r="P181" s="66">
        <v>9450</v>
      </c>
      <c r="Q181" s="66">
        <v>3</v>
      </c>
      <c r="R181" s="66" t="s">
        <v>48</v>
      </c>
      <c r="S181" s="66" t="s">
        <v>49</v>
      </c>
      <c r="T181" s="66" t="s">
        <v>50</v>
      </c>
      <c r="U181" s="69" t="s">
        <v>934</v>
      </c>
      <c r="V181" s="66" t="s">
        <v>64</v>
      </c>
      <c r="X181" t="str">
        <f>PROPER(Sales_Data!X181)</f>
        <v/>
      </c>
    </row>
    <row r="182" spans="1:24" x14ac:dyDescent="0.3">
      <c r="A182" s="65" t="s">
        <v>935</v>
      </c>
      <c r="B182" s="66" t="s">
        <v>100</v>
      </c>
      <c r="C182" s="66" t="s">
        <v>169</v>
      </c>
      <c r="D182" s="67" t="s">
        <v>936</v>
      </c>
      <c r="E182" s="68" t="s">
        <v>683</v>
      </c>
      <c r="F182" s="66" t="str">
        <f>TRIM(PROPER(Sales_Data!F182))</f>
        <v>Priya Patel</v>
      </c>
      <c r="G182" s="66" t="s">
        <v>28</v>
      </c>
      <c r="H182" s="66" t="s">
        <v>937</v>
      </c>
      <c r="I182" s="66" t="s">
        <v>138</v>
      </c>
      <c r="J182" s="66" t="str">
        <f>PROPER(Sales_Data!J182)</f>
        <v>West</v>
      </c>
      <c r="K182" s="66" t="str">
        <f>PROPER(Sales_Data!K182)</f>
        <v>Home Appliances</v>
      </c>
      <c r="L182" s="66" t="s">
        <v>174</v>
      </c>
      <c r="M182" s="66">
        <v>19</v>
      </c>
      <c r="N182" s="66">
        <v>8500</v>
      </c>
      <c r="O182" s="66">
        <v>15</v>
      </c>
      <c r="P182" s="66">
        <v>137275</v>
      </c>
      <c r="Q182" s="66">
        <v>2</v>
      </c>
      <c r="R182" s="66" t="s">
        <v>34</v>
      </c>
      <c r="S182" s="66" t="s">
        <v>35</v>
      </c>
      <c r="T182" s="66" t="s">
        <v>144</v>
      </c>
      <c r="U182" s="69" t="s">
        <v>938</v>
      </c>
      <c r="V182" s="66" t="s">
        <v>69</v>
      </c>
      <c r="X182" t="str">
        <f>PROPER(Sales_Data!X182)</f>
        <v/>
      </c>
    </row>
    <row r="183" spans="1:24" x14ac:dyDescent="0.3">
      <c r="A183" s="65" t="s">
        <v>939</v>
      </c>
      <c r="B183" s="66" t="s">
        <v>251</v>
      </c>
      <c r="C183" s="66" t="s">
        <v>118</v>
      </c>
      <c r="D183" s="67">
        <v>45757</v>
      </c>
      <c r="E183" s="68" t="s">
        <v>941</v>
      </c>
      <c r="F183" s="66" t="str">
        <f>TRIM(PROPER(Sales_Data!F183))</f>
        <v>Sneha Joshi</v>
      </c>
      <c r="G183" s="66" t="s">
        <v>28</v>
      </c>
      <c r="H183" s="66" t="s">
        <v>911</v>
      </c>
      <c r="I183" s="66" t="s">
        <v>212</v>
      </c>
      <c r="J183" s="66" t="str">
        <f>PROPER(Sales_Data!J183)</f>
        <v>North</v>
      </c>
      <c r="K183" s="66" t="str">
        <f>PROPER(Sales_Data!K183)</f>
        <v>Stationery</v>
      </c>
      <c r="L183" s="66" t="s">
        <v>123</v>
      </c>
      <c r="M183" s="66">
        <v>19</v>
      </c>
      <c r="N183" s="66">
        <v>60</v>
      </c>
      <c r="O183" s="66">
        <v>20</v>
      </c>
      <c r="P183" s="66">
        <v>912</v>
      </c>
      <c r="Q183" s="66">
        <v>4</v>
      </c>
      <c r="R183" s="66" t="s">
        <v>79</v>
      </c>
      <c r="S183" s="66" t="s">
        <v>49</v>
      </c>
      <c r="T183" s="66" t="s">
        <v>256</v>
      </c>
      <c r="U183" s="69" t="s">
        <v>942</v>
      </c>
      <c r="V183" s="66" t="s">
        <v>64</v>
      </c>
      <c r="X183" t="str">
        <f>PROPER(Sales_Data!X183)</f>
        <v/>
      </c>
    </row>
    <row r="184" spans="1:24" x14ac:dyDescent="0.3">
      <c r="A184" s="65" t="s">
        <v>943</v>
      </c>
      <c r="B184" s="66" t="s">
        <v>100</v>
      </c>
      <c r="C184" s="66" t="s">
        <v>259</v>
      </c>
      <c r="D184" s="67" t="s">
        <v>944</v>
      </c>
      <c r="E184" s="68" t="s">
        <v>936</v>
      </c>
      <c r="F184" s="66" t="str">
        <f>TRIM(PROPER(Sales_Data!F184))</f>
        <v>Priya Patel</v>
      </c>
      <c r="G184" s="66" t="s">
        <v>28</v>
      </c>
      <c r="H184" s="66" t="s">
        <v>945</v>
      </c>
      <c r="I184" s="66" t="s">
        <v>59</v>
      </c>
      <c r="J184" s="66" t="str">
        <f>PROPER(Sales_Data!J184)</f>
        <v>South</v>
      </c>
      <c r="K184" s="66" t="str">
        <f>PROPER(Sales_Data!K184)</f>
        <v>Stationery</v>
      </c>
      <c r="L184" s="66" t="s">
        <v>263</v>
      </c>
      <c r="M184" s="66">
        <v>10</v>
      </c>
      <c r="N184" s="66">
        <v>45</v>
      </c>
      <c r="O184" s="66">
        <v>15</v>
      </c>
      <c r="P184" s="66">
        <v>382.5</v>
      </c>
      <c r="Q184" s="66">
        <v>4</v>
      </c>
      <c r="R184" s="66" t="s">
        <v>34</v>
      </c>
      <c r="S184" s="66" t="s">
        <v>151</v>
      </c>
      <c r="T184" s="66" t="s">
        <v>144</v>
      </c>
      <c r="U184" s="69" t="s">
        <v>946</v>
      </c>
      <c r="V184" s="66" t="s">
        <v>38</v>
      </c>
      <c r="X184" t="str">
        <f>PROPER(Sales_Data!X184)</f>
        <v/>
      </c>
    </row>
    <row r="185" spans="1:24" x14ac:dyDescent="0.3">
      <c r="A185" s="65" t="s">
        <v>947</v>
      </c>
      <c r="B185" s="66" t="s">
        <v>71</v>
      </c>
      <c r="C185" s="66" t="s">
        <v>24</v>
      </c>
      <c r="D185" s="67" t="s">
        <v>948</v>
      </c>
      <c r="E185" s="68" t="s">
        <v>949</v>
      </c>
      <c r="F185" s="66" t="str">
        <f>TRIM(PROPER(Sales_Data!F185))</f>
        <v>Mohit Verma</v>
      </c>
      <c r="G185" s="66" t="s">
        <v>76</v>
      </c>
      <c r="H185" s="66" t="s">
        <v>950</v>
      </c>
      <c r="I185" s="66" t="s">
        <v>44</v>
      </c>
      <c r="J185" s="66" t="str">
        <f>PROPER(Sales_Data!J185)</f>
        <v>North</v>
      </c>
      <c r="K185" s="66" t="str">
        <f>PROPER(Sales_Data!K185)</f>
        <v>Home Appliances</v>
      </c>
      <c r="L185" s="66" t="s">
        <v>33</v>
      </c>
      <c r="M185" s="66">
        <v>7</v>
      </c>
      <c r="N185" s="66">
        <v>2200</v>
      </c>
      <c r="O185" s="66">
        <v>20</v>
      </c>
      <c r="P185" s="66">
        <v>12320</v>
      </c>
      <c r="Q185" s="66">
        <v>5</v>
      </c>
      <c r="R185" s="66" t="s">
        <v>88</v>
      </c>
      <c r="S185" s="66" t="s">
        <v>49</v>
      </c>
      <c r="T185" s="66" t="s">
        <v>80</v>
      </c>
      <c r="U185" s="69" t="s">
        <v>951</v>
      </c>
      <c r="V185" s="66" t="s">
        <v>64</v>
      </c>
      <c r="X185" t="str">
        <f>PROPER(Sales_Data!X185)</f>
        <v/>
      </c>
    </row>
    <row r="186" spans="1:24" x14ac:dyDescent="0.3">
      <c r="A186" s="65" t="s">
        <v>952</v>
      </c>
      <c r="B186" s="66" t="s">
        <v>100</v>
      </c>
      <c r="C186" s="66" t="s">
        <v>169</v>
      </c>
      <c r="D186" s="67" t="s">
        <v>953</v>
      </c>
      <c r="E186" s="68" t="s">
        <v>42</v>
      </c>
      <c r="F186" s="66" t="str">
        <f>TRIM(PROPER(Sales_Data!F186))</f>
        <v>Priya Patel</v>
      </c>
      <c r="G186" s="66" t="s">
        <v>28</v>
      </c>
      <c r="H186" s="66" t="s">
        <v>954</v>
      </c>
      <c r="I186" s="66" t="s">
        <v>294</v>
      </c>
      <c r="J186" s="66" t="str">
        <f>PROPER(Sales_Data!J186)</f>
        <v>East</v>
      </c>
      <c r="K186" s="66" t="str">
        <f>PROPER(Sales_Data!K186)</f>
        <v>Home Appliances</v>
      </c>
      <c r="L186" s="66" t="s">
        <v>174</v>
      </c>
      <c r="M186" s="66">
        <v>20</v>
      </c>
      <c r="N186" s="66">
        <v>8500</v>
      </c>
      <c r="O186" s="66">
        <v>20</v>
      </c>
      <c r="P186" s="66">
        <v>136000</v>
      </c>
      <c r="Q186" s="66">
        <v>4</v>
      </c>
      <c r="R186" s="66" t="s">
        <v>48</v>
      </c>
      <c r="S186" s="66" t="s">
        <v>35</v>
      </c>
      <c r="T186" s="66" t="s">
        <v>144</v>
      </c>
      <c r="U186" s="69" t="s">
        <v>955</v>
      </c>
      <c r="V186" s="66" t="s">
        <v>38</v>
      </c>
      <c r="X186" t="str">
        <f>PROPER(Sales_Data!X186)</f>
        <v/>
      </c>
    </row>
    <row r="187" spans="1:24" x14ac:dyDescent="0.3">
      <c r="A187" s="65" t="s">
        <v>956</v>
      </c>
      <c r="B187" s="66" t="s">
        <v>251</v>
      </c>
      <c r="C187" s="66" t="s">
        <v>24</v>
      </c>
      <c r="D187" s="67" t="s">
        <v>770</v>
      </c>
      <c r="E187" s="68" t="s">
        <v>957</v>
      </c>
      <c r="F187" s="66" t="str">
        <f>TRIM(PROPER(Sales_Data!F187))</f>
        <v>Sneha Joshi</v>
      </c>
      <c r="G187" s="66" t="s">
        <v>28</v>
      </c>
      <c r="H187" s="66" t="s">
        <v>958</v>
      </c>
      <c r="I187" s="66" t="s">
        <v>30</v>
      </c>
      <c r="J187" s="66" t="str">
        <f>PROPER(Sales_Data!J187)</f>
        <v>South</v>
      </c>
      <c r="K187" s="66" t="str">
        <f>PROPER(Sales_Data!K187)</f>
        <v>Home Appliances</v>
      </c>
      <c r="L187" s="66" t="s">
        <v>33</v>
      </c>
      <c r="M187" s="66">
        <v>10</v>
      </c>
      <c r="N187" s="66">
        <v>2200</v>
      </c>
      <c r="O187" s="66">
        <v>5</v>
      </c>
      <c r="P187" s="66">
        <v>20900</v>
      </c>
      <c r="Q187" s="66">
        <v>2</v>
      </c>
      <c r="R187" s="66" t="s">
        <v>48</v>
      </c>
      <c r="S187" s="66" t="s">
        <v>49</v>
      </c>
      <c r="T187" s="66" t="s">
        <v>256</v>
      </c>
      <c r="U187" s="69" t="s">
        <v>959</v>
      </c>
      <c r="V187" s="66" t="s">
        <v>38</v>
      </c>
      <c r="X187" t="str">
        <f>PROPER(Sales_Data!X187)</f>
        <v/>
      </c>
    </row>
    <row r="188" spans="1:24" x14ac:dyDescent="0.3">
      <c r="A188" s="65" t="s">
        <v>960</v>
      </c>
      <c r="B188" s="66" t="s">
        <v>127</v>
      </c>
      <c r="C188" s="66" t="s">
        <v>118</v>
      </c>
      <c r="D188" s="67" t="s">
        <v>692</v>
      </c>
      <c r="E188" s="68" t="s">
        <v>961</v>
      </c>
      <c r="F188" s="66" t="str">
        <f>TRIM(PROPER(Sales_Data!F188))</f>
        <v>Rohit Singh</v>
      </c>
      <c r="G188" s="66" t="s">
        <v>76</v>
      </c>
      <c r="H188" s="66" t="s">
        <v>962</v>
      </c>
      <c r="I188" s="66" t="s">
        <v>114</v>
      </c>
      <c r="J188" s="66" t="str">
        <f>PROPER(Sales_Data!J188)</f>
        <v>West</v>
      </c>
      <c r="K188" s="66" t="str">
        <f>PROPER(Sales_Data!K188)</f>
        <v>Stationery</v>
      </c>
      <c r="L188" s="66" t="s">
        <v>123</v>
      </c>
      <c r="M188" s="66">
        <v>15</v>
      </c>
      <c r="N188" s="66">
        <v>60</v>
      </c>
      <c r="O188" s="66">
        <v>20</v>
      </c>
      <c r="P188" s="66">
        <v>720</v>
      </c>
      <c r="Q188" s="66">
        <v>1</v>
      </c>
      <c r="R188" s="66" t="s">
        <v>79</v>
      </c>
      <c r="S188" s="66" t="s">
        <v>35</v>
      </c>
      <c r="T188" s="66" t="s">
        <v>132</v>
      </c>
      <c r="U188" s="69" t="s">
        <v>963</v>
      </c>
      <c r="V188" s="66" t="s">
        <v>38</v>
      </c>
      <c r="X188" t="str">
        <f>PROPER(Sales_Data!X188)</f>
        <v/>
      </c>
    </row>
    <row r="189" spans="1:24" x14ac:dyDescent="0.3">
      <c r="A189" s="65" t="s">
        <v>964</v>
      </c>
      <c r="B189" s="66" t="s">
        <v>221</v>
      </c>
      <c r="C189" s="66" t="s">
        <v>92</v>
      </c>
      <c r="D189" s="67" t="s">
        <v>231</v>
      </c>
      <c r="E189" s="68" t="s">
        <v>965</v>
      </c>
      <c r="F189" s="66" t="str">
        <f>TRIM(PROPER(Sales_Data!F189))</f>
        <v>Vikas Mehta</v>
      </c>
      <c r="G189" s="66" t="s">
        <v>76</v>
      </c>
      <c r="H189" s="66" t="s">
        <v>966</v>
      </c>
      <c r="I189" s="66" t="s">
        <v>30</v>
      </c>
      <c r="J189" s="66" t="str">
        <f>PROPER(Sales_Data!J189)</f>
        <v>South</v>
      </c>
      <c r="K189" s="66" t="str">
        <f>PROPER(Sales_Data!K189)</f>
        <v>Home Appliances</v>
      </c>
      <c r="L189" s="66" t="s">
        <v>97</v>
      </c>
      <c r="M189" s="66">
        <v>18</v>
      </c>
      <c r="N189" s="66">
        <v>3500</v>
      </c>
      <c r="O189" s="66">
        <v>5</v>
      </c>
      <c r="P189" s="66">
        <v>59850</v>
      </c>
      <c r="Q189" s="66">
        <v>1</v>
      </c>
      <c r="R189" s="66" t="s">
        <v>79</v>
      </c>
      <c r="S189" s="66" t="s">
        <v>49</v>
      </c>
      <c r="T189" s="66" t="s">
        <v>228</v>
      </c>
      <c r="U189" s="69" t="s">
        <v>967</v>
      </c>
      <c r="V189" s="66" t="s">
        <v>69</v>
      </c>
      <c r="X189" t="str">
        <f>PROPER(Sales_Data!X189)</f>
        <v/>
      </c>
    </row>
    <row r="190" spans="1:24" x14ac:dyDescent="0.3">
      <c r="A190" s="65" t="s">
        <v>968</v>
      </c>
      <c r="B190" s="66" t="s">
        <v>327</v>
      </c>
      <c r="C190" s="66" t="s">
        <v>40</v>
      </c>
      <c r="D190" s="67">
        <v>46361</v>
      </c>
      <c r="E190" s="68" t="s">
        <v>970</v>
      </c>
      <c r="F190" s="66" t="str">
        <f>TRIM(PROPER(Sales_Data!F190))</f>
        <v>Amit Sharma</v>
      </c>
      <c r="G190" s="66" t="s">
        <v>76</v>
      </c>
      <c r="H190" s="66" t="s">
        <v>971</v>
      </c>
      <c r="I190" s="66" t="s">
        <v>114</v>
      </c>
      <c r="J190" s="66" t="str">
        <f>PROPER(Sales_Data!J190)</f>
        <v>West</v>
      </c>
      <c r="K190" s="66" t="str">
        <f>PROPER(Sales_Data!K190)</f>
        <v>Electronics</v>
      </c>
      <c r="L190" s="66" t="s">
        <v>47</v>
      </c>
      <c r="M190" s="66">
        <v>6</v>
      </c>
      <c r="N190" s="66">
        <v>12000</v>
      </c>
      <c r="O190" s="66">
        <v>5</v>
      </c>
      <c r="P190" s="66">
        <v>68400</v>
      </c>
      <c r="Q190" s="66">
        <v>1</v>
      </c>
      <c r="R190" s="66" t="s">
        <v>48</v>
      </c>
      <c r="S190" s="66" t="s">
        <v>49</v>
      </c>
      <c r="T190" s="66" t="s">
        <v>332</v>
      </c>
      <c r="U190" s="69" t="s">
        <v>972</v>
      </c>
      <c r="V190" s="66" t="s">
        <v>69</v>
      </c>
      <c r="X190" t="str">
        <f>PROPER(Sales_Data!X190)</f>
        <v/>
      </c>
    </row>
    <row r="191" spans="1:24" x14ac:dyDescent="0.3">
      <c r="A191" s="65" t="s">
        <v>973</v>
      </c>
      <c r="B191" s="66" t="s">
        <v>327</v>
      </c>
      <c r="C191" s="66" t="s">
        <v>222</v>
      </c>
      <c r="D191" s="67" t="s">
        <v>323</v>
      </c>
      <c r="E191" s="68" t="s">
        <v>479</v>
      </c>
      <c r="F191" s="66" t="str">
        <f>TRIM(PROPER(Sales_Data!F191))</f>
        <v>Amit Sharma</v>
      </c>
      <c r="G191" s="66" t="s">
        <v>76</v>
      </c>
      <c r="H191" s="66" t="s">
        <v>974</v>
      </c>
      <c r="I191" s="66" t="s">
        <v>59</v>
      </c>
      <c r="J191" s="66" t="str">
        <f>PROPER(Sales_Data!J191)</f>
        <v>South</v>
      </c>
      <c r="K191" s="66" t="str">
        <f>PROPER(Sales_Data!K191)</f>
        <v>Stationery</v>
      </c>
      <c r="L191" s="66" t="s">
        <v>227</v>
      </c>
      <c r="M191" s="66">
        <v>19</v>
      </c>
      <c r="N191" s="66">
        <v>20</v>
      </c>
      <c r="O191" s="66">
        <v>10</v>
      </c>
      <c r="P191" s="66">
        <v>342</v>
      </c>
      <c r="Q191" s="66">
        <v>2</v>
      </c>
      <c r="R191" s="66" t="s">
        <v>48</v>
      </c>
      <c r="S191" s="66" t="s">
        <v>35</v>
      </c>
      <c r="T191" s="66" t="s">
        <v>332</v>
      </c>
      <c r="U191" s="69" t="s">
        <v>975</v>
      </c>
      <c r="V191" s="66" t="s">
        <v>64</v>
      </c>
      <c r="X191" t="str">
        <f>PROPER(Sales_Data!X191)</f>
        <v/>
      </c>
    </row>
    <row r="192" spans="1:24" x14ac:dyDescent="0.3">
      <c r="A192" s="65" t="s">
        <v>976</v>
      </c>
      <c r="B192" s="66" t="s">
        <v>221</v>
      </c>
      <c r="C192" s="66" t="s">
        <v>24</v>
      </c>
      <c r="D192" s="67" t="s">
        <v>426</v>
      </c>
      <c r="E192" s="68" t="s">
        <v>427</v>
      </c>
      <c r="F192" s="66" t="str">
        <f>TRIM(PROPER(Sales_Data!F192))</f>
        <v>Vikas Mehta</v>
      </c>
      <c r="G192" s="66" t="s">
        <v>76</v>
      </c>
      <c r="H192" s="66" t="s">
        <v>977</v>
      </c>
      <c r="I192" s="66" t="s">
        <v>114</v>
      </c>
      <c r="J192" s="66" t="str">
        <f>PROPER(Sales_Data!J192)</f>
        <v>West</v>
      </c>
      <c r="K192" s="66" t="str">
        <f>PROPER(Sales_Data!K192)</f>
        <v>Home Appliances</v>
      </c>
      <c r="L192" s="66" t="s">
        <v>33</v>
      </c>
      <c r="M192" s="66">
        <v>7</v>
      </c>
      <c r="N192" s="66">
        <v>2200</v>
      </c>
      <c r="O192" s="66">
        <v>0</v>
      </c>
      <c r="P192" s="66">
        <v>15400</v>
      </c>
      <c r="Q192" s="66">
        <v>1</v>
      </c>
      <c r="R192" s="66" t="s">
        <v>79</v>
      </c>
      <c r="S192" s="66" t="s">
        <v>115</v>
      </c>
      <c r="T192" s="66" t="s">
        <v>228</v>
      </c>
      <c r="U192" s="69" t="s">
        <v>978</v>
      </c>
      <c r="V192" s="66" t="s">
        <v>69</v>
      </c>
      <c r="X192" t="str">
        <f>PROPER(Sales_Data!X192)</f>
        <v/>
      </c>
    </row>
    <row r="193" spans="1:24" x14ac:dyDescent="0.3">
      <c r="A193" s="65" t="s">
        <v>979</v>
      </c>
      <c r="B193" s="66" t="s">
        <v>327</v>
      </c>
      <c r="C193" s="66" t="s">
        <v>40</v>
      </c>
      <c r="D193" s="67" t="s">
        <v>503</v>
      </c>
      <c r="E193" s="68" t="s">
        <v>980</v>
      </c>
      <c r="F193" s="66" t="str">
        <f>TRIM(PROPER(Sales_Data!F193))</f>
        <v>Amit Sharma</v>
      </c>
      <c r="G193" s="66" t="s">
        <v>76</v>
      </c>
      <c r="H193" s="66" t="s">
        <v>981</v>
      </c>
      <c r="I193" s="66" t="s">
        <v>212</v>
      </c>
      <c r="J193" s="66" t="str">
        <f>PROPER(Sales_Data!J193)</f>
        <v>North</v>
      </c>
      <c r="K193" s="66" t="str">
        <f>PROPER(Sales_Data!K193)</f>
        <v>Electronics</v>
      </c>
      <c r="L193" s="66" t="s">
        <v>47</v>
      </c>
      <c r="M193" s="66">
        <v>3</v>
      </c>
      <c r="N193" s="66">
        <v>12000</v>
      </c>
      <c r="O193" s="66">
        <v>5</v>
      </c>
      <c r="P193" s="66">
        <v>34200</v>
      </c>
      <c r="Q193" s="66">
        <v>3</v>
      </c>
      <c r="R193" s="66" t="s">
        <v>79</v>
      </c>
      <c r="S193" s="66" t="s">
        <v>61</v>
      </c>
      <c r="T193" s="66" t="s">
        <v>332</v>
      </c>
      <c r="U193" s="69" t="s">
        <v>982</v>
      </c>
      <c r="V193" s="66" t="s">
        <v>69</v>
      </c>
      <c r="X193" t="str">
        <f>PROPER(Sales_Data!X193)</f>
        <v/>
      </c>
    </row>
    <row r="194" spans="1:24" x14ac:dyDescent="0.3">
      <c r="A194" s="65" t="s">
        <v>983</v>
      </c>
      <c r="B194" s="66" t="s">
        <v>168</v>
      </c>
      <c r="C194" s="66" t="s">
        <v>24</v>
      </c>
      <c r="D194" s="67" t="s">
        <v>341</v>
      </c>
      <c r="E194" s="68" t="s">
        <v>864</v>
      </c>
      <c r="F194" s="66" t="str">
        <f>TRIM(PROPER(Sales_Data!F194))</f>
        <v>Anita Gupta</v>
      </c>
      <c r="G194" s="66" t="s">
        <v>28</v>
      </c>
      <c r="H194" s="66" t="s">
        <v>984</v>
      </c>
      <c r="I194" s="66" t="s">
        <v>212</v>
      </c>
      <c r="J194" s="66" t="str">
        <f>PROPER(Sales_Data!J194)</f>
        <v>North</v>
      </c>
      <c r="K194" s="66" t="str">
        <f>PROPER(Sales_Data!K194)</f>
        <v>Home Appliances</v>
      </c>
      <c r="L194" s="66" t="s">
        <v>33</v>
      </c>
      <c r="M194" s="66">
        <v>16</v>
      </c>
      <c r="N194" s="66">
        <v>2200</v>
      </c>
      <c r="O194" s="66">
        <v>0</v>
      </c>
      <c r="P194" s="66">
        <v>35200</v>
      </c>
      <c r="Q194" s="66">
        <v>5</v>
      </c>
      <c r="R194" s="66" t="s">
        <v>79</v>
      </c>
      <c r="S194" s="66" t="s">
        <v>35</v>
      </c>
      <c r="T194" s="66" t="s">
        <v>175</v>
      </c>
      <c r="U194" s="69" t="s">
        <v>985</v>
      </c>
      <c r="V194" s="66" t="s">
        <v>64</v>
      </c>
      <c r="X194" t="str">
        <f>PROPER(Sales_Data!X194)</f>
        <v/>
      </c>
    </row>
    <row r="195" spans="1:24" x14ac:dyDescent="0.3">
      <c r="A195" s="65" t="s">
        <v>986</v>
      </c>
      <c r="B195" s="66" t="s">
        <v>251</v>
      </c>
      <c r="C195" s="66" t="s">
        <v>24</v>
      </c>
      <c r="D195" s="67" t="s">
        <v>987</v>
      </c>
      <c r="E195" s="68" t="s">
        <v>988</v>
      </c>
      <c r="F195" s="66" t="str">
        <f>TRIM(PROPER(Sales_Data!F195))</f>
        <v>Sneha Joshi</v>
      </c>
      <c r="G195" s="66" t="s">
        <v>28</v>
      </c>
      <c r="H195" s="66" t="s">
        <v>989</v>
      </c>
      <c r="I195" s="66" t="s">
        <v>44</v>
      </c>
      <c r="J195" s="66" t="str">
        <f>PROPER(Sales_Data!J195)</f>
        <v>North</v>
      </c>
      <c r="K195" s="66" t="str">
        <f>PROPER(Sales_Data!K195)</f>
        <v>Home Appliances</v>
      </c>
      <c r="L195" s="66" t="s">
        <v>33</v>
      </c>
      <c r="M195" s="66">
        <v>8</v>
      </c>
      <c r="N195" s="66">
        <v>2200</v>
      </c>
      <c r="O195" s="66">
        <v>5</v>
      </c>
      <c r="P195" s="66">
        <v>16720</v>
      </c>
      <c r="Q195" s="66">
        <v>2</v>
      </c>
      <c r="R195" s="66" t="s">
        <v>88</v>
      </c>
      <c r="S195" s="66" t="s">
        <v>151</v>
      </c>
      <c r="T195" s="66" t="s">
        <v>256</v>
      </c>
      <c r="U195" s="69" t="s">
        <v>990</v>
      </c>
      <c r="V195" s="66" t="s">
        <v>38</v>
      </c>
      <c r="X195" t="str">
        <f>PROPER(Sales_Data!X195)</f>
        <v/>
      </c>
    </row>
    <row r="196" spans="1:24" x14ac:dyDescent="0.3">
      <c r="A196" s="65" t="s">
        <v>991</v>
      </c>
      <c r="B196" s="66" t="s">
        <v>251</v>
      </c>
      <c r="C196" s="66" t="s">
        <v>24</v>
      </c>
      <c r="D196" s="67">
        <v>45973</v>
      </c>
      <c r="E196" s="68" t="s">
        <v>454</v>
      </c>
      <c r="F196" s="66" t="str">
        <f>TRIM(PROPER(Sales_Data!F196))</f>
        <v>Sneha Joshi</v>
      </c>
      <c r="G196" s="66" t="s">
        <v>28</v>
      </c>
      <c r="H196" s="66" t="s">
        <v>992</v>
      </c>
      <c r="I196" s="66" t="s">
        <v>138</v>
      </c>
      <c r="J196" s="66" t="str">
        <f>PROPER(Sales_Data!J196)</f>
        <v>West</v>
      </c>
      <c r="K196" s="66" t="str">
        <f>PROPER(Sales_Data!K196)</f>
        <v>Home Appliances</v>
      </c>
      <c r="L196" s="66" t="s">
        <v>33</v>
      </c>
      <c r="M196" s="66">
        <v>10</v>
      </c>
      <c r="N196" s="66">
        <v>2200</v>
      </c>
      <c r="O196" s="66">
        <v>10</v>
      </c>
      <c r="P196" s="66">
        <v>19800</v>
      </c>
      <c r="Q196" s="66">
        <v>5</v>
      </c>
      <c r="R196" s="66" t="s">
        <v>48</v>
      </c>
      <c r="S196" s="66" t="s">
        <v>115</v>
      </c>
      <c r="T196" s="66" t="s">
        <v>256</v>
      </c>
      <c r="U196" s="69" t="s">
        <v>993</v>
      </c>
      <c r="V196" s="66" t="s">
        <v>64</v>
      </c>
      <c r="X196" t="str">
        <f>PROPER(Sales_Data!X196)</f>
        <v/>
      </c>
    </row>
    <row r="197" spans="1:24" x14ac:dyDescent="0.3">
      <c r="A197" s="65" t="s">
        <v>994</v>
      </c>
      <c r="B197" s="66" t="s">
        <v>83</v>
      </c>
      <c r="C197" s="66" t="s">
        <v>222</v>
      </c>
      <c r="D197" s="67" t="s">
        <v>336</v>
      </c>
      <c r="E197" s="68" t="s">
        <v>596</v>
      </c>
      <c r="F197" s="66" t="str">
        <f>TRIM(PROPER(Sales_Data!F197))</f>
        <v>Arjun Rao</v>
      </c>
      <c r="G197" s="66" t="s">
        <v>76</v>
      </c>
      <c r="H197" s="66" t="s">
        <v>995</v>
      </c>
      <c r="I197" s="66" t="s">
        <v>44</v>
      </c>
      <c r="J197" s="66" t="str">
        <f>PROPER(Sales_Data!J197)</f>
        <v>North</v>
      </c>
      <c r="K197" s="66" t="str">
        <f>PROPER(Sales_Data!K197)</f>
        <v>Stationery</v>
      </c>
      <c r="L197" s="66" t="s">
        <v>227</v>
      </c>
      <c r="M197" s="66">
        <v>7</v>
      </c>
      <c r="N197" s="66">
        <v>20</v>
      </c>
      <c r="O197" s="66">
        <v>10</v>
      </c>
      <c r="P197" s="66">
        <v>126</v>
      </c>
      <c r="Q197" s="66">
        <v>4</v>
      </c>
      <c r="R197" s="66" t="s">
        <v>79</v>
      </c>
      <c r="S197" s="66" t="s">
        <v>61</v>
      </c>
      <c r="T197" s="66" t="s">
        <v>89</v>
      </c>
      <c r="U197" s="69" t="s">
        <v>996</v>
      </c>
      <c r="V197" s="66" t="s">
        <v>38</v>
      </c>
      <c r="X197" t="str">
        <f>PROPER(Sales_Data!X197)</f>
        <v/>
      </c>
    </row>
    <row r="198" spans="1:24" x14ac:dyDescent="0.3">
      <c r="A198" s="65" t="s">
        <v>997</v>
      </c>
      <c r="B198" s="66" t="s">
        <v>221</v>
      </c>
      <c r="C198" s="66" t="s">
        <v>169</v>
      </c>
      <c r="D198" s="67">
        <v>46327</v>
      </c>
      <c r="E198" s="68" t="s">
        <v>998</v>
      </c>
      <c r="F198" s="66" t="str">
        <f>TRIM(PROPER(Sales_Data!F198))</f>
        <v>Vikas Mehta</v>
      </c>
      <c r="G198" s="66" t="s">
        <v>76</v>
      </c>
      <c r="H198" s="66" t="s">
        <v>999</v>
      </c>
      <c r="I198" s="66" t="s">
        <v>30</v>
      </c>
      <c r="J198" s="66" t="str">
        <f>PROPER(Sales_Data!J198)</f>
        <v>South</v>
      </c>
      <c r="K198" s="66" t="str">
        <f>PROPER(Sales_Data!K198)</f>
        <v>Home Appliances</v>
      </c>
      <c r="L198" s="66" t="s">
        <v>174</v>
      </c>
      <c r="M198" s="66">
        <v>19</v>
      </c>
      <c r="N198" s="66">
        <v>8500</v>
      </c>
      <c r="O198" s="66">
        <v>20</v>
      </c>
      <c r="P198" s="66">
        <v>129200</v>
      </c>
      <c r="Q198" s="66">
        <v>3</v>
      </c>
      <c r="R198" s="66" t="s">
        <v>48</v>
      </c>
      <c r="S198" s="66" t="s">
        <v>61</v>
      </c>
      <c r="T198" s="66" t="s">
        <v>228</v>
      </c>
      <c r="U198" s="69" t="s">
        <v>1000</v>
      </c>
      <c r="V198" s="66" t="s">
        <v>64</v>
      </c>
      <c r="X198" t="str">
        <f>PROPER(Sales_Data!X198)</f>
        <v/>
      </c>
    </row>
    <row r="199" spans="1:24" x14ac:dyDescent="0.3">
      <c r="A199" s="65" t="s">
        <v>1001</v>
      </c>
      <c r="B199" s="66" t="s">
        <v>100</v>
      </c>
      <c r="C199" s="66" t="s">
        <v>118</v>
      </c>
      <c r="D199" s="67">
        <v>45660</v>
      </c>
      <c r="E199" s="68" t="s">
        <v>414</v>
      </c>
      <c r="F199" s="66" t="str">
        <f>TRIM(PROPER(Sales_Data!F199))</f>
        <v>Priya Patel</v>
      </c>
      <c r="G199" s="66" t="s">
        <v>28</v>
      </c>
      <c r="H199" s="66" t="s">
        <v>1002</v>
      </c>
      <c r="I199" s="66" t="s">
        <v>114</v>
      </c>
      <c r="J199" s="66" t="str">
        <f>PROPER(Sales_Data!J199)</f>
        <v>West</v>
      </c>
      <c r="K199" s="66" t="str">
        <f>PROPER(Sales_Data!K199)</f>
        <v>Stationery</v>
      </c>
      <c r="L199" s="66" t="s">
        <v>123</v>
      </c>
      <c r="M199" s="66">
        <v>16</v>
      </c>
      <c r="N199" s="66">
        <v>60</v>
      </c>
      <c r="O199" s="66">
        <v>0</v>
      </c>
      <c r="P199" s="66">
        <v>960</v>
      </c>
      <c r="Q199" s="66">
        <v>2</v>
      </c>
      <c r="R199" s="66" t="s">
        <v>48</v>
      </c>
      <c r="S199" s="66" t="s">
        <v>115</v>
      </c>
      <c r="T199" s="66" t="s">
        <v>144</v>
      </c>
      <c r="U199" s="69" t="s">
        <v>1003</v>
      </c>
      <c r="V199" s="66" t="s">
        <v>38</v>
      </c>
      <c r="X199" t="str">
        <f>PROPER(Sales_Data!X199)</f>
        <v/>
      </c>
    </row>
    <row r="200" spans="1:24" x14ac:dyDescent="0.3">
      <c r="A200" s="65" t="s">
        <v>1004</v>
      </c>
      <c r="B200" s="66" t="s">
        <v>221</v>
      </c>
      <c r="C200" s="66" t="s">
        <v>92</v>
      </c>
      <c r="D200" s="67" t="s">
        <v>1005</v>
      </c>
      <c r="E200" s="68" t="s">
        <v>731</v>
      </c>
      <c r="F200" s="66" t="str">
        <f>TRIM(PROPER(Sales_Data!F200))</f>
        <v>Vikas Mehta</v>
      </c>
      <c r="G200" s="66" t="s">
        <v>76</v>
      </c>
      <c r="H200" s="66" t="s">
        <v>1006</v>
      </c>
      <c r="I200" s="66" t="s">
        <v>59</v>
      </c>
      <c r="J200" s="66" t="str">
        <f>PROPER(Sales_Data!J200)</f>
        <v>South</v>
      </c>
      <c r="K200" s="66" t="str">
        <f>PROPER(Sales_Data!K200)</f>
        <v>Stationery</v>
      </c>
      <c r="L200" s="66" t="s">
        <v>97</v>
      </c>
      <c r="M200" s="66">
        <v>18</v>
      </c>
      <c r="N200" s="66">
        <v>3500</v>
      </c>
      <c r="O200" s="66">
        <v>5</v>
      </c>
      <c r="P200" s="66">
        <v>59850</v>
      </c>
      <c r="Q200" s="66">
        <v>1</v>
      </c>
      <c r="R200" s="66" t="s">
        <v>88</v>
      </c>
      <c r="S200" s="66" t="s">
        <v>115</v>
      </c>
      <c r="T200" s="66" t="s">
        <v>228</v>
      </c>
      <c r="U200" s="69" t="s">
        <v>1008</v>
      </c>
      <c r="V200" s="66" t="s">
        <v>64</v>
      </c>
      <c r="X200" t="str">
        <f>PROPER(Sales_Data!X200)</f>
        <v/>
      </c>
    </row>
    <row r="201" spans="1:24" x14ac:dyDescent="0.3">
      <c r="A201" s="65" t="s">
        <v>1009</v>
      </c>
      <c r="B201" s="66" t="s">
        <v>100</v>
      </c>
      <c r="C201" s="66" t="s">
        <v>54</v>
      </c>
      <c r="D201" s="67" t="s">
        <v>1010</v>
      </c>
      <c r="E201" s="68" t="s">
        <v>431</v>
      </c>
      <c r="F201" s="66" t="str">
        <f>TRIM(PROPER(Sales_Data!F201))</f>
        <v>Priya Patel</v>
      </c>
      <c r="G201" s="66" t="s">
        <v>28</v>
      </c>
      <c r="H201" s="66" t="s">
        <v>1011</v>
      </c>
      <c r="I201" s="66" t="s">
        <v>212</v>
      </c>
      <c r="J201" s="66" t="str">
        <f>PROPER(Sales_Data!J201)</f>
        <v>North</v>
      </c>
      <c r="K201" s="66" t="str">
        <f>PROPER(Sales_Data!K201)</f>
        <v>Electronics</v>
      </c>
      <c r="L201" s="66" t="s">
        <v>60</v>
      </c>
      <c r="M201" s="66">
        <v>16</v>
      </c>
      <c r="N201" s="66">
        <v>55000</v>
      </c>
      <c r="O201" s="66">
        <v>0</v>
      </c>
      <c r="P201" s="66">
        <v>880000</v>
      </c>
      <c r="Q201" s="66">
        <v>1</v>
      </c>
      <c r="R201" s="66" t="s">
        <v>79</v>
      </c>
      <c r="S201" s="66" t="s">
        <v>61</v>
      </c>
      <c r="T201" s="66" t="s">
        <v>144</v>
      </c>
      <c r="U201" s="69" t="s">
        <v>1012</v>
      </c>
      <c r="V201" s="66" t="s">
        <v>69</v>
      </c>
      <c r="X201" t="str">
        <f>PROPER(Sales_Data!X201)</f>
        <v/>
      </c>
    </row>
    <row r="202" spans="1:24" x14ac:dyDescent="0.3">
      <c r="A202" s="65" t="s">
        <v>1013</v>
      </c>
      <c r="B202" s="66" t="s">
        <v>221</v>
      </c>
      <c r="C202" s="66" t="s">
        <v>72</v>
      </c>
      <c r="D202" s="67">
        <v>45810</v>
      </c>
      <c r="E202" s="68" t="s">
        <v>435</v>
      </c>
      <c r="F202" s="66" t="str">
        <f>TRIM(PROPER(Sales_Data!F202))</f>
        <v>Vikas Mehta</v>
      </c>
      <c r="G202" s="66" t="s">
        <v>76</v>
      </c>
      <c r="H202" s="66" t="s">
        <v>1014</v>
      </c>
      <c r="I202" s="66" t="s">
        <v>138</v>
      </c>
      <c r="J202" s="66" t="str">
        <f>PROPER(Sales_Data!J202)</f>
        <v>West</v>
      </c>
      <c r="K202" s="66" t="str">
        <f>PROPER(Sales_Data!K202)</f>
        <v>Electronics</v>
      </c>
      <c r="L202" s="66" t="s">
        <v>78</v>
      </c>
      <c r="M202" s="66">
        <v>18</v>
      </c>
      <c r="N202" s="66">
        <v>1200</v>
      </c>
      <c r="O202" s="66">
        <v>15</v>
      </c>
      <c r="P202" s="66">
        <v>18360</v>
      </c>
      <c r="Q202" s="66">
        <v>2</v>
      </c>
      <c r="R202" s="66" t="s">
        <v>48</v>
      </c>
      <c r="S202" s="66" t="s">
        <v>35</v>
      </c>
      <c r="T202" s="66" t="s">
        <v>228</v>
      </c>
      <c r="U202" s="69" t="s">
        <v>1015</v>
      </c>
      <c r="V202" s="66" t="s">
        <v>69</v>
      </c>
      <c r="X202" t="str">
        <f>PROPER(Sales_Data!X202)</f>
        <v/>
      </c>
    </row>
    <row r="203" spans="1:24" x14ac:dyDescent="0.3">
      <c r="A203" s="65" t="s">
        <v>1016</v>
      </c>
      <c r="B203" s="66" t="s">
        <v>71</v>
      </c>
      <c r="C203" s="66" t="s">
        <v>259</v>
      </c>
      <c r="D203" s="67" t="s">
        <v>1017</v>
      </c>
      <c r="E203" s="68" t="s">
        <v>1018</v>
      </c>
      <c r="F203" s="66" t="str">
        <f>TRIM(PROPER(Sales_Data!F203))</f>
        <v>Mohit Verma</v>
      </c>
      <c r="G203" s="66" t="s">
        <v>76</v>
      </c>
      <c r="H203" s="66" t="s">
        <v>1019</v>
      </c>
      <c r="I203" s="66" t="s">
        <v>30</v>
      </c>
      <c r="J203" s="66" t="str">
        <f>PROPER(Sales_Data!J203)</f>
        <v>South</v>
      </c>
      <c r="K203" s="66" t="str">
        <f>PROPER(Sales_Data!K203)</f>
        <v>Stationery</v>
      </c>
      <c r="L203" s="66" t="s">
        <v>263</v>
      </c>
      <c r="M203" s="66">
        <v>2</v>
      </c>
      <c r="N203" s="66">
        <v>45</v>
      </c>
      <c r="O203" s="66">
        <v>15</v>
      </c>
      <c r="P203" s="66">
        <v>76.5</v>
      </c>
      <c r="Q203" s="66">
        <v>5</v>
      </c>
      <c r="R203" s="66" t="s">
        <v>34</v>
      </c>
      <c r="S203" s="66" t="s">
        <v>61</v>
      </c>
      <c r="T203" s="66" t="s">
        <v>80</v>
      </c>
      <c r="U203" s="69" t="s">
        <v>1020</v>
      </c>
      <c r="V203" s="66" t="s">
        <v>69</v>
      </c>
      <c r="X203" t="str">
        <f>PROPER(Sales_Data!X203)</f>
        <v/>
      </c>
    </row>
    <row r="204" spans="1:24" x14ac:dyDescent="0.3">
      <c r="A204" s="65" t="s">
        <v>1021</v>
      </c>
      <c r="B204" s="66" t="s">
        <v>53</v>
      </c>
      <c r="C204" s="66" t="s">
        <v>169</v>
      </c>
      <c r="D204" s="67">
        <v>46174</v>
      </c>
      <c r="E204" s="68" t="s">
        <v>85</v>
      </c>
      <c r="F204" s="66" t="str">
        <f>TRIM(PROPER(Sales_Data!F204))</f>
        <v>Pooja Shah</v>
      </c>
      <c r="G204" s="66" t="s">
        <v>28</v>
      </c>
      <c r="H204" s="66" t="s">
        <v>1022</v>
      </c>
      <c r="I204" s="66" t="s">
        <v>59</v>
      </c>
      <c r="J204" s="66" t="str">
        <f>PROPER(Sales_Data!J204)</f>
        <v>South</v>
      </c>
      <c r="K204" s="66" t="str">
        <f>PROPER(Sales_Data!K204)</f>
        <v>Home Appliances</v>
      </c>
      <c r="L204" s="66" t="s">
        <v>174</v>
      </c>
      <c r="M204" s="66">
        <v>20</v>
      </c>
      <c r="N204" s="66">
        <v>8500</v>
      </c>
      <c r="O204" s="66">
        <v>0</v>
      </c>
      <c r="P204" s="66">
        <v>170000</v>
      </c>
      <c r="Q204" s="66">
        <v>4</v>
      </c>
      <c r="R204" s="66" t="s">
        <v>48</v>
      </c>
      <c r="S204" s="66" t="s">
        <v>61</v>
      </c>
      <c r="T204" s="66" t="s">
        <v>62</v>
      </c>
      <c r="U204" s="69" t="s">
        <v>1023</v>
      </c>
      <c r="V204" s="66" t="s">
        <v>69</v>
      </c>
      <c r="X204" t="str">
        <f>PROPER(Sales_Data!X204)</f>
        <v/>
      </c>
    </row>
    <row r="205" spans="1:24" x14ac:dyDescent="0.3">
      <c r="A205" s="65" t="s">
        <v>1024</v>
      </c>
      <c r="B205" s="66" t="s">
        <v>127</v>
      </c>
      <c r="C205" s="66" t="s">
        <v>92</v>
      </c>
      <c r="D205" s="67">
        <v>46237</v>
      </c>
      <c r="E205" s="68" t="s">
        <v>1025</v>
      </c>
      <c r="F205" s="66" t="str">
        <f>TRIM(PROPER(Sales_Data!F205))</f>
        <v>Rohit Singh</v>
      </c>
      <c r="G205" s="66" t="s">
        <v>76</v>
      </c>
      <c r="H205" s="66" t="s">
        <v>494</v>
      </c>
      <c r="I205" s="66" t="s">
        <v>212</v>
      </c>
      <c r="J205" s="66" t="str">
        <f>PROPER(Sales_Data!J205)</f>
        <v>North</v>
      </c>
      <c r="K205" s="66" t="str">
        <f>PROPER(Sales_Data!K205)</f>
        <v>Home Appliances</v>
      </c>
      <c r="L205" s="66" t="s">
        <v>97</v>
      </c>
      <c r="M205" s="66">
        <v>6</v>
      </c>
      <c r="N205" s="66">
        <v>3500</v>
      </c>
      <c r="O205" s="66">
        <v>5</v>
      </c>
      <c r="P205" s="66">
        <v>19950</v>
      </c>
      <c r="Q205" s="66">
        <v>1</v>
      </c>
      <c r="R205" s="66" t="s">
        <v>34</v>
      </c>
      <c r="S205" s="66" t="s">
        <v>151</v>
      </c>
      <c r="T205" s="66" t="s">
        <v>132</v>
      </c>
      <c r="U205" s="69" t="s">
        <v>1026</v>
      </c>
      <c r="V205" s="66" t="s">
        <v>38</v>
      </c>
      <c r="X205" t="str">
        <f>PROPER(Sales_Data!X205)</f>
        <v/>
      </c>
    </row>
    <row r="206" spans="1:24" x14ac:dyDescent="0.3">
      <c r="A206" s="65" t="s">
        <v>1027</v>
      </c>
      <c r="B206" s="66" t="s">
        <v>168</v>
      </c>
      <c r="C206" s="66" t="s">
        <v>259</v>
      </c>
      <c r="D206" s="67">
        <v>45787</v>
      </c>
      <c r="E206" s="68" t="s">
        <v>281</v>
      </c>
      <c r="F206" s="66" t="str">
        <f>TRIM(PROPER(Sales_Data!F206))</f>
        <v>Anita Gupta</v>
      </c>
      <c r="G206" s="66" t="s">
        <v>28</v>
      </c>
      <c r="H206" s="66" t="s">
        <v>1028</v>
      </c>
      <c r="I206" s="66" t="s">
        <v>114</v>
      </c>
      <c r="J206" s="66" t="str">
        <f>PROPER(Sales_Data!J206)</f>
        <v>West</v>
      </c>
      <c r="K206" s="66" t="str">
        <f>PROPER(Sales_Data!K206)</f>
        <v>Stationery</v>
      </c>
      <c r="L206" s="66" t="s">
        <v>263</v>
      </c>
      <c r="M206" s="66">
        <v>8</v>
      </c>
      <c r="N206" s="66">
        <v>45</v>
      </c>
      <c r="O206" s="66">
        <v>5</v>
      </c>
      <c r="P206" s="66">
        <v>342</v>
      </c>
      <c r="Q206" s="66">
        <v>2</v>
      </c>
      <c r="R206" s="66" t="s">
        <v>34</v>
      </c>
      <c r="S206" s="66" t="s">
        <v>49</v>
      </c>
      <c r="T206" s="66" t="s">
        <v>175</v>
      </c>
      <c r="U206" s="69" t="s">
        <v>1029</v>
      </c>
      <c r="V206" s="66" t="s">
        <v>64</v>
      </c>
      <c r="X206" t="str">
        <f>PROPER(Sales_Data!X206)</f>
        <v/>
      </c>
    </row>
    <row r="207" spans="1:24" x14ac:dyDescent="0.3">
      <c r="A207" s="65" t="s">
        <v>1030</v>
      </c>
      <c r="B207" s="66" t="s">
        <v>327</v>
      </c>
      <c r="C207" s="66" t="s">
        <v>24</v>
      </c>
      <c r="D207" s="67">
        <v>45811</v>
      </c>
      <c r="E207" s="68" t="s">
        <v>1031</v>
      </c>
      <c r="F207" s="66" t="str">
        <f>TRIM(PROPER(Sales_Data!F207))</f>
        <v>Amit Sharma</v>
      </c>
      <c r="G207" s="66" t="s">
        <v>76</v>
      </c>
      <c r="H207" s="66" t="s">
        <v>1032</v>
      </c>
      <c r="I207" s="66" t="s">
        <v>105</v>
      </c>
      <c r="J207" s="66" t="str">
        <f>PROPER(Sales_Data!J207)</f>
        <v>West</v>
      </c>
      <c r="K207" s="66" t="str">
        <f>PROPER(Sales_Data!K207)</f>
        <v>Home Appliances</v>
      </c>
      <c r="L207" s="66" t="s">
        <v>33</v>
      </c>
      <c r="M207" s="66">
        <v>18</v>
      </c>
      <c r="N207" s="66">
        <v>2200</v>
      </c>
      <c r="O207" s="66">
        <v>15</v>
      </c>
      <c r="P207" s="66">
        <v>33660</v>
      </c>
      <c r="Q207" s="66">
        <v>4</v>
      </c>
      <c r="R207" s="66" t="s">
        <v>79</v>
      </c>
      <c r="S207" s="66" t="s">
        <v>61</v>
      </c>
      <c r="T207" s="66" t="s">
        <v>332</v>
      </c>
      <c r="U207" s="69" t="s">
        <v>1033</v>
      </c>
      <c r="V207" s="66" t="s">
        <v>64</v>
      </c>
      <c r="X207" t="str">
        <f>PROPER(Sales_Data!X207)</f>
        <v/>
      </c>
    </row>
    <row r="208" spans="1:24" x14ac:dyDescent="0.3">
      <c r="A208" s="65" t="s">
        <v>1034</v>
      </c>
      <c r="B208" s="66" t="s">
        <v>221</v>
      </c>
      <c r="C208" s="66" t="s">
        <v>184</v>
      </c>
      <c r="D208" s="67">
        <v>46177</v>
      </c>
      <c r="E208" s="68" t="s">
        <v>1005</v>
      </c>
      <c r="F208" s="66" t="str">
        <f>TRIM(PROPER(Sales_Data!F208))</f>
        <v>Vikas Mehta</v>
      </c>
      <c r="G208" s="66" t="s">
        <v>76</v>
      </c>
      <c r="H208" s="66" t="s">
        <v>1036</v>
      </c>
      <c r="I208" s="66" t="s">
        <v>30</v>
      </c>
      <c r="J208" s="66" t="str">
        <f>PROPER(Sales_Data!J208)</f>
        <v>South</v>
      </c>
      <c r="K208" s="66" t="str">
        <f>PROPER(Sales_Data!K208)</f>
        <v>Electronics</v>
      </c>
      <c r="L208" s="66" t="s">
        <v>189</v>
      </c>
      <c r="M208" s="66">
        <v>18</v>
      </c>
      <c r="N208" s="66">
        <v>700</v>
      </c>
      <c r="O208" s="66">
        <v>15</v>
      </c>
      <c r="P208" s="66">
        <v>10710</v>
      </c>
      <c r="Q208" s="66">
        <v>3</v>
      </c>
      <c r="R208" s="66" t="s">
        <v>79</v>
      </c>
      <c r="S208" s="66" t="s">
        <v>151</v>
      </c>
      <c r="T208" s="66" t="s">
        <v>228</v>
      </c>
      <c r="U208" s="69" t="s">
        <v>1037</v>
      </c>
      <c r="V208" s="66" t="s">
        <v>69</v>
      </c>
      <c r="X208" t="str">
        <f>PROPER(Sales_Data!X208)</f>
        <v/>
      </c>
    </row>
    <row r="209" spans="1:24" x14ac:dyDescent="0.3">
      <c r="A209" s="65" t="s">
        <v>1038</v>
      </c>
      <c r="B209" s="66" t="s">
        <v>327</v>
      </c>
      <c r="C209" s="66" t="s">
        <v>54</v>
      </c>
      <c r="D209" s="67" t="s">
        <v>1039</v>
      </c>
      <c r="E209" s="68" t="s">
        <v>1040</v>
      </c>
      <c r="F209" s="66" t="str">
        <f>TRIM(PROPER(Sales_Data!F209))</f>
        <v>Amit Sharma</v>
      </c>
      <c r="G209" s="66" t="s">
        <v>76</v>
      </c>
      <c r="H209" s="66" t="s">
        <v>1041</v>
      </c>
      <c r="I209" s="66" t="s">
        <v>114</v>
      </c>
      <c r="J209" s="66" t="str">
        <f>PROPER(Sales_Data!J209)</f>
        <v>West</v>
      </c>
      <c r="K209" s="66" t="str">
        <f>PROPER(Sales_Data!K209)</f>
        <v>Electronics</v>
      </c>
      <c r="L209" s="66" t="s">
        <v>60</v>
      </c>
      <c r="M209" s="66">
        <v>12</v>
      </c>
      <c r="N209" s="66">
        <v>55000</v>
      </c>
      <c r="O209" s="66">
        <v>0</v>
      </c>
      <c r="P209" s="66">
        <v>660000</v>
      </c>
      <c r="Q209" s="66">
        <v>2</v>
      </c>
      <c r="R209" s="66" t="s">
        <v>88</v>
      </c>
      <c r="S209" s="66" t="s">
        <v>49</v>
      </c>
      <c r="T209" s="66" t="s">
        <v>332</v>
      </c>
      <c r="U209" s="69" t="s">
        <v>1042</v>
      </c>
      <c r="V209" s="66" t="s">
        <v>69</v>
      </c>
      <c r="X209" t="str">
        <f>PROPER(Sales_Data!X209)</f>
        <v/>
      </c>
    </row>
    <row r="210" spans="1:24" x14ac:dyDescent="0.3">
      <c r="A210" s="65" t="s">
        <v>1043</v>
      </c>
      <c r="B210" s="66" t="s">
        <v>23</v>
      </c>
      <c r="C210" s="66" t="s">
        <v>40</v>
      </c>
      <c r="D210" s="67" t="s">
        <v>502</v>
      </c>
      <c r="E210" s="68" t="s">
        <v>1044</v>
      </c>
      <c r="F210" s="66" t="str">
        <f>TRIM(PROPER(Sales_Data!F210))</f>
        <v>Kavya Nair</v>
      </c>
      <c r="G210" s="66" t="s">
        <v>28</v>
      </c>
      <c r="H210" s="66" t="s">
        <v>1045</v>
      </c>
      <c r="I210" s="66" t="s">
        <v>105</v>
      </c>
      <c r="J210" s="66" t="str">
        <f>PROPER(Sales_Data!J210)</f>
        <v>West</v>
      </c>
      <c r="K210" s="66" t="str">
        <f>PROPER(Sales_Data!K210)</f>
        <v>Electronics</v>
      </c>
      <c r="L210" s="66" t="s">
        <v>47</v>
      </c>
      <c r="M210" s="66">
        <v>7</v>
      </c>
      <c r="N210" s="66">
        <v>12000</v>
      </c>
      <c r="O210" s="66">
        <v>5</v>
      </c>
      <c r="P210" s="66">
        <v>79800</v>
      </c>
      <c r="Q210" s="66">
        <v>3</v>
      </c>
      <c r="R210" s="66" t="s">
        <v>79</v>
      </c>
      <c r="S210" s="66" t="s">
        <v>151</v>
      </c>
      <c r="T210" s="66" t="s">
        <v>50</v>
      </c>
      <c r="U210" s="69" t="s">
        <v>1046</v>
      </c>
      <c r="V210" s="66" t="s">
        <v>64</v>
      </c>
      <c r="X210" t="str">
        <f>PROPER(Sales_Data!X210)</f>
        <v/>
      </c>
    </row>
    <row r="211" spans="1:24" x14ac:dyDescent="0.3">
      <c r="A211" s="65" t="s">
        <v>1047</v>
      </c>
      <c r="B211" s="66" t="s">
        <v>251</v>
      </c>
      <c r="C211" s="66" t="s">
        <v>40</v>
      </c>
      <c r="D211" s="67" t="s">
        <v>1048</v>
      </c>
      <c r="E211" s="68" t="s">
        <v>129</v>
      </c>
      <c r="F211" s="66" t="str">
        <f>TRIM(PROPER(Sales_Data!F211))</f>
        <v>Sneha Joshi</v>
      </c>
      <c r="G211" s="66" t="s">
        <v>28</v>
      </c>
      <c r="H211" s="66" t="s">
        <v>1049</v>
      </c>
      <c r="I211" s="66" t="s">
        <v>105</v>
      </c>
      <c r="J211" s="66" t="str">
        <f>PROPER(Sales_Data!J211)</f>
        <v>West</v>
      </c>
      <c r="K211" s="66" t="str">
        <f>PROPER(Sales_Data!K211)</f>
        <v>Electronics</v>
      </c>
      <c r="L211" s="66" t="s">
        <v>47</v>
      </c>
      <c r="M211" s="66">
        <v>8</v>
      </c>
      <c r="N211" s="66">
        <v>12000</v>
      </c>
      <c r="O211" s="66">
        <v>15</v>
      </c>
      <c r="P211" s="66">
        <v>81600</v>
      </c>
      <c r="Q211" s="66">
        <v>4</v>
      </c>
      <c r="R211" s="66" t="s">
        <v>79</v>
      </c>
      <c r="S211" s="66" t="s">
        <v>49</v>
      </c>
      <c r="T211" s="66" t="s">
        <v>256</v>
      </c>
      <c r="U211" s="69" t="s">
        <v>1050</v>
      </c>
      <c r="V211" s="66" t="s">
        <v>38</v>
      </c>
      <c r="X211" t="str">
        <f>PROPER(Sales_Data!X211)</f>
        <v/>
      </c>
    </row>
    <row r="212" spans="1:24" x14ac:dyDescent="0.3">
      <c r="A212" s="65" t="s">
        <v>1051</v>
      </c>
      <c r="B212" s="66" t="s">
        <v>327</v>
      </c>
      <c r="C212" s="66" t="s">
        <v>92</v>
      </c>
      <c r="D212" s="67" t="s">
        <v>788</v>
      </c>
      <c r="E212" s="68" t="s">
        <v>1052</v>
      </c>
      <c r="F212" s="66" t="str">
        <f>TRIM(PROPER(Sales_Data!F212))</f>
        <v>Amit Sharma</v>
      </c>
      <c r="G212" s="66" t="s">
        <v>76</v>
      </c>
      <c r="H212" s="66" t="s">
        <v>1053</v>
      </c>
      <c r="I212" s="66" t="s">
        <v>105</v>
      </c>
      <c r="J212" s="66" t="str">
        <f>PROPER(Sales_Data!J212)</f>
        <v>West</v>
      </c>
      <c r="K212" s="66" t="str">
        <f>PROPER(Sales_Data!K212)</f>
        <v>Home Appliances</v>
      </c>
      <c r="L212" s="66" t="s">
        <v>97</v>
      </c>
      <c r="M212" s="66">
        <v>19</v>
      </c>
      <c r="N212" s="66">
        <v>3500</v>
      </c>
      <c r="O212" s="66">
        <v>5</v>
      </c>
      <c r="P212" s="66">
        <v>63175</v>
      </c>
      <c r="Q212" s="66">
        <v>3</v>
      </c>
      <c r="R212" s="66" t="s">
        <v>79</v>
      </c>
      <c r="S212" s="66" t="s">
        <v>61</v>
      </c>
      <c r="T212" s="66" t="s">
        <v>332</v>
      </c>
      <c r="U212" s="69" t="s">
        <v>1054</v>
      </c>
      <c r="V212" s="66" t="s">
        <v>64</v>
      </c>
      <c r="X212" t="str">
        <f>PROPER(Sales_Data!X212)</f>
        <v/>
      </c>
    </row>
    <row r="213" spans="1:24" x14ac:dyDescent="0.3">
      <c r="A213" s="65" t="s">
        <v>1055</v>
      </c>
      <c r="B213" s="66" t="s">
        <v>251</v>
      </c>
      <c r="C213" s="66" t="s">
        <v>259</v>
      </c>
      <c r="D213" s="67">
        <v>45810</v>
      </c>
      <c r="E213" s="68" t="s">
        <v>987</v>
      </c>
      <c r="F213" s="66" t="str">
        <f>TRIM(PROPER(Sales_Data!F213))</f>
        <v>Sneha Joshi</v>
      </c>
      <c r="G213" s="66" t="s">
        <v>28</v>
      </c>
      <c r="H213" s="66" t="s">
        <v>1056</v>
      </c>
      <c r="I213" s="66" t="s">
        <v>138</v>
      </c>
      <c r="J213" s="66" t="str">
        <f>PROPER(Sales_Data!J213)</f>
        <v>West</v>
      </c>
      <c r="K213" s="66" t="str">
        <f>PROPER(Sales_Data!K213)</f>
        <v>Stationery</v>
      </c>
      <c r="L213" s="66" t="s">
        <v>263</v>
      </c>
      <c r="M213" s="66">
        <v>7</v>
      </c>
      <c r="N213" s="66">
        <v>45</v>
      </c>
      <c r="O213" s="66">
        <v>5</v>
      </c>
      <c r="P213" s="66">
        <v>299.25</v>
      </c>
      <c r="Q213" s="66">
        <v>3</v>
      </c>
      <c r="R213" s="66" t="s">
        <v>79</v>
      </c>
      <c r="S213" s="66" t="s">
        <v>35</v>
      </c>
      <c r="T213" s="66" t="s">
        <v>256</v>
      </c>
      <c r="U213" s="69" t="s">
        <v>1057</v>
      </c>
      <c r="V213" s="66" t="s">
        <v>69</v>
      </c>
      <c r="X213" t="str">
        <f>PROPER(Sales_Data!X213)</f>
        <v/>
      </c>
    </row>
    <row r="214" spans="1:24" x14ac:dyDescent="0.3">
      <c r="A214" s="65" t="s">
        <v>1058</v>
      </c>
      <c r="B214" s="66" t="s">
        <v>23</v>
      </c>
      <c r="C214" s="66" t="s">
        <v>118</v>
      </c>
      <c r="D214" s="67">
        <v>45694</v>
      </c>
      <c r="E214" s="68" t="s">
        <v>750</v>
      </c>
      <c r="F214" s="66" t="str">
        <f>TRIM(PROPER(Sales_Data!F214))</f>
        <v>Kavya Nair</v>
      </c>
      <c r="G214" s="66" t="s">
        <v>28</v>
      </c>
      <c r="H214" s="66" t="s">
        <v>331</v>
      </c>
      <c r="I214" s="66" t="s">
        <v>30</v>
      </c>
      <c r="J214" s="66" t="str">
        <f>PROPER(Sales_Data!J214)</f>
        <v>South</v>
      </c>
      <c r="K214" s="66" t="str">
        <f>PROPER(Sales_Data!K214)</f>
        <v>Stationery</v>
      </c>
      <c r="L214" s="66" t="s">
        <v>123</v>
      </c>
      <c r="M214" s="66">
        <v>3</v>
      </c>
      <c r="N214" s="66">
        <v>60</v>
      </c>
      <c r="O214" s="66">
        <v>15</v>
      </c>
      <c r="P214" s="66">
        <v>153</v>
      </c>
      <c r="Q214" s="66">
        <v>3</v>
      </c>
      <c r="R214" s="66" t="s">
        <v>48</v>
      </c>
      <c r="S214" s="66" t="s">
        <v>49</v>
      </c>
      <c r="T214" s="66" t="s">
        <v>50</v>
      </c>
      <c r="U214" s="69" t="s">
        <v>1059</v>
      </c>
      <c r="V214" s="66" t="s">
        <v>69</v>
      </c>
      <c r="X214" t="str">
        <f>PROPER(Sales_Data!X214)</f>
        <v/>
      </c>
    </row>
    <row r="215" spans="1:24" x14ac:dyDescent="0.3">
      <c r="A215" s="65" t="s">
        <v>1060</v>
      </c>
      <c r="B215" s="66" t="s">
        <v>53</v>
      </c>
      <c r="C215" s="66" t="s">
        <v>259</v>
      </c>
      <c r="D215" s="67" t="s">
        <v>1061</v>
      </c>
      <c r="E215" s="68" t="s">
        <v>582</v>
      </c>
      <c r="F215" s="66" t="str">
        <f>TRIM(PROPER(Sales_Data!F215))</f>
        <v>Pooja Shah</v>
      </c>
      <c r="G215" s="66" t="s">
        <v>28</v>
      </c>
      <c r="H215" s="66" t="s">
        <v>1062</v>
      </c>
      <c r="I215" s="66" t="s">
        <v>114</v>
      </c>
      <c r="J215" s="66" t="str">
        <f>PROPER(Sales_Data!J215)</f>
        <v>West</v>
      </c>
      <c r="K215" s="66" t="str">
        <f>PROPER(Sales_Data!K215)</f>
        <v>Stationery</v>
      </c>
      <c r="L215" s="66" t="s">
        <v>263</v>
      </c>
      <c r="M215" s="66">
        <v>19</v>
      </c>
      <c r="N215" s="66">
        <v>45</v>
      </c>
      <c r="O215" s="66">
        <v>0</v>
      </c>
      <c r="P215" s="66">
        <v>855</v>
      </c>
      <c r="Q215" s="66">
        <v>2</v>
      </c>
      <c r="R215" s="66" t="s">
        <v>34</v>
      </c>
      <c r="S215" s="66" t="s">
        <v>61</v>
      </c>
      <c r="T215" s="66" t="s">
        <v>62</v>
      </c>
      <c r="U215" s="69" t="s">
        <v>1063</v>
      </c>
      <c r="V215" s="66" t="s">
        <v>38</v>
      </c>
      <c r="X215" t="str">
        <f>PROPER(Sales_Data!X215)</f>
        <v/>
      </c>
    </row>
    <row r="216" spans="1:24" x14ac:dyDescent="0.3">
      <c r="A216" s="65" t="s">
        <v>1064</v>
      </c>
      <c r="B216" s="66" t="s">
        <v>100</v>
      </c>
      <c r="C216" s="66" t="s">
        <v>40</v>
      </c>
      <c r="D216" s="67">
        <v>46176</v>
      </c>
      <c r="E216" s="68" t="s">
        <v>543</v>
      </c>
      <c r="F216" s="66" t="str">
        <f>TRIM(PROPER(Sales_Data!F216))</f>
        <v>Priya Patel</v>
      </c>
      <c r="G216" s="66" t="s">
        <v>28</v>
      </c>
      <c r="H216" s="66" t="s">
        <v>1066</v>
      </c>
      <c r="I216" s="66" t="s">
        <v>59</v>
      </c>
      <c r="J216" s="66" t="str">
        <f>PROPER(Sales_Data!J216)</f>
        <v>South</v>
      </c>
      <c r="K216" s="66" t="str">
        <f>PROPER(Sales_Data!K216)</f>
        <v>Electronics</v>
      </c>
      <c r="L216" s="66" t="s">
        <v>47</v>
      </c>
      <c r="M216" s="66">
        <v>10</v>
      </c>
      <c r="N216" s="66">
        <v>12000</v>
      </c>
      <c r="O216" s="66">
        <v>5</v>
      </c>
      <c r="P216" s="66">
        <v>114000</v>
      </c>
      <c r="Q216" s="66">
        <v>1</v>
      </c>
      <c r="R216" s="66" t="s">
        <v>79</v>
      </c>
      <c r="S216" s="66" t="s">
        <v>115</v>
      </c>
      <c r="T216" s="66" t="s">
        <v>144</v>
      </c>
      <c r="U216" s="69" t="s">
        <v>1067</v>
      </c>
      <c r="V216" s="66" t="s">
        <v>69</v>
      </c>
      <c r="X216" t="str">
        <f>PROPER(Sales_Data!X216)</f>
        <v/>
      </c>
    </row>
    <row r="217" spans="1:24" x14ac:dyDescent="0.3">
      <c r="A217" s="65" t="s">
        <v>1068</v>
      </c>
      <c r="B217" s="66" t="s">
        <v>23</v>
      </c>
      <c r="C217" s="66" t="s">
        <v>72</v>
      </c>
      <c r="D217" s="67" t="s">
        <v>1069</v>
      </c>
      <c r="E217" s="68" t="s">
        <v>1031</v>
      </c>
      <c r="F217" s="66" t="str">
        <f>TRIM(PROPER(Sales_Data!F217))</f>
        <v>Kavya Nair</v>
      </c>
      <c r="G217" s="66" t="s">
        <v>28</v>
      </c>
      <c r="H217" s="66" t="s">
        <v>1070</v>
      </c>
      <c r="I217" s="66" t="s">
        <v>294</v>
      </c>
      <c r="J217" s="66" t="str">
        <f>PROPER(Sales_Data!J217)</f>
        <v>East</v>
      </c>
      <c r="K217" s="66" t="str">
        <f>PROPER(Sales_Data!K217)</f>
        <v>Electronics</v>
      </c>
      <c r="L217" s="66" t="s">
        <v>78</v>
      </c>
      <c r="M217" s="66">
        <v>4</v>
      </c>
      <c r="N217" s="66">
        <v>1200</v>
      </c>
      <c r="O217" s="66">
        <v>0</v>
      </c>
      <c r="P217" s="66">
        <v>4800</v>
      </c>
      <c r="Q217" s="66">
        <v>4</v>
      </c>
      <c r="R217" s="66" t="s">
        <v>34</v>
      </c>
      <c r="S217" s="66" t="s">
        <v>61</v>
      </c>
      <c r="T217" s="66" t="s">
        <v>50</v>
      </c>
      <c r="U217" s="69" t="s">
        <v>1071</v>
      </c>
      <c r="V217" s="66" t="s">
        <v>38</v>
      </c>
      <c r="X217" t="str">
        <f>PROPER(Sales_Data!X217)</f>
        <v/>
      </c>
    </row>
    <row r="218" spans="1:24" x14ac:dyDescent="0.3">
      <c r="A218" s="65" t="s">
        <v>1072</v>
      </c>
      <c r="B218" s="66" t="s">
        <v>221</v>
      </c>
      <c r="C218" s="66" t="s">
        <v>169</v>
      </c>
      <c r="D218" s="67" t="s">
        <v>531</v>
      </c>
      <c r="E218" s="68" t="s">
        <v>1073</v>
      </c>
      <c r="F218" s="66" t="str">
        <f>TRIM(PROPER(Sales_Data!F218))</f>
        <v>Vikas Mehta</v>
      </c>
      <c r="G218" s="66" t="s">
        <v>76</v>
      </c>
      <c r="H218" s="66" t="s">
        <v>1074</v>
      </c>
      <c r="I218" s="66" t="s">
        <v>59</v>
      </c>
      <c r="J218" s="66" t="str">
        <f>PROPER(Sales_Data!J218)</f>
        <v>South</v>
      </c>
      <c r="K218" s="66" t="str">
        <f>PROPER(Sales_Data!K218)</f>
        <v>Home Appliances</v>
      </c>
      <c r="L218" s="66" t="s">
        <v>174</v>
      </c>
      <c r="M218" s="66">
        <v>2</v>
      </c>
      <c r="N218" s="66">
        <v>8500</v>
      </c>
      <c r="O218" s="66">
        <v>20</v>
      </c>
      <c r="P218" s="66">
        <v>13600</v>
      </c>
      <c r="Q218" s="66">
        <v>3</v>
      </c>
      <c r="R218" s="66" t="s">
        <v>79</v>
      </c>
      <c r="S218" s="66" t="s">
        <v>151</v>
      </c>
      <c r="T218" s="66" t="s">
        <v>228</v>
      </c>
      <c r="U218" s="69" t="s">
        <v>1075</v>
      </c>
      <c r="V218" s="66" t="s">
        <v>38</v>
      </c>
      <c r="X218" t="str">
        <f>PROPER(Sales_Data!X218)</f>
        <v/>
      </c>
    </row>
    <row r="219" spans="1:24" x14ac:dyDescent="0.3">
      <c r="A219" s="65" t="s">
        <v>1076</v>
      </c>
      <c r="B219" s="66" t="s">
        <v>83</v>
      </c>
      <c r="C219" s="66" t="s">
        <v>184</v>
      </c>
      <c r="D219" s="67" t="s">
        <v>1077</v>
      </c>
      <c r="E219" s="68" t="s">
        <v>322</v>
      </c>
      <c r="F219" s="66" t="str">
        <f>TRIM(PROPER(Sales_Data!F219))</f>
        <v>Arjun Rao</v>
      </c>
      <c r="G219" s="66" t="s">
        <v>76</v>
      </c>
      <c r="H219" s="66" t="s">
        <v>1078</v>
      </c>
      <c r="I219" s="66" t="s">
        <v>294</v>
      </c>
      <c r="J219" s="66" t="str">
        <f>PROPER(Sales_Data!J219)</f>
        <v>East</v>
      </c>
      <c r="K219" s="66" t="str">
        <f>PROPER(Sales_Data!K219)</f>
        <v>Electronics</v>
      </c>
      <c r="L219" s="66" t="s">
        <v>189</v>
      </c>
      <c r="M219" s="66">
        <v>7</v>
      </c>
      <c r="N219" s="66">
        <v>700</v>
      </c>
      <c r="O219" s="66">
        <v>20</v>
      </c>
      <c r="P219" s="66">
        <v>3920</v>
      </c>
      <c r="Q219" s="66">
        <v>2</v>
      </c>
      <c r="R219" s="66" t="s">
        <v>79</v>
      </c>
      <c r="S219" s="66" t="s">
        <v>151</v>
      </c>
      <c r="T219" s="66" t="s">
        <v>89</v>
      </c>
      <c r="U219" s="69" t="s">
        <v>1079</v>
      </c>
      <c r="V219" s="66" t="s">
        <v>64</v>
      </c>
      <c r="X219" t="str">
        <f>PROPER(Sales_Data!X219)</f>
        <v/>
      </c>
    </row>
    <row r="220" spans="1:24" x14ac:dyDescent="0.3">
      <c r="A220" s="65" t="s">
        <v>1080</v>
      </c>
      <c r="B220" s="66" t="s">
        <v>53</v>
      </c>
      <c r="C220" s="66" t="s">
        <v>222</v>
      </c>
      <c r="D220" s="67" t="s">
        <v>1081</v>
      </c>
      <c r="E220" s="68" t="s">
        <v>518</v>
      </c>
      <c r="F220" s="66" t="str">
        <f>TRIM(PROPER(Sales_Data!F220))</f>
        <v>Pooja Shah</v>
      </c>
      <c r="G220" s="66" t="s">
        <v>28</v>
      </c>
      <c r="H220" s="66" t="s">
        <v>1082</v>
      </c>
      <c r="I220" s="66" t="s">
        <v>114</v>
      </c>
      <c r="J220" s="66" t="str">
        <f>PROPER(Sales_Data!J220)</f>
        <v>West</v>
      </c>
      <c r="K220" s="66" t="str">
        <f>PROPER(Sales_Data!K220)</f>
        <v>Stationery</v>
      </c>
      <c r="L220" s="66" t="s">
        <v>227</v>
      </c>
      <c r="M220" s="66">
        <v>9</v>
      </c>
      <c r="N220" s="66">
        <v>20</v>
      </c>
      <c r="O220" s="66">
        <v>15</v>
      </c>
      <c r="P220" s="66">
        <v>153</v>
      </c>
      <c r="Q220" s="66">
        <v>3</v>
      </c>
      <c r="R220" s="66" t="s">
        <v>48</v>
      </c>
      <c r="S220" s="66" t="s">
        <v>115</v>
      </c>
      <c r="T220" s="66" t="s">
        <v>62</v>
      </c>
      <c r="U220" s="69" t="s">
        <v>1083</v>
      </c>
      <c r="V220" s="66" t="s">
        <v>38</v>
      </c>
      <c r="X220" t="str">
        <f>PROPER(Sales_Data!X220)</f>
        <v/>
      </c>
    </row>
    <row r="221" spans="1:24" x14ac:dyDescent="0.3">
      <c r="A221" s="65" t="s">
        <v>1084</v>
      </c>
      <c r="B221" s="66" t="s">
        <v>100</v>
      </c>
      <c r="C221" s="66" t="s">
        <v>169</v>
      </c>
      <c r="D221" s="67" t="s">
        <v>1085</v>
      </c>
      <c r="E221" s="68" t="s">
        <v>1086</v>
      </c>
      <c r="F221" s="66" t="str">
        <f>TRIM(PROPER(Sales_Data!F221))</f>
        <v>Priya Patel</v>
      </c>
      <c r="G221" s="66" t="s">
        <v>28</v>
      </c>
      <c r="H221" s="66" t="s">
        <v>1087</v>
      </c>
      <c r="I221" s="66" t="s">
        <v>294</v>
      </c>
      <c r="J221" s="66" t="str">
        <f>PROPER(Sales_Data!J221)</f>
        <v>East</v>
      </c>
      <c r="K221" s="66" t="str">
        <f>PROPER(Sales_Data!K221)</f>
        <v>Home Appliances</v>
      </c>
      <c r="L221" s="66" t="s">
        <v>174</v>
      </c>
      <c r="M221" s="66">
        <v>16</v>
      </c>
      <c r="N221" s="66">
        <v>8500</v>
      </c>
      <c r="O221" s="66">
        <v>0</v>
      </c>
      <c r="P221" s="66">
        <v>136000</v>
      </c>
      <c r="Q221" s="66">
        <v>4</v>
      </c>
      <c r="R221" s="66" t="s">
        <v>48</v>
      </c>
      <c r="S221" s="66" t="s">
        <v>35</v>
      </c>
      <c r="T221" s="66" t="s">
        <v>144</v>
      </c>
      <c r="U221" s="69" t="s">
        <v>1088</v>
      </c>
      <c r="V221" s="66" t="s">
        <v>38</v>
      </c>
      <c r="X221" t="str">
        <f>PROPER(Sales_Data!X221)</f>
        <v/>
      </c>
    </row>
    <row r="222" spans="1:24" x14ac:dyDescent="0.3">
      <c r="A222" s="65" t="s">
        <v>1089</v>
      </c>
      <c r="B222" s="66" t="s">
        <v>251</v>
      </c>
      <c r="C222" s="66" t="s">
        <v>92</v>
      </c>
      <c r="D222" s="67" t="s">
        <v>544</v>
      </c>
      <c r="E222" s="68" t="s">
        <v>1090</v>
      </c>
      <c r="F222" s="66" t="str">
        <f>TRIM(PROPER(Sales_Data!F222))</f>
        <v>Sneha Joshi</v>
      </c>
      <c r="G222" s="66" t="s">
        <v>28</v>
      </c>
      <c r="H222" s="66" t="s">
        <v>1091</v>
      </c>
      <c r="I222" s="66" t="s">
        <v>44</v>
      </c>
      <c r="J222" s="66" t="str">
        <f>PROPER(Sales_Data!J222)</f>
        <v>North</v>
      </c>
      <c r="K222" s="66" t="str">
        <f>PROPER(Sales_Data!K222)</f>
        <v>Home Appliances</v>
      </c>
      <c r="L222" s="66" t="s">
        <v>97</v>
      </c>
      <c r="M222" s="66">
        <v>10</v>
      </c>
      <c r="N222" s="66">
        <v>3500</v>
      </c>
      <c r="O222" s="66">
        <v>5</v>
      </c>
      <c r="P222" s="66">
        <v>33250</v>
      </c>
      <c r="Q222" s="66">
        <v>3</v>
      </c>
      <c r="R222" s="66" t="s">
        <v>48</v>
      </c>
      <c r="S222" s="66" t="s">
        <v>115</v>
      </c>
      <c r="T222" s="66" t="s">
        <v>256</v>
      </c>
      <c r="U222" s="69" t="s">
        <v>1092</v>
      </c>
      <c r="V222" s="66" t="s">
        <v>38</v>
      </c>
      <c r="X222" t="str">
        <f>PROPER(Sales_Data!X222)</f>
        <v/>
      </c>
    </row>
    <row r="223" spans="1:24" x14ac:dyDescent="0.3">
      <c r="A223" s="65" t="s">
        <v>1093</v>
      </c>
      <c r="B223" s="66" t="s">
        <v>53</v>
      </c>
      <c r="C223" s="66" t="s">
        <v>40</v>
      </c>
      <c r="D223" s="67" t="s">
        <v>1094</v>
      </c>
      <c r="E223" s="68" t="s">
        <v>588</v>
      </c>
      <c r="F223" s="66" t="str">
        <f>TRIM(PROPER(Sales_Data!F223))</f>
        <v>Pooja Shah</v>
      </c>
      <c r="G223" s="66" t="s">
        <v>28</v>
      </c>
      <c r="H223" s="66" t="s">
        <v>1095</v>
      </c>
      <c r="I223" s="66" t="s">
        <v>294</v>
      </c>
      <c r="J223" s="66" t="str">
        <f>PROPER(Sales_Data!J223)</f>
        <v>East</v>
      </c>
      <c r="K223" s="66" t="str">
        <f>PROPER(Sales_Data!K223)</f>
        <v>Electronics</v>
      </c>
      <c r="L223" s="66" t="s">
        <v>47</v>
      </c>
      <c r="M223" s="66">
        <v>1</v>
      </c>
      <c r="N223" s="66">
        <v>12000</v>
      </c>
      <c r="O223" s="66">
        <v>0</v>
      </c>
      <c r="P223" s="66">
        <v>12000</v>
      </c>
      <c r="Q223" s="66">
        <v>5</v>
      </c>
      <c r="R223" s="66" t="s">
        <v>88</v>
      </c>
      <c r="S223" s="66" t="s">
        <v>115</v>
      </c>
      <c r="T223" s="66" t="s">
        <v>62</v>
      </c>
      <c r="U223" s="69" t="s">
        <v>1096</v>
      </c>
      <c r="V223" s="66" t="s">
        <v>64</v>
      </c>
      <c r="X223" t="str">
        <f>PROPER(Sales_Data!X223)</f>
        <v/>
      </c>
    </row>
    <row r="224" spans="1:24" x14ac:dyDescent="0.3">
      <c r="A224" s="65" t="s">
        <v>1097</v>
      </c>
      <c r="B224" s="66" t="s">
        <v>327</v>
      </c>
      <c r="C224" s="66" t="s">
        <v>259</v>
      </c>
      <c r="D224" s="67">
        <v>46058</v>
      </c>
      <c r="E224" s="68" t="s">
        <v>601</v>
      </c>
      <c r="F224" s="66" t="str">
        <f>TRIM(PROPER(Sales_Data!F224))</f>
        <v>Amit Sharma</v>
      </c>
      <c r="G224" s="66" t="s">
        <v>76</v>
      </c>
      <c r="H224" s="66" t="s">
        <v>1099</v>
      </c>
      <c r="I224" s="66" t="s">
        <v>294</v>
      </c>
      <c r="J224" s="66" t="str">
        <f>PROPER(Sales_Data!J224)</f>
        <v>East</v>
      </c>
      <c r="K224" s="66" t="str">
        <f>PROPER(Sales_Data!K224)</f>
        <v>Stationery</v>
      </c>
      <c r="L224" s="66" t="s">
        <v>263</v>
      </c>
      <c r="M224" s="66">
        <v>19</v>
      </c>
      <c r="N224" s="66">
        <v>45</v>
      </c>
      <c r="O224" s="66">
        <v>15</v>
      </c>
      <c r="P224" s="66">
        <v>726.75</v>
      </c>
      <c r="Q224" s="66">
        <v>2</v>
      </c>
      <c r="R224" s="66" t="s">
        <v>88</v>
      </c>
      <c r="S224" s="66" t="s">
        <v>151</v>
      </c>
      <c r="T224" s="66" t="s">
        <v>332</v>
      </c>
      <c r="U224" s="69" t="s">
        <v>1100</v>
      </c>
      <c r="V224" s="66" t="s">
        <v>64</v>
      </c>
      <c r="X224" t="str">
        <f>PROPER(Sales_Data!X224)</f>
        <v/>
      </c>
    </row>
    <row r="225" spans="1:24" x14ac:dyDescent="0.3">
      <c r="A225" s="65" t="s">
        <v>1101</v>
      </c>
      <c r="B225" s="66" t="s">
        <v>23</v>
      </c>
      <c r="C225" s="66" t="s">
        <v>54</v>
      </c>
      <c r="D225" s="67" t="s">
        <v>531</v>
      </c>
      <c r="E225" s="68" t="s">
        <v>1102</v>
      </c>
      <c r="F225" s="66" t="str">
        <f>TRIM(PROPER(Sales_Data!F225))</f>
        <v>Kavya Nair</v>
      </c>
      <c r="G225" s="66" t="s">
        <v>28</v>
      </c>
      <c r="H225" s="66" t="s">
        <v>1103</v>
      </c>
      <c r="I225" s="66" t="s">
        <v>44</v>
      </c>
      <c r="J225" s="66" t="str">
        <f>PROPER(Sales_Data!J225)</f>
        <v>North</v>
      </c>
      <c r="K225" s="66" t="str">
        <f>PROPER(Sales_Data!K225)</f>
        <v>Electronics</v>
      </c>
      <c r="L225" s="66" t="s">
        <v>60</v>
      </c>
      <c r="M225" s="66">
        <v>13</v>
      </c>
      <c r="N225" s="66">
        <v>55000</v>
      </c>
      <c r="O225" s="66">
        <v>5</v>
      </c>
      <c r="P225" s="66">
        <v>679250</v>
      </c>
      <c r="Q225" s="66">
        <v>4</v>
      </c>
      <c r="R225" s="66" t="s">
        <v>79</v>
      </c>
      <c r="S225" s="66" t="s">
        <v>49</v>
      </c>
      <c r="T225" s="66" t="s">
        <v>50</v>
      </c>
      <c r="U225" s="69" t="s">
        <v>1104</v>
      </c>
      <c r="V225" s="66" t="s">
        <v>69</v>
      </c>
      <c r="X225" t="str">
        <f>PROPER(Sales_Data!X225)</f>
        <v/>
      </c>
    </row>
    <row r="226" spans="1:24" x14ac:dyDescent="0.3">
      <c r="A226" s="65" t="s">
        <v>1105</v>
      </c>
      <c r="B226" s="66" t="s">
        <v>83</v>
      </c>
      <c r="C226" s="66" t="s">
        <v>259</v>
      </c>
      <c r="D226" s="67" t="s">
        <v>1106</v>
      </c>
      <c r="E226" s="68" t="s">
        <v>155</v>
      </c>
      <c r="F226" s="66" t="str">
        <f>TRIM(PROPER(Sales_Data!F226))</f>
        <v>Arjun Rao</v>
      </c>
      <c r="G226" s="66" t="s">
        <v>76</v>
      </c>
      <c r="H226" s="66" t="s">
        <v>1107</v>
      </c>
      <c r="I226" s="66" t="s">
        <v>105</v>
      </c>
      <c r="J226" s="66" t="str">
        <f>PROPER(Sales_Data!J226)</f>
        <v>West</v>
      </c>
      <c r="K226" s="66" t="str">
        <f>PROPER(Sales_Data!K226)</f>
        <v>Stationery</v>
      </c>
      <c r="L226" s="66" t="s">
        <v>263</v>
      </c>
      <c r="M226" s="66">
        <v>2</v>
      </c>
      <c r="N226" s="66">
        <v>45</v>
      </c>
      <c r="O226" s="66">
        <v>15</v>
      </c>
      <c r="P226" s="66">
        <v>76.5</v>
      </c>
      <c r="Q226" s="66">
        <v>1</v>
      </c>
      <c r="R226" s="66" t="s">
        <v>48</v>
      </c>
      <c r="S226" s="66" t="s">
        <v>115</v>
      </c>
      <c r="T226" s="66" t="s">
        <v>89</v>
      </c>
      <c r="U226" s="69" t="s">
        <v>1108</v>
      </c>
      <c r="V226" s="66" t="s">
        <v>38</v>
      </c>
      <c r="X226" t="str">
        <f>PROPER(Sales_Data!X226)</f>
        <v/>
      </c>
    </row>
    <row r="227" spans="1:24" x14ac:dyDescent="0.3">
      <c r="A227" s="65" t="s">
        <v>1109</v>
      </c>
      <c r="B227" s="66" t="s">
        <v>100</v>
      </c>
      <c r="C227" s="66" t="s">
        <v>222</v>
      </c>
      <c r="D227" s="67" t="s">
        <v>303</v>
      </c>
      <c r="E227" s="68" t="s">
        <v>1110</v>
      </c>
      <c r="F227" s="66" t="str">
        <f>TRIM(PROPER(Sales_Data!F227))</f>
        <v>Priya Patel</v>
      </c>
      <c r="G227" s="66" t="s">
        <v>28</v>
      </c>
      <c r="H227" s="66" t="s">
        <v>1111</v>
      </c>
      <c r="I227" s="66" t="s">
        <v>30</v>
      </c>
      <c r="J227" s="66" t="str">
        <f>PROPER(Sales_Data!J227)</f>
        <v>South</v>
      </c>
      <c r="K227" s="66" t="str">
        <f>PROPER(Sales_Data!K227)</f>
        <v>Stationery</v>
      </c>
      <c r="L227" s="66" t="s">
        <v>227</v>
      </c>
      <c r="M227" s="66">
        <v>8</v>
      </c>
      <c r="N227" s="66">
        <v>20</v>
      </c>
      <c r="O227" s="66">
        <v>15</v>
      </c>
      <c r="P227" s="66">
        <v>136</v>
      </c>
      <c r="Q227" s="66">
        <v>1</v>
      </c>
      <c r="R227" s="66" t="s">
        <v>79</v>
      </c>
      <c r="S227" s="66" t="s">
        <v>35</v>
      </c>
      <c r="T227" s="66" t="s">
        <v>144</v>
      </c>
      <c r="U227" s="69" t="s">
        <v>1112</v>
      </c>
      <c r="V227" s="66" t="s">
        <v>64</v>
      </c>
      <c r="X227" t="str">
        <f>PROPER(Sales_Data!X227)</f>
        <v/>
      </c>
    </row>
    <row r="228" spans="1:24" x14ac:dyDescent="0.3">
      <c r="A228" s="65" t="s">
        <v>1113</v>
      </c>
      <c r="B228" s="66" t="s">
        <v>168</v>
      </c>
      <c r="C228" s="66" t="s">
        <v>40</v>
      </c>
      <c r="D228" s="67" t="s">
        <v>1114</v>
      </c>
      <c r="E228" s="68" t="s">
        <v>1115</v>
      </c>
      <c r="F228" s="66" t="str">
        <f>TRIM(PROPER(Sales_Data!F228))</f>
        <v>Anita Gupta</v>
      </c>
      <c r="G228" s="66" t="s">
        <v>28</v>
      </c>
      <c r="H228" s="66" t="s">
        <v>1116</v>
      </c>
      <c r="I228" s="66" t="s">
        <v>30</v>
      </c>
      <c r="J228" s="66" t="str">
        <f>PROPER(Sales_Data!J228)</f>
        <v>South</v>
      </c>
      <c r="K228" s="66" t="str">
        <f>PROPER(Sales_Data!K228)</f>
        <v>Electronics</v>
      </c>
      <c r="L228" s="66" t="s">
        <v>47</v>
      </c>
      <c r="M228" s="66">
        <v>9</v>
      </c>
      <c r="N228" s="66">
        <v>12000</v>
      </c>
      <c r="O228" s="66">
        <v>5</v>
      </c>
      <c r="P228" s="66">
        <v>102600</v>
      </c>
      <c r="Q228" s="66">
        <v>2</v>
      </c>
      <c r="R228" s="66" t="s">
        <v>79</v>
      </c>
      <c r="S228" s="66" t="s">
        <v>35</v>
      </c>
      <c r="T228" s="66" t="s">
        <v>175</v>
      </c>
      <c r="U228" s="69" t="s">
        <v>1117</v>
      </c>
      <c r="V228" s="66" t="s">
        <v>69</v>
      </c>
      <c r="X228" t="str">
        <f>PROPER(Sales_Data!X228)</f>
        <v/>
      </c>
    </row>
    <row r="229" spans="1:24" x14ac:dyDescent="0.3">
      <c r="A229" s="65" t="s">
        <v>1118</v>
      </c>
      <c r="B229" s="66" t="s">
        <v>71</v>
      </c>
      <c r="C229" s="66" t="s">
        <v>92</v>
      </c>
      <c r="D229" s="67">
        <v>45783</v>
      </c>
      <c r="E229" s="68" t="s">
        <v>1120</v>
      </c>
      <c r="F229" s="66" t="str">
        <f>TRIM(PROPER(Sales_Data!F229))</f>
        <v>Mohit Verma</v>
      </c>
      <c r="G229" s="66" t="s">
        <v>76</v>
      </c>
      <c r="H229" s="66" t="s">
        <v>1121</v>
      </c>
      <c r="I229" s="66" t="s">
        <v>294</v>
      </c>
      <c r="J229" s="66" t="str">
        <f>PROPER(Sales_Data!J229)</f>
        <v>East</v>
      </c>
      <c r="K229" s="66" t="str">
        <f>PROPER(Sales_Data!K229)</f>
        <v>Home Appliances</v>
      </c>
      <c r="L229" s="66" t="s">
        <v>97</v>
      </c>
      <c r="M229" s="66">
        <v>3</v>
      </c>
      <c r="N229" s="66">
        <v>3500</v>
      </c>
      <c r="O229" s="66">
        <v>15</v>
      </c>
      <c r="P229" s="66">
        <v>8925</v>
      </c>
      <c r="Q229" s="66">
        <v>1</v>
      </c>
      <c r="R229" s="66" t="s">
        <v>34</v>
      </c>
      <c r="S229" s="66" t="s">
        <v>49</v>
      </c>
      <c r="T229" s="66" t="s">
        <v>80</v>
      </c>
      <c r="U229" s="69" t="s">
        <v>1122</v>
      </c>
      <c r="V229" s="66" t="s">
        <v>69</v>
      </c>
      <c r="X229" t="str">
        <f>PROPER(Sales_Data!X229)</f>
        <v/>
      </c>
    </row>
    <row r="230" spans="1:24" x14ac:dyDescent="0.3">
      <c r="A230" s="65" t="s">
        <v>1123</v>
      </c>
      <c r="B230" s="66" t="s">
        <v>100</v>
      </c>
      <c r="C230" s="66" t="s">
        <v>184</v>
      </c>
      <c r="D230" s="67" t="s">
        <v>1086</v>
      </c>
      <c r="E230" s="68" t="s">
        <v>1124</v>
      </c>
      <c r="F230" s="66" t="str">
        <f>TRIM(PROPER(Sales_Data!F230))</f>
        <v>Priya Patel</v>
      </c>
      <c r="G230" s="66" t="s">
        <v>28</v>
      </c>
      <c r="H230" s="66" t="s">
        <v>1125</v>
      </c>
      <c r="I230" s="66" t="s">
        <v>30</v>
      </c>
      <c r="J230" s="66" t="str">
        <f>PROPER(Sales_Data!J230)</f>
        <v>South</v>
      </c>
      <c r="K230" s="66" t="str">
        <f>PROPER(Sales_Data!K230)</f>
        <v>Electronics</v>
      </c>
      <c r="L230" s="66" t="s">
        <v>189</v>
      </c>
      <c r="M230" s="66">
        <v>18</v>
      </c>
      <c r="N230" s="66">
        <v>700</v>
      </c>
      <c r="O230" s="66">
        <v>20</v>
      </c>
      <c r="P230" s="66">
        <v>10080</v>
      </c>
      <c r="Q230" s="66">
        <v>1</v>
      </c>
      <c r="R230" s="66" t="s">
        <v>79</v>
      </c>
      <c r="S230" s="66" t="s">
        <v>151</v>
      </c>
      <c r="T230" s="66" t="s">
        <v>144</v>
      </c>
      <c r="U230" s="69" t="s">
        <v>1126</v>
      </c>
      <c r="V230" s="66" t="s">
        <v>38</v>
      </c>
      <c r="X230" t="str">
        <f>PROPER(Sales_Data!X230)</f>
        <v/>
      </c>
    </row>
    <row r="231" spans="1:24" x14ac:dyDescent="0.3">
      <c r="A231" s="65" t="s">
        <v>1127</v>
      </c>
      <c r="B231" s="66" t="s">
        <v>71</v>
      </c>
      <c r="C231" s="66" t="s">
        <v>92</v>
      </c>
      <c r="D231" s="67" t="s">
        <v>1128</v>
      </c>
      <c r="E231" s="68" t="s">
        <v>110</v>
      </c>
      <c r="F231" s="66" t="str">
        <f>TRIM(PROPER(Sales_Data!F231))</f>
        <v>Mohit Verma</v>
      </c>
      <c r="G231" s="66" t="s">
        <v>76</v>
      </c>
      <c r="H231" s="66" t="s">
        <v>1129</v>
      </c>
      <c r="I231" s="66" t="s">
        <v>114</v>
      </c>
      <c r="J231" s="66" t="str">
        <f>PROPER(Sales_Data!J231)</f>
        <v>West</v>
      </c>
      <c r="K231" s="66" t="str">
        <f>PROPER(Sales_Data!K231)</f>
        <v>Home Appliances</v>
      </c>
      <c r="L231" s="66" t="s">
        <v>97</v>
      </c>
      <c r="M231" s="66">
        <v>14</v>
      </c>
      <c r="N231" s="66">
        <v>3500</v>
      </c>
      <c r="O231" s="66">
        <v>5</v>
      </c>
      <c r="P231" s="66">
        <v>46550</v>
      </c>
      <c r="Q231" s="66">
        <v>1</v>
      </c>
      <c r="R231" s="66" t="s">
        <v>34</v>
      </c>
      <c r="S231" s="66" t="s">
        <v>61</v>
      </c>
      <c r="T231" s="66" t="s">
        <v>80</v>
      </c>
      <c r="U231" s="69" t="s">
        <v>1130</v>
      </c>
      <c r="V231" s="66" t="s">
        <v>38</v>
      </c>
      <c r="X231" t="str">
        <f>PROPER(Sales_Data!X231)</f>
        <v/>
      </c>
    </row>
    <row r="232" spans="1:24" x14ac:dyDescent="0.3">
      <c r="A232" s="65" t="s">
        <v>1131</v>
      </c>
      <c r="B232" s="66" t="s">
        <v>100</v>
      </c>
      <c r="C232" s="66" t="s">
        <v>184</v>
      </c>
      <c r="D232" s="67">
        <v>45694</v>
      </c>
      <c r="E232" s="68" t="s">
        <v>318</v>
      </c>
      <c r="F232" s="66" t="str">
        <f>TRIM(PROPER(Sales_Data!F232))</f>
        <v>Priya Patel</v>
      </c>
      <c r="G232" s="66" t="s">
        <v>28</v>
      </c>
      <c r="H232" s="66" t="s">
        <v>1132</v>
      </c>
      <c r="I232" s="66" t="s">
        <v>294</v>
      </c>
      <c r="J232" s="66" t="str">
        <f>PROPER(Sales_Data!J232)</f>
        <v>East</v>
      </c>
      <c r="K232" s="66" t="str">
        <f>PROPER(Sales_Data!K232)</f>
        <v>Electronics</v>
      </c>
      <c r="L232" s="66" t="s">
        <v>189</v>
      </c>
      <c r="M232" s="66">
        <v>6</v>
      </c>
      <c r="N232" s="66">
        <v>700</v>
      </c>
      <c r="O232" s="66">
        <v>5</v>
      </c>
      <c r="P232" s="66">
        <v>3990</v>
      </c>
      <c r="Q232" s="66">
        <v>5</v>
      </c>
      <c r="R232" s="66" t="s">
        <v>34</v>
      </c>
      <c r="S232" s="66" t="s">
        <v>35</v>
      </c>
      <c r="T232" s="66" t="s">
        <v>144</v>
      </c>
      <c r="U232" s="69" t="s">
        <v>1133</v>
      </c>
      <c r="V232" s="66" t="s">
        <v>38</v>
      </c>
      <c r="X232" t="str">
        <f>PROPER(Sales_Data!X232)</f>
        <v/>
      </c>
    </row>
    <row r="233" spans="1:24" x14ac:dyDescent="0.3">
      <c r="A233" s="65" t="s">
        <v>1134</v>
      </c>
      <c r="B233" s="66" t="s">
        <v>100</v>
      </c>
      <c r="C233" s="66" t="s">
        <v>92</v>
      </c>
      <c r="D233" s="67">
        <v>45967</v>
      </c>
      <c r="E233" s="68" t="s">
        <v>872</v>
      </c>
      <c r="F233" s="66" t="str">
        <f>TRIM(PROPER(Sales_Data!F233))</f>
        <v>Priya Patel</v>
      </c>
      <c r="G233" s="66" t="s">
        <v>28</v>
      </c>
      <c r="H233" s="66" t="s">
        <v>1135</v>
      </c>
      <c r="I233" s="66" t="s">
        <v>105</v>
      </c>
      <c r="J233" s="66" t="str">
        <f>PROPER(Sales_Data!J233)</f>
        <v>West</v>
      </c>
      <c r="K233" s="66" t="str">
        <f>PROPER(Sales_Data!K233)</f>
        <v>Home Appliances</v>
      </c>
      <c r="L233" s="66" t="s">
        <v>97</v>
      </c>
      <c r="M233" s="66">
        <v>17</v>
      </c>
      <c r="N233" s="66">
        <v>3500</v>
      </c>
      <c r="O233" s="66">
        <v>15</v>
      </c>
      <c r="P233" s="66">
        <v>50575</v>
      </c>
      <c r="Q233" s="66">
        <v>3</v>
      </c>
      <c r="R233" s="66" t="s">
        <v>48</v>
      </c>
      <c r="S233" s="66" t="s">
        <v>49</v>
      </c>
      <c r="T233" s="66" t="s">
        <v>144</v>
      </c>
      <c r="U233" s="69" t="s">
        <v>1136</v>
      </c>
      <c r="V233" s="66" t="s">
        <v>64</v>
      </c>
      <c r="X233" t="str">
        <f>PROPER(Sales_Data!X233)</f>
        <v/>
      </c>
    </row>
    <row r="234" spans="1:24" x14ac:dyDescent="0.3">
      <c r="A234" s="65" t="s">
        <v>1137</v>
      </c>
      <c r="B234" s="66" t="s">
        <v>251</v>
      </c>
      <c r="C234" s="66" t="s">
        <v>222</v>
      </c>
      <c r="D234" s="67" t="s">
        <v>253</v>
      </c>
      <c r="E234" s="68" t="s">
        <v>1128</v>
      </c>
      <c r="F234" s="66" t="str">
        <f>TRIM(PROPER(Sales_Data!F234))</f>
        <v>Sneha Joshi</v>
      </c>
      <c r="G234" s="66" t="s">
        <v>28</v>
      </c>
      <c r="H234" s="66" t="s">
        <v>1138</v>
      </c>
      <c r="I234" s="66" t="s">
        <v>294</v>
      </c>
      <c r="J234" s="66" t="str">
        <f>PROPER(Sales_Data!J234)</f>
        <v>East</v>
      </c>
      <c r="K234" s="66" t="str">
        <f>PROPER(Sales_Data!K234)</f>
        <v>Stationery</v>
      </c>
      <c r="L234" s="66" t="s">
        <v>227</v>
      </c>
      <c r="M234" s="66">
        <v>7</v>
      </c>
      <c r="N234" s="66">
        <v>20</v>
      </c>
      <c r="O234" s="66">
        <v>5</v>
      </c>
      <c r="P234" s="66">
        <v>133</v>
      </c>
      <c r="Q234" s="66">
        <v>2</v>
      </c>
      <c r="R234" s="66" t="s">
        <v>88</v>
      </c>
      <c r="S234" s="66" t="s">
        <v>151</v>
      </c>
      <c r="T234" s="66" t="s">
        <v>256</v>
      </c>
      <c r="U234" s="69" t="s">
        <v>1139</v>
      </c>
      <c r="V234" s="66" t="s">
        <v>38</v>
      </c>
      <c r="X234" t="str">
        <f>PROPER(Sales_Data!X234)</f>
        <v/>
      </c>
    </row>
    <row r="235" spans="1:24" x14ac:dyDescent="0.3">
      <c r="A235" s="65" t="s">
        <v>1140</v>
      </c>
      <c r="B235" s="66" t="s">
        <v>23</v>
      </c>
      <c r="C235" s="66" t="s">
        <v>24</v>
      </c>
      <c r="D235" s="67" t="s">
        <v>1141</v>
      </c>
      <c r="E235" s="68" t="s">
        <v>1142</v>
      </c>
      <c r="F235" s="66" t="str">
        <f>TRIM(PROPER(Sales_Data!F235))</f>
        <v>Kavya Nair</v>
      </c>
      <c r="G235" s="66" t="s">
        <v>28</v>
      </c>
      <c r="H235" s="66" t="s">
        <v>1143</v>
      </c>
      <c r="I235" s="66" t="s">
        <v>59</v>
      </c>
      <c r="J235" s="66" t="str">
        <f>PROPER(Sales_Data!J235)</f>
        <v>South</v>
      </c>
      <c r="K235" s="66" t="str">
        <f>PROPER(Sales_Data!K235)</f>
        <v>Home Appliances</v>
      </c>
      <c r="L235" s="66" t="s">
        <v>33</v>
      </c>
      <c r="M235" s="66">
        <v>15</v>
      </c>
      <c r="N235" s="66">
        <v>2200</v>
      </c>
      <c r="O235" s="66">
        <v>20</v>
      </c>
      <c r="P235" s="66">
        <v>26400</v>
      </c>
      <c r="Q235" s="66">
        <v>2</v>
      </c>
      <c r="R235" s="66" t="s">
        <v>34</v>
      </c>
      <c r="S235" s="66" t="s">
        <v>61</v>
      </c>
      <c r="T235" s="66" t="s">
        <v>50</v>
      </c>
      <c r="U235" s="69" t="s">
        <v>1144</v>
      </c>
      <c r="V235" s="66" t="s">
        <v>38</v>
      </c>
      <c r="X235" t="str">
        <f>PROPER(Sales_Data!X235)</f>
        <v/>
      </c>
    </row>
    <row r="236" spans="1:24" x14ac:dyDescent="0.3">
      <c r="A236" s="65" t="s">
        <v>1145</v>
      </c>
      <c r="B236" s="66" t="s">
        <v>71</v>
      </c>
      <c r="C236" s="66" t="s">
        <v>222</v>
      </c>
      <c r="D236" s="67" t="s">
        <v>736</v>
      </c>
      <c r="E236" s="68" t="s">
        <v>94</v>
      </c>
      <c r="F236" s="66" t="str">
        <f>TRIM(PROPER(Sales_Data!F236))</f>
        <v>Mohit Verma</v>
      </c>
      <c r="G236" s="66" t="s">
        <v>76</v>
      </c>
      <c r="H236" s="66" t="s">
        <v>1146</v>
      </c>
      <c r="I236" s="66" t="s">
        <v>105</v>
      </c>
      <c r="J236" s="66" t="str">
        <f>PROPER(Sales_Data!J236)</f>
        <v>West</v>
      </c>
      <c r="K236" s="66" t="str">
        <f>PROPER(Sales_Data!K236)</f>
        <v>Stationery</v>
      </c>
      <c r="L236" s="66" t="s">
        <v>227</v>
      </c>
      <c r="M236" s="66">
        <v>5</v>
      </c>
      <c r="N236" s="66">
        <v>20</v>
      </c>
      <c r="O236" s="66">
        <v>0</v>
      </c>
      <c r="P236" s="66">
        <v>100</v>
      </c>
      <c r="Q236" s="66">
        <v>3</v>
      </c>
      <c r="R236" s="66" t="s">
        <v>34</v>
      </c>
      <c r="S236" s="66" t="s">
        <v>151</v>
      </c>
      <c r="T236" s="66" t="s">
        <v>80</v>
      </c>
      <c r="U236" s="69" t="s">
        <v>1147</v>
      </c>
      <c r="V236" s="66" t="s">
        <v>38</v>
      </c>
      <c r="X236" t="str">
        <f>PROPER(Sales_Data!X236)</f>
        <v/>
      </c>
    </row>
    <row r="237" spans="1:24" x14ac:dyDescent="0.3">
      <c r="A237" s="65" t="s">
        <v>1148</v>
      </c>
      <c r="B237" s="66" t="s">
        <v>127</v>
      </c>
      <c r="C237" s="66" t="s">
        <v>40</v>
      </c>
      <c r="D237" s="67">
        <v>45907</v>
      </c>
      <c r="E237" s="68" t="s">
        <v>779</v>
      </c>
      <c r="F237" s="66" t="str">
        <f>TRIM(PROPER(Sales_Data!F237))</f>
        <v>Rohit Singh</v>
      </c>
      <c r="G237" s="66" t="s">
        <v>76</v>
      </c>
      <c r="H237" s="66" t="s">
        <v>1150</v>
      </c>
      <c r="I237" s="66" t="s">
        <v>44</v>
      </c>
      <c r="J237" s="66" t="str">
        <f>PROPER(Sales_Data!J237)</f>
        <v>North</v>
      </c>
      <c r="K237" s="66" t="str">
        <f>PROPER(Sales_Data!K237)</f>
        <v>Electronics</v>
      </c>
      <c r="L237" s="66" t="s">
        <v>47</v>
      </c>
      <c r="M237" s="66">
        <v>8</v>
      </c>
      <c r="N237" s="66">
        <v>12000</v>
      </c>
      <c r="O237" s="66">
        <v>20</v>
      </c>
      <c r="P237" s="66">
        <v>76800</v>
      </c>
      <c r="Q237" s="66">
        <v>3</v>
      </c>
      <c r="R237" s="66" t="s">
        <v>79</v>
      </c>
      <c r="S237" s="66" t="s">
        <v>61</v>
      </c>
      <c r="T237" s="66" t="s">
        <v>132</v>
      </c>
      <c r="U237" s="69" t="s">
        <v>1151</v>
      </c>
      <c r="V237" s="66" t="s">
        <v>64</v>
      </c>
      <c r="X237" t="str">
        <f>PROPER(Sales_Data!X237)</f>
        <v/>
      </c>
    </row>
    <row r="238" spans="1:24" x14ac:dyDescent="0.3">
      <c r="A238" s="65" t="s">
        <v>1152</v>
      </c>
      <c r="B238" s="66" t="s">
        <v>127</v>
      </c>
      <c r="C238" s="66" t="s">
        <v>92</v>
      </c>
      <c r="D238" s="67">
        <v>45871</v>
      </c>
      <c r="E238" s="68" t="s">
        <v>987</v>
      </c>
      <c r="F238" s="66" t="str">
        <f>TRIM(PROPER(Sales_Data!F238))</f>
        <v>Rohit Singh</v>
      </c>
      <c r="G238" s="66" t="s">
        <v>76</v>
      </c>
      <c r="H238" s="66" t="s">
        <v>1154</v>
      </c>
      <c r="I238" s="66" t="s">
        <v>105</v>
      </c>
      <c r="J238" s="66" t="str">
        <f>PROPER(Sales_Data!J238)</f>
        <v>West</v>
      </c>
      <c r="K238" s="66" t="str">
        <f>PROPER(Sales_Data!K238)</f>
        <v>Home Appliances</v>
      </c>
      <c r="L238" s="66" t="s">
        <v>97</v>
      </c>
      <c r="M238" s="66">
        <v>4</v>
      </c>
      <c r="N238" s="66">
        <v>3500</v>
      </c>
      <c r="O238" s="66">
        <v>20</v>
      </c>
      <c r="P238" s="66">
        <v>11200</v>
      </c>
      <c r="Q238" s="66">
        <v>1</v>
      </c>
      <c r="R238" s="66" t="s">
        <v>79</v>
      </c>
      <c r="S238" s="66" t="s">
        <v>115</v>
      </c>
      <c r="T238" s="66" t="s">
        <v>132</v>
      </c>
      <c r="U238" s="69" t="s">
        <v>1155</v>
      </c>
      <c r="V238" s="66" t="s">
        <v>38</v>
      </c>
      <c r="X238" t="str">
        <f>PROPER(Sales_Data!X238)</f>
        <v/>
      </c>
    </row>
    <row r="239" spans="1:24" x14ac:dyDescent="0.3">
      <c r="A239" s="65" t="s">
        <v>1156</v>
      </c>
      <c r="B239" s="66" t="s">
        <v>221</v>
      </c>
      <c r="C239" s="66" t="s">
        <v>259</v>
      </c>
      <c r="D239" s="67" t="s">
        <v>628</v>
      </c>
      <c r="E239" s="68" t="s">
        <v>1157</v>
      </c>
      <c r="F239" s="66" t="str">
        <f>TRIM(PROPER(Sales_Data!F239))</f>
        <v>Vikas Mehta</v>
      </c>
      <c r="G239" s="66" t="s">
        <v>76</v>
      </c>
      <c r="H239" s="66" t="s">
        <v>1158</v>
      </c>
      <c r="I239" s="66" t="s">
        <v>30</v>
      </c>
      <c r="J239" s="66" t="str">
        <f>PROPER(Sales_Data!J239)</f>
        <v>South</v>
      </c>
      <c r="K239" s="66" t="str">
        <f>PROPER(Sales_Data!K239)</f>
        <v>Stationery</v>
      </c>
      <c r="L239" s="66" t="s">
        <v>263</v>
      </c>
      <c r="M239" s="66">
        <v>19</v>
      </c>
      <c r="N239" s="66">
        <v>45</v>
      </c>
      <c r="O239" s="66">
        <v>10</v>
      </c>
      <c r="P239" s="66">
        <v>769.5</v>
      </c>
      <c r="Q239" s="66">
        <v>1</v>
      </c>
      <c r="R239" s="66" t="s">
        <v>34</v>
      </c>
      <c r="S239" s="66" t="s">
        <v>115</v>
      </c>
      <c r="T239" s="66" t="s">
        <v>228</v>
      </c>
      <c r="U239" s="69" t="s">
        <v>1159</v>
      </c>
      <c r="V239" s="66" t="s">
        <v>38</v>
      </c>
      <c r="X239" t="str">
        <f>PROPER(Sales_Data!X239)</f>
        <v/>
      </c>
    </row>
    <row r="240" spans="1:24" x14ac:dyDescent="0.3">
      <c r="A240" s="65" t="s">
        <v>1160</v>
      </c>
      <c r="B240" s="66" t="s">
        <v>53</v>
      </c>
      <c r="C240" s="66" t="s">
        <v>259</v>
      </c>
      <c r="D240" s="67" t="s">
        <v>588</v>
      </c>
      <c r="E240" s="68" t="s">
        <v>1161</v>
      </c>
      <c r="F240" s="66" t="str">
        <f>TRIM(PROPER(Sales_Data!F240))</f>
        <v>Pooja Shah</v>
      </c>
      <c r="G240" s="66" t="s">
        <v>28</v>
      </c>
      <c r="H240" s="66" t="s">
        <v>1162</v>
      </c>
      <c r="I240" s="66" t="s">
        <v>114</v>
      </c>
      <c r="J240" s="66" t="str">
        <f>PROPER(Sales_Data!J240)</f>
        <v>West</v>
      </c>
      <c r="K240" s="66" t="str">
        <f>PROPER(Sales_Data!K240)</f>
        <v>Stationery</v>
      </c>
      <c r="L240" s="66" t="s">
        <v>263</v>
      </c>
      <c r="M240" s="66">
        <v>10</v>
      </c>
      <c r="N240" s="66">
        <v>45</v>
      </c>
      <c r="O240" s="66">
        <v>0</v>
      </c>
      <c r="P240" s="66">
        <v>450</v>
      </c>
      <c r="Q240" s="66">
        <v>4</v>
      </c>
      <c r="R240" s="66" t="s">
        <v>88</v>
      </c>
      <c r="S240" s="66" t="s">
        <v>61</v>
      </c>
      <c r="T240" s="66" t="s">
        <v>62</v>
      </c>
      <c r="U240" s="69" t="s">
        <v>1163</v>
      </c>
      <c r="V240" s="66" t="s">
        <v>38</v>
      </c>
      <c r="X240" t="str">
        <f>PROPER(Sales_Data!X240)</f>
        <v/>
      </c>
    </row>
    <row r="241" spans="1:24" x14ac:dyDescent="0.3">
      <c r="A241" s="65" t="s">
        <v>1164</v>
      </c>
      <c r="B241" s="66" t="s">
        <v>53</v>
      </c>
      <c r="C241" s="66" t="s">
        <v>259</v>
      </c>
      <c r="D241" s="67">
        <v>46235</v>
      </c>
      <c r="E241" s="68" t="s">
        <v>1039</v>
      </c>
      <c r="F241" s="66" t="str">
        <f>TRIM(PROPER(Sales_Data!F241))</f>
        <v>Pooja Shah</v>
      </c>
      <c r="G241" s="66" t="s">
        <v>28</v>
      </c>
      <c r="H241" s="66" t="s">
        <v>1166</v>
      </c>
      <c r="I241" s="66" t="s">
        <v>30</v>
      </c>
      <c r="J241" s="66" t="str">
        <f>PROPER(Sales_Data!J241)</f>
        <v>South</v>
      </c>
      <c r="K241" s="66" t="str">
        <f>PROPER(Sales_Data!K241)</f>
        <v>Stationery</v>
      </c>
      <c r="L241" s="66" t="s">
        <v>263</v>
      </c>
      <c r="M241" s="66">
        <v>16</v>
      </c>
      <c r="N241" s="66">
        <v>45</v>
      </c>
      <c r="O241" s="66">
        <v>15</v>
      </c>
      <c r="P241" s="66">
        <v>612</v>
      </c>
      <c r="Q241" s="66">
        <v>3</v>
      </c>
      <c r="R241" s="66" t="s">
        <v>34</v>
      </c>
      <c r="S241" s="66" t="s">
        <v>115</v>
      </c>
      <c r="T241" s="66" t="s">
        <v>62</v>
      </c>
      <c r="U241" s="69" t="s">
        <v>1167</v>
      </c>
      <c r="V241" s="66" t="s">
        <v>69</v>
      </c>
      <c r="X241" t="str">
        <f>PROPER(Sales_Data!X241)</f>
        <v/>
      </c>
    </row>
    <row r="242" spans="1:24" x14ac:dyDescent="0.3">
      <c r="A242" s="65" t="s">
        <v>1168</v>
      </c>
      <c r="B242" s="66" t="s">
        <v>168</v>
      </c>
      <c r="C242" s="66" t="s">
        <v>169</v>
      </c>
      <c r="D242" s="67" t="s">
        <v>119</v>
      </c>
      <c r="E242" s="68" t="s">
        <v>120</v>
      </c>
      <c r="F242" s="66" t="str">
        <f>TRIM(PROPER(Sales_Data!F242))</f>
        <v>Anita Gupta</v>
      </c>
      <c r="G242" s="66" t="s">
        <v>28</v>
      </c>
      <c r="H242" s="66" t="s">
        <v>1169</v>
      </c>
      <c r="I242" s="66" t="s">
        <v>114</v>
      </c>
      <c r="J242" s="66" t="str">
        <f>PROPER(Sales_Data!J242)</f>
        <v>West</v>
      </c>
      <c r="K242" s="66" t="str">
        <f>PROPER(Sales_Data!K242)</f>
        <v>Home Appliances</v>
      </c>
      <c r="L242" s="66" t="s">
        <v>174</v>
      </c>
      <c r="M242" s="66">
        <v>16</v>
      </c>
      <c r="N242" s="66">
        <v>8500</v>
      </c>
      <c r="O242" s="66">
        <v>15</v>
      </c>
      <c r="P242" s="66">
        <v>115600</v>
      </c>
      <c r="Q242" s="66">
        <v>4</v>
      </c>
      <c r="R242" s="66" t="s">
        <v>48</v>
      </c>
      <c r="S242" s="66" t="s">
        <v>35</v>
      </c>
      <c r="T242" s="66" t="s">
        <v>175</v>
      </c>
      <c r="U242" s="69" t="s">
        <v>1170</v>
      </c>
      <c r="V242" s="66" t="s">
        <v>69</v>
      </c>
      <c r="X242" t="str">
        <f>PROPER(Sales_Data!X242)</f>
        <v/>
      </c>
    </row>
    <row r="243" spans="1:24" x14ac:dyDescent="0.3">
      <c r="A243" s="65" t="s">
        <v>1171</v>
      </c>
      <c r="B243" s="66" t="s">
        <v>168</v>
      </c>
      <c r="C243" s="66" t="s">
        <v>222</v>
      </c>
      <c r="D243" s="67">
        <v>45666</v>
      </c>
      <c r="E243" s="68" t="s">
        <v>1172</v>
      </c>
      <c r="F243" s="66" t="str">
        <f>TRIM(PROPER(Sales_Data!F243))</f>
        <v>Anita Gupta</v>
      </c>
      <c r="G243" s="66" t="s">
        <v>28</v>
      </c>
      <c r="H243" s="66" t="s">
        <v>1173</v>
      </c>
      <c r="I243" s="66" t="s">
        <v>294</v>
      </c>
      <c r="J243" s="66" t="str">
        <f>PROPER(Sales_Data!J243)</f>
        <v>East</v>
      </c>
      <c r="K243" s="66" t="str">
        <f>PROPER(Sales_Data!K243)</f>
        <v>Stationery</v>
      </c>
      <c r="L243" s="66" t="s">
        <v>227</v>
      </c>
      <c r="M243" s="66">
        <v>15</v>
      </c>
      <c r="N243" s="66">
        <v>20</v>
      </c>
      <c r="O243" s="66">
        <v>20</v>
      </c>
      <c r="P243" s="66">
        <v>240</v>
      </c>
      <c r="Q243" s="66">
        <v>3</v>
      </c>
      <c r="R243" s="66" t="s">
        <v>48</v>
      </c>
      <c r="S243" s="66" t="s">
        <v>49</v>
      </c>
      <c r="T243" s="66" t="s">
        <v>175</v>
      </c>
      <c r="U243" s="69" t="s">
        <v>1174</v>
      </c>
      <c r="V243" s="66" t="s">
        <v>69</v>
      </c>
      <c r="X243" t="str">
        <f>PROPER(Sales_Data!X243)</f>
        <v/>
      </c>
    </row>
    <row r="244" spans="1:24" x14ac:dyDescent="0.3">
      <c r="A244" s="65" t="s">
        <v>1175</v>
      </c>
      <c r="B244" s="66" t="s">
        <v>83</v>
      </c>
      <c r="C244" s="66" t="s">
        <v>118</v>
      </c>
      <c r="D244" s="67">
        <v>46266</v>
      </c>
      <c r="E244" s="68" t="s">
        <v>1176</v>
      </c>
      <c r="F244" s="66" t="str">
        <f>TRIM(PROPER(Sales_Data!F244))</f>
        <v>Arjun Rao</v>
      </c>
      <c r="G244" s="66" t="s">
        <v>76</v>
      </c>
      <c r="H244" s="66" t="s">
        <v>1177</v>
      </c>
      <c r="I244" s="66" t="s">
        <v>59</v>
      </c>
      <c r="J244" s="66" t="str">
        <f>PROPER(Sales_Data!J244)</f>
        <v>South</v>
      </c>
      <c r="K244" s="66" t="str">
        <f>PROPER(Sales_Data!K244)</f>
        <v>Stationery</v>
      </c>
      <c r="L244" s="66" t="s">
        <v>123</v>
      </c>
      <c r="M244" s="66">
        <v>14</v>
      </c>
      <c r="N244" s="66">
        <v>60</v>
      </c>
      <c r="O244" s="66">
        <v>5</v>
      </c>
      <c r="P244" s="66">
        <v>798</v>
      </c>
      <c r="Q244" s="66">
        <v>4</v>
      </c>
      <c r="R244" s="66" t="s">
        <v>34</v>
      </c>
      <c r="S244" s="66" t="s">
        <v>49</v>
      </c>
      <c r="T244" s="66" t="s">
        <v>89</v>
      </c>
      <c r="U244" s="69" t="s">
        <v>1178</v>
      </c>
      <c r="V244" s="66" t="s">
        <v>38</v>
      </c>
      <c r="X244" t="str">
        <f>PROPER(Sales_Data!X244)</f>
        <v/>
      </c>
    </row>
    <row r="245" spans="1:24" x14ac:dyDescent="0.3">
      <c r="A245" s="65" t="s">
        <v>1179</v>
      </c>
      <c r="B245" s="66" t="s">
        <v>53</v>
      </c>
      <c r="C245" s="66" t="s">
        <v>72</v>
      </c>
      <c r="D245" s="67" t="s">
        <v>1180</v>
      </c>
      <c r="E245" s="68" t="s">
        <v>1181</v>
      </c>
      <c r="F245" s="66" t="str">
        <f>TRIM(PROPER(Sales_Data!F245))</f>
        <v>Pooja Shah</v>
      </c>
      <c r="G245" s="66" t="s">
        <v>28</v>
      </c>
      <c r="H245" s="66" t="s">
        <v>1182</v>
      </c>
      <c r="I245" s="66" t="s">
        <v>105</v>
      </c>
      <c r="J245" s="66" t="str">
        <f>PROPER(Sales_Data!J245)</f>
        <v>West</v>
      </c>
      <c r="K245" s="66" t="str">
        <f>PROPER(Sales_Data!K245)</f>
        <v>Electronics</v>
      </c>
      <c r="L245" s="66" t="s">
        <v>78</v>
      </c>
      <c r="M245" s="66">
        <v>19</v>
      </c>
      <c r="N245" s="66">
        <v>1200</v>
      </c>
      <c r="O245" s="66">
        <v>20</v>
      </c>
      <c r="P245" s="66">
        <v>18240</v>
      </c>
      <c r="Q245" s="66">
        <v>2</v>
      </c>
      <c r="R245" s="66" t="s">
        <v>34</v>
      </c>
      <c r="S245" s="66" t="s">
        <v>115</v>
      </c>
      <c r="T245" s="66" t="s">
        <v>62</v>
      </c>
      <c r="U245" s="69" t="s">
        <v>1183</v>
      </c>
      <c r="V245" s="66" t="s">
        <v>69</v>
      </c>
      <c r="X245" t="str">
        <f>PROPER(Sales_Data!X245)</f>
        <v/>
      </c>
    </row>
    <row r="246" spans="1:24" x14ac:dyDescent="0.3">
      <c r="A246" s="65" t="s">
        <v>1184</v>
      </c>
      <c r="B246" s="66" t="s">
        <v>23</v>
      </c>
      <c r="C246" s="66" t="s">
        <v>259</v>
      </c>
      <c r="D246" s="67" t="s">
        <v>340</v>
      </c>
      <c r="E246" s="68" t="s">
        <v>346</v>
      </c>
      <c r="F246" s="66" t="str">
        <f>TRIM(PROPER(Sales_Data!F246))</f>
        <v>Kavya Nair</v>
      </c>
      <c r="G246" s="66" t="s">
        <v>28</v>
      </c>
      <c r="H246" s="66" t="s">
        <v>1185</v>
      </c>
      <c r="I246" s="66" t="s">
        <v>59</v>
      </c>
      <c r="J246" s="66" t="str">
        <f>PROPER(Sales_Data!J246)</f>
        <v>South</v>
      </c>
      <c r="K246" s="66" t="str">
        <f>PROPER(Sales_Data!K246)</f>
        <v>Stationery</v>
      </c>
      <c r="L246" s="66" t="s">
        <v>263</v>
      </c>
      <c r="M246" s="66">
        <v>5</v>
      </c>
      <c r="N246" s="66">
        <v>45</v>
      </c>
      <c r="O246" s="66">
        <v>15</v>
      </c>
      <c r="P246" s="66">
        <v>191.25</v>
      </c>
      <c r="Q246" s="66">
        <v>2</v>
      </c>
      <c r="R246" s="66" t="s">
        <v>34</v>
      </c>
      <c r="S246" s="66" t="s">
        <v>61</v>
      </c>
      <c r="T246" s="66" t="s">
        <v>50</v>
      </c>
      <c r="U246" s="69" t="s">
        <v>1186</v>
      </c>
      <c r="V246" s="66" t="s">
        <v>69</v>
      </c>
      <c r="X246" t="str">
        <f>PROPER(Sales_Data!X246)</f>
        <v/>
      </c>
    </row>
    <row r="247" spans="1:24" x14ac:dyDescent="0.3">
      <c r="A247" s="65" t="s">
        <v>1187</v>
      </c>
      <c r="B247" s="66" t="s">
        <v>327</v>
      </c>
      <c r="C247" s="66" t="s">
        <v>184</v>
      </c>
      <c r="D247" s="67" t="s">
        <v>237</v>
      </c>
      <c r="E247" s="68" t="s">
        <v>1188</v>
      </c>
      <c r="F247" s="66" t="str">
        <f>TRIM(PROPER(Sales_Data!F247))</f>
        <v>Amit Sharma</v>
      </c>
      <c r="G247" s="66" t="s">
        <v>76</v>
      </c>
      <c r="H247" s="66" t="s">
        <v>1189</v>
      </c>
      <c r="I247" s="66" t="s">
        <v>30</v>
      </c>
      <c r="J247" s="66" t="str">
        <f>PROPER(Sales_Data!J247)</f>
        <v>South</v>
      </c>
      <c r="K247" s="66" t="str">
        <f>PROPER(Sales_Data!K247)</f>
        <v>Electronics</v>
      </c>
      <c r="L247" s="66" t="s">
        <v>189</v>
      </c>
      <c r="M247" s="66">
        <v>19</v>
      </c>
      <c r="N247" s="66">
        <v>700</v>
      </c>
      <c r="O247" s="66">
        <v>5</v>
      </c>
      <c r="P247" s="66">
        <v>12635</v>
      </c>
      <c r="Q247" s="66">
        <v>5</v>
      </c>
      <c r="R247" s="66" t="s">
        <v>88</v>
      </c>
      <c r="S247" s="66" t="s">
        <v>151</v>
      </c>
      <c r="T247" s="66" t="s">
        <v>332</v>
      </c>
      <c r="U247" s="69" t="s">
        <v>1190</v>
      </c>
      <c r="V247" s="66" t="s">
        <v>38</v>
      </c>
      <c r="X247" t="str">
        <f>PROPER(Sales_Data!X247)</f>
        <v/>
      </c>
    </row>
    <row r="248" spans="1:24" x14ac:dyDescent="0.3">
      <c r="A248" s="65" t="s">
        <v>1191</v>
      </c>
      <c r="B248" s="66" t="s">
        <v>127</v>
      </c>
      <c r="C248" s="66" t="s">
        <v>118</v>
      </c>
      <c r="D248" s="67">
        <v>46082</v>
      </c>
      <c r="E248" s="68" t="s">
        <v>84</v>
      </c>
      <c r="F248" s="66" t="str">
        <f>TRIM(PROPER(Sales_Data!F248))</f>
        <v>Rohit Singh</v>
      </c>
      <c r="G248" s="66" t="s">
        <v>76</v>
      </c>
      <c r="H248" s="66" t="s">
        <v>1192</v>
      </c>
      <c r="I248" s="66" t="s">
        <v>294</v>
      </c>
      <c r="J248" s="66" t="str">
        <f>PROPER(Sales_Data!J248)</f>
        <v>East</v>
      </c>
      <c r="K248" s="66" t="str">
        <f>PROPER(Sales_Data!K248)</f>
        <v>Stationery</v>
      </c>
      <c r="L248" s="66" t="s">
        <v>123</v>
      </c>
      <c r="M248" s="66">
        <v>7</v>
      </c>
      <c r="N248" s="66">
        <v>60</v>
      </c>
      <c r="O248" s="66">
        <v>0</v>
      </c>
      <c r="P248" s="66">
        <v>420</v>
      </c>
      <c r="Q248" s="66">
        <v>4</v>
      </c>
      <c r="R248" s="66" t="s">
        <v>34</v>
      </c>
      <c r="S248" s="66" t="s">
        <v>115</v>
      </c>
      <c r="T248" s="66" t="s">
        <v>132</v>
      </c>
      <c r="U248" s="69" t="s">
        <v>1193</v>
      </c>
      <c r="V248" s="66" t="s">
        <v>64</v>
      </c>
      <c r="X248" t="str">
        <f>PROPER(Sales_Data!X248)</f>
        <v/>
      </c>
    </row>
    <row r="249" spans="1:24" x14ac:dyDescent="0.3">
      <c r="A249" s="65" t="s">
        <v>1194</v>
      </c>
      <c r="B249" s="66" t="s">
        <v>71</v>
      </c>
      <c r="C249" s="66" t="s">
        <v>24</v>
      </c>
      <c r="D249" s="67" t="s">
        <v>215</v>
      </c>
      <c r="E249" s="68" t="s">
        <v>711</v>
      </c>
      <c r="F249" s="66" t="str">
        <f>TRIM(PROPER(Sales_Data!F249))</f>
        <v>Mohit Verma</v>
      </c>
      <c r="G249" s="66" t="s">
        <v>76</v>
      </c>
      <c r="H249" s="66" t="s">
        <v>1195</v>
      </c>
      <c r="I249" s="66" t="s">
        <v>105</v>
      </c>
      <c r="J249" s="66" t="str">
        <f>PROPER(Sales_Data!J249)</f>
        <v>West</v>
      </c>
      <c r="K249" s="66" t="str">
        <f>PROPER(Sales_Data!K249)</f>
        <v>Home Appliances</v>
      </c>
      <c r="L249" s="66" t="s">
        <v>33</v>
      </c>
      <c r="M249" s="66">
        <v>13</v>
      </c>
      <c r="N249" s="66">
        <v>2200</v>
      </c>
      <c r="O249" s="66">
        <v>10</v>
      </c>
      <c r="P249" s="66">
        <v>25740</v>
      </c>
      <c r="Q249" s="66">
        <v>1</v>
      </c>
      <c r="R249" s="66" t="s">
        <v>79</v>
      </c>
      <c r="S249" s="66" t="s">
        <v>151</v>
      </c>
      <c r="T249" s="66" t="s">
        <v>80</v>
      </c>
      <c r="U249" s="69" t="s">
        <v>1196</v>
      </c>
      <c r="V249" s="66" t="s">
        <v>38</v>
      </c>
      <c r="X249" t="str">
        <f>PROPER(Sales_Data!X249)</f>
        <v/>
      </c>
    </row>
    <row r="250" spans="1:24" x14ac:dyDescent="0.3">
      <c r="A250" s="65" t="s">
        <v>1197</v>
      </c>
      <c r="B250" s="66" t="s">
        <v>71</v>
      </c>
      <c r="C250" s="66" t="s">
        <v>24</v>
      </c>
      <c r="D250" s="67" t="s">
        <v>1198</v>
      </c>
      <c r="E250" s="68" t="s">
        <v>1199</v>
      </c>
      <c r="F250" s="66" t="str">
        <f>TRIM(PROPER(Sales_Data!F250))</f>
        <v>Mohit Verma</v>
      </c>
      <c r="G250" s="66" t="s">
        <v>76</v>
      </c>
      <c r="H250" s="66" t="s">
        <v>1200</v>
      </c>
      <c r="I250" s="66" t="s">
        <v>59</v>
      </c>
      <c r="J250" s="66" t="str">
        <f>PROPER(Sales_Data!J250)</f>
        <v>South</v>
      </c>
      <c r="K250" s="66" t="str">
        <f>PROPER(Sales_Data!K250)</f>
        <v>Home Appliances</v>
      </c>
      <c r="L250" s="66" t="s">
        <v>33</v>
      </c>
      <c r="M250" s="66">
        <v>9</v>
      </c>
      <c r="N250" s="66">
        <v>2200</v>
      </c>
      <c r="O250" s="66">
        <v>10</v>
      </c>
      <c r="P250" s="66">
        <v>17820</v>
      </c>
      <c r="Q250" s="66">
        <v>2</v>
      </c>
      <c r="R250" s="66" t="s">
        <v>1201</v>
      </c>
      <c r="S250" s="66" t="s">
        <v>61</v>
      </c>
      <c r="T250" s="66" t="s">
        <v>80</v>
      </c>
      <c r="U250" s="69" t="s">
        <v>1202</v>
      </c>
      <c r="V250" s="66" t="s">
        <v>69</v>
      </c>
      <c r="X250" t="str">
        <f>PROPER(Sales_Data!X250)</f>
        <v/>
      </c>
    </row>
    <row r="251" spans="1:24" x14ac:dyDescent="0.3">
      <c r="A251" s="65" t="s">
        <v>1203</v>
      </c>
      <c r="B251" s="66" t="s">
        <v>327</v>
      </c>
      <c r="C251" s="66" t="s">
        <v>169</v>
      </c>
      <c r="D251" s="67" t="s">
        <v>944</v>
      </c>
      <c r="E251" s="68" t="s">
        <v>1204</v>
      </c>
      <c r="F251" s="66" t="str">
        <f>TRIM(PROPER(Sales_Data!F251))</f>
        <v>Amit Sharma</v>
      </c>
      <c r="G251" s="66" t="s">
        <v>76</v>
      </c>
      <c r="H251" s="66" t="s">
        <v>1205</v>
      </c>
      <c r="I251" s="66" t="s">
        <v>59</v>
      </c>
      <c r="J251" s="66" t="str">
        <f>PROPER(Sales_Data!J251)</f>
        <v>South</v>
      </c>
      <c r="K251" s="66" t="str">
        <f>PROPER(Sales_Data!K251)</f>
        <v>Home Appliances</v>
      </c>
      <c r="L251" s="66" t="s">
        <v>174</v>
      </c>
      <c r="M251" s="66">
        <v>6</v>
      </c>
      <c r="N251" s="66">
        <v>8500</v>
      </c>
      <c r="O251" s="66">
        <v>15</v>
      </c>
      <c r="P251" s="66">
        <v>43350</v>
      </c>
      <c r="Q251" s="66">
        <v>2</v>
      </c>
      <c r="R251" s="66" t="s">
        <v>34</v>
      </c>
      <c r="S251" s="66" t="s">
        <v>151</v>
      </c>
      <c r="T251" s="66" t="s">
        <v>332</v>
      </c>
      <c r="U251" s="69" t="s">
        <v>1206</v>
      </c>
      <c r="V251" s="66" t="s">
        <v>69</v>
      </c>
      <c r="X251" t="str">
        <f>PROPER(Sales_Data!X251)</f>
        <v/>
      </c>
    </row>
    <row r="252" spans="1:24" x14ac:dyDescent="0.3">
      <c r="A252" s="65" t="s">
        <v>1207</v>
      </c>
      <c r="B252" s="66" t="s">
        <v>221</v>
      </c>
      <c r="C252" s="66" t="s">
        <v>24</v>
      </c>
      <c r="D252" s="67" t="s">
        <v>736</v>
      </c>
      <c r="E252" s="68" t="s">
        <v>94</v>
      </c>
      <c r="F252" s="66" t="str">
        <f>TRIM(PROPER(Sales_Data!F252))</f>
        <v>Vikas Mehta</v>
      </c>
      <c r="G252" s="66" t="s">
        <v>76</v>
      </c>
      <c r="H252" s="66" t="s">
        <v>1208</v>
      </c>
      <c r="I252" s="66" t="s">
        <v>44</v>
      </c>
      <c r="J252" s="66" t="str">
        <f>PROPER(Sales_Data!J252)</f>
        <v>North</v>
      </c>
      <c r="K252" s="66" t="str">
        <f>PROPER(Sales_Data!K252)</f>
        <v>Home Appliances</v>
      </c>
      <c r="L252" s="66" t="s">
        <v>33</v>
      </c>
      <c r="M252" s="66">
        <v>9</v>
      </c>
      <c r="N252" s="66">
        <v>2200</v>
      </c>
      <c r="O252" s="66">
        <v>10</v>
      </c>
      <c r="P252" s="66">
        <v>17820</v>
      </c>
      <c r="Q252" s="66">
        <v>3</v>
      </c>
      <c r="R252" s="66" t="s">
        <v>79</v>
      </c>
      <c r="S252" s="66" t="s">
        <v>35</v>
      </c>
      <c r="T252" s="66" t="s">
        <v>228</v>
      </c>
      <c r="U252" s="69" t="s">
        <v>1209</v>
      </c>
      <c r="V252" s="66" t="s">
        <v>64</v>
      </c>
      <c r="X252" t="str">
        <f>PROPER(Sales_Data!X252)</f>
        <v/>
      </c>
    </row>
    <row r="253" spans="1:24" x14ac:dyDescent="0.3">
      <c r="A253" s="65" t="s">
        <v>1210</v>
      </c>
      <c r="B253" s="66" t="s">
        <v>23</v>
      </c>
      <c r="C253" s="66" t="s">
        <v>169</v>
      </c>
      <c r="D253" s="67" t="s">
        <v>825</v>
      </c>
      <c r="E253" s="68" t="s">
        <v>876</v>
      </c>
      <c r="F253" s="66" t="str">
        <f>TRIM(PROPER(Sales_Data!F253))</f>
        <v>Kavya Nair</v>
      </c>
      <c r="G253" s="66" t="s">
        <v>28</v>
      </c>
      <c r="H253" s="66" t="s">
        <v>1211</v>
      </c>
      <c r="I253" s="66" t="s">
        <v>294</v>
      </c>
      <c r="J253" s="66" t="str">
        <f>PROPER(Sales_Data!J253)</f>
        <v>East</v>
      </c>
      <c r="K253" s="66" t="str">
        <f>PROPER(Sales_Data!K253)</f>
        <v>Home Appliances</v>
      </c>
      <c r="L253" s="66" t="s">
        <v>174</v>
      </c>
      <c r="M253" s="66">
        <v>16</v>
      </c>
      <c r="N253" s="66">
        <v>8500</v>
      </c>
      <c r="O253" s="66">
        <v>0</v>
      </c>
      <c r="P253" s="66">
        <v>136000</v>
      </c>
      <c r="Q253" s="66">
        <v>5</v>
      </c>
      <c r="R253" s="66" t="s">
        <v>88</v>
      </c>
      <c r="S253" s="66" t="s">
        <v>115</v>
      </c>
      <c r="T253" s="66" t="s">
        <v>50</v>
      </c>
      <c r="U253" s="69" t="s">
        <v>1212</v>
      </c>
      <c r="V253" s="66" t="s">
        <v>69</v>
      </c>
      <c r="X253" t="str">
        <f>PROPER(Sales_Data!X253)</f>
        <v/>
      </c>
    </row>
    <row r="254" spans="1:24" x14ac:dyDescent="0.3">
      <c r="A254" s="65" t="s">
        <v>1213</v>
      </c>
      <c r="B254" s="66" t="s">
        <v>327</v>
      </c>
      <c r="C254" s="66" t="s">
        <v>72</v>
      </c>
      <c r="D254" s="67" t="s">
        <v>1214</v>
      </c>
      <c r="E254" s="68" t="s">
        <v>692</v>
      </c>
      <c r="F254" s="66" t="str">
        <f>TRIM(PROPER(Sales_Data!F254))</f>
        <v>Amit Sharma</v>
      </c>
      <c r="G254" s="66" t="s">
        <v>76</v>
      </c>
      <c r="H254" s="66" t="s">
        <v>1215</v>
      </c>
      <c r="I254" s="66" t="s">
        <v>44</v>
      </c>
      <c r="J254" s="66" t="str">
        <f>PROPER(Sales_Data!J254)</f>
        <v>North</v>
      </c>
      <c r="K254" s="66" t="str">
        <f>PROPER(Sales_Data!K254)</f>
        <v>Electronics</v>
      </c>
      <c r="L254" s="66" t="s">
        <v>78</v>
      </c>
      <c r="M254" s="66">
        <v>10</v>
      </c>
      <c r="N254" s="66">
        <v>1200</v>
      </c>
      <c r="O254" s="66">
        <v>15</v>
      </c>
      <c r="P254" s="66">
        <v>10200</v>
      </c>
      <c r="Q254" s="66">
        <v>5</v>
      </c>
      <c r="R254" s="66" t="s">
        <v>34</v>
      </c>
      <c r="S254" s="66" t="s">
        <v>49</v>
      </c>
      <c r="T254" s="66" t="s">
        <v>332</v>
      </c>
      <c r="U254" s="69" t="s">
        <v>1216</v>
      </c>
      <c r="V254" s="66" t="s">
        <v>38</v>
      </c>
      <c r="X254" t="str">
        <f>PROPER(Sales_Data!X254)</f>
        <v/>
      </c>
    </row>
    <row r="255" spans="1:24" x14ac:dyDescent="0.3">
      <c r="A255" s="65" t="s">
        <v>1217</v>
      </c>
      <c r="B255" s="66" t="s">
        <v>127</v>
      </c>
      <c r="C255" s="66" t="s">
        <v>40</v>
      </c>
      <c r="D255" s="67">
        <v>45780</v>
      </c>
      <c r="E255" s="68" t="s">
        <v>136</v>
      </c>
      <c r="F255" s="66" t="str">
        <f>TRIM(PROPER(Sales_Data!F255))</f>
        <v>Rohit Singh</v>
      </c>
      <c r="G255" s="66" t="s">
        <v>76</v>
      </c>
      <c r="H255" s="66" t="s">
        <v>1218</v>
      </c>
      <c r="I255" s="66" t="s">
        <v>294</v>
      </c>
      <c r="J255" s="66" t="str">
        <f>PROPER(Sales_Data!J255)</f>
        <v>East</v>
      </c>
      <c r="K255" s="66" t="str">
        <f>PROPER(Sales_Data!K255)</f>
        <v>Electronics</v>
      </c>
      <c r="L255" s="66" t="s">
        <v>47</v>
      </c>
      <c r="M255" s="66">
        <v>7</v>
      </c>
      <c r="N255" s="66">
        <v>12000</v>
      </c>
      <c r="O255" s="66">
        <v>0</v>
      </c>
      <c r="P255" s="66">
        <v>84000</v>
      </c>
      <c r="Q255" s="66">
        <v>1</v>
      </c>
      <c r="R255" s="66" t="s">
        <v>88</v>
      </c>
      <c r="S255" s="66" t="s">
        <v>151</v>
      </c>
      <c r="T255" s="66" t="s">
        <v>132</v>
      </c>
      <c r="U255" s="69" t="s">
        <v>1219</v>
      </c>
      <c r="V255" s="66" t="s">
        <v>64</v>
      </c>
      <c r="X255" t="str">
        <f>PROPER(Sales_Data!X255)</f>
        <v/>
      </c>
    </row>
    <row r="256" spans="1:24" x14ac:dyDescent="0.3">
      <c r="A256" s="65" t="s">
        <v>1220</v>
      </c>
      <c r="B256" s="66" t="s">
        <v>221</v>
      </c>
      <c r="C256" s="66" t="s">
        <v>40</v>
      </c>
      <c r="D256" s="67" t="s">
        <v>128</v>
      </c>
      <c r="E256" s="68" t="s">
        <v>1221</v>
      </c>
      <c r="F256" s="66" t="str">
        <f>TRIM(PROPER(Sales_Data!F256))</f>
        <v>Vikas Mehta</v>
      </c>
      <c r="G256" s="66" t="s">
        <v>76</v>
      </c>
      <c r="H256" s="66" t="s">
        <v>1222</v>
      </c>
      <c r="I256" s="66" t="s">
        <v>114</v>
      </c>
      <c r="J256" s="66" t="str">
        <f>PROPER(Sales_Data!J256)</f>
        <v>West</v>
      </c>
      <c r="K256" s="66" t="str">
        <f>PROPER(Sales_Data!K256)</f>
        <v>Electronics</v>
      </c>
      <c r="L256" s="66" t="s">
        <v>47</v>
      </c>
      <c r="M256" s="66">
        <v>3</v>
      </c>
      <c r="N256" s="66">
        <v>12000</v>
      </c>
      <c r="O256" s="66">
        <v>10</v>
      </c>
      <c r="P256" s="66">
        <v>32400</v>
      </c>
      <c r="Q256" s="66">
        <v>4</v>
      </c>
      <c r="R256" s="66" t="s">
        <v>79</v>
      </c>
      <c r="S256" s="66" t="s">
        <v>151</v>
      </c>
      <c r="T256" s="66" t="s">
        <v>228</v>
      </c>
      <c r="U256" s="69" t="s">
        <v>1223</v>
      </c>
      <c r="V256" s="66" t="s">
        <v>38</v>
      </c>
      <c r="X256" t="str">
        <f>PROPER(Sales_Data!X256)</f>
        <v/>
      </c>
    </row>
    <row r="257" spans="1:24" x14ac:dyDescent="0.3">
      <c r="A257" s="65" t="s">
        <v>1224</v>
      </c>
      <c r="B257" s="66" t="s">
        <v>221</v>
      </c>
      <c r="C257" s="66" t="s">
        <v>40</v>
      </c>
      <c r="D257" s="67">
        <v>45727</v>
      </c>
      <c r="E257" s="68" t="s">
        <v>927</v>
      </c>
      <c r="F257" s="66" t="str">
        <f>TRIM(PROPER(Sales_Data!F257))</f>
        <v>Vikas Mehta</v>
      </c>
      <c r="G257" s="66" t="s">
        <v>76</v>
      </c>
      <c r="H257" s="66" t="s">
        <v>1226</v>
      </c>
      <c r="I257" s="66" t="s">
        <v>30</v>
      </c>
      <c r="J257" s="66" t="str">
        <f>PROPER(Sales_Data!J257)</f>
        <v>South</v>
      </c>
      <c r="K257" s="66" t="str">
        <f>PROPER(Sales_Data!K257)</f>
        <v>Electronics</v>
      </c>
      <c r="L257" s="66" t="s">
        <v>47</v>
      </c>
      <c r="M257" s="66">
        <v>4</v>
      </c>
      <c r="N257" s="66">
        <v>12000</v>
      </c>
      <c r="O257" s="66">
        <v>15</v>
      </c>
      <c r="P257" s="66">
        <v>40800</v>
      </c>
      <c r="Q257" s="66">
        <v>3</v>
      </c>
      <c r="R257" s="66" t="s">
        <v>79</v>
      </c>
      <c r="S257" s="66" t="s">
        <v>35</v>
      </c>
      <c r="T257" s="66" t="s">
        <v>228</v>
      </c>
      <c r="U257" s="69" t="s">
        <v>1227</v>
      </c>
      <c r="V257" s="66" t="s">
        <v>64</v>
      </c>
      <c r="X257" t="str">
        <f>PROPER(Sales_Data!X257)</f>
        <v/>
      </c>
    </row>
    <row r="258" spans="1:24" x14ac:dyDescent="0.3">
      <c r="A258" s="65" t="s">
        <v>1228</v>
      </c>
      <c r="B258" s="66" t="s">
        <v>127</v>
      </c>
      <c r="C258" s="66" t="s">
        <v>40</v>
      </c>
      <c r="D258" s="67" t="s">
        <v>260</v>
      </c>
      <c r="E258" s="68" t="s">
        <v>498</v>
      </c>
      <c r="F258" s="66" t="str">
        <f>TRIM(PROPER(Sales_Data!F258))</f>
        <v>Rohit Singh</v>
      </c>
      <c r="G258" s="66" t="s">
        <v>76</v>
      </c>
      <c r="H258" s="66" t="s">
        <v>1229</v>
      </c>
      <c r="I258" s="66" t="s">
        <v>30</v>
      </c>
      <c r="J258" s="66" t="str">
        <f>PROPER(Sales_Data!J258)</f>
        <v>South</v>
      </c>
      <c r="K258" s="66" t="str">
        <f>PROPER(Sales_Data!K258)</f>
        <v>Electronics</v>
      </c>
      <c r="L258" s="66" t="s">
        <v>47</v>
      </c>
      <c r="M258" s="66">
        <v>13</v>
      </c>
      <c r="N258" s="66">
        <v>12000</v>
      </c>
      <c r="O258" s="66">
        <v>10</v>
      </c>
      <c r="P258" s="66">
        <v>140400</v>
      </c>
      <c r="Q258" s="66">
        <v>2</v>
      </c>
      <c r="R258" s="66" t="s">
        <v>34</v>
      </c>
      <c r="S258" s="66" t="s">
        <v>151</v>
      </c>
      <c r="T258" s="66" t="s">
        <v>132</v>
      </c>
      <c r="U258" s="69" t="s">
        <v>1230</v>
      </c>
      <c r="V258" s="66" t="s">
        <v>69</v>
      </c>
      <c r="X258" t="str">
        <f>PROPER(Sales_Data!X258)</f>
        <v/>
      </c>
    </row>
    <row r="259" spans="1:24" x14ac:dyDescent="0.3">
      <c r="A259" s="65" t="s">
        <v>1231</v>
      </c>
      <c r="B259" s="66" t="s">
        <v>23</v>
      </c>
      <c r="C259" s="66" t="s">
        <v>92</v>
      </c>
      <c r="D259" s="67">
        <v>45753</v>
      </c>
      <c r="E259" s="68" t="s">
        <v>679</v>
      </c>
      <c r="F259" s="66" t="str">
        <f>TRIM(PROPER(Sales_Data!F259))</f>
        <v>Kavya Nair</v>
      </c>
      <c r="G259" s="66" t="s">
        <v>28</v>
      </c>
      <c r="H259" s="66" t="s">
        <v>1232</v>
      </c>
      <c r="I259" s="66" t="s">
        <v>59</v>
      </c>
      <c r="J259" s="66" t="str">
        <f>PROPER(Sales_Data!J259)</f>
        <v>South</v>
      </c>
      <c r="K259" s="66" t="str">
        <f>PROPER(Sales_Data!K259)</f>
        <v>Home Appliances</v>
      </c>
      <c r="L259" s="66" t="s">
        <v>97</v>
      </c>
      <c r="M259" s="66">
        <v>19</v>
      </c>
      <c r="N259" s="66">
        <v>3500</v>
      </c>
      <c r="O259" s="66">
        <v>20</v>
      </c>
      <c r="P259" s="66">
        <v>53200</v>
      </c>
      <c r="Q259" s="66">
        <v>1</v>
      </c>
      <c r="R259" s="66" t="s">
        <v>34</v>
      </c>
      <c r="S259" s="66" t="s">
        <v>61</v>
      </c>
      <c r="T259" s="66" t="s">
        <v>50</v>
      </c>
      <c r="U259" s="69" t="s">
        <v>1233</v>
      </c>
      <c r="V259" s="66" t="s">
        <v>69</v>
      </c>
      <c r="X259" t="str">
        <f>PROPER(Sales_Data!X259)</f>
        <v/>
      </c>
    </row>
    <row r="260" spans="1:24" x14ac:dyDescent="0.3">
      <c r="A260" s="65" t="s">
        <v>1234</v>
      </c>
      <c r="B260" s="66" t="s">
        <v>23</v>
      </c>
      <c r="C260" s="66" t="s">
        <v>24</v>
      </c>
      <c r="D260" s="67">
        <v>45840</v>
      </c>
      <c r="E260" s="68" t="s">
        <v>436</v>
      </c>
      <c r="F260" s="66" t="str">
        <f>TRIM(PROPER(Sales_Data!F260))</f>
        <v>Kavya Nair</v>
      </c>
      <c r="G260" s="66" t="s">
        <v>28</v>
      </c>
      <c r="H260" s="66" t="s">
        <v>1235</v>
      </c>
      <c r="I260" s="66" t="s">
        <v>105</v>
      </c>
      <c r="J260" s="66" t="str">
        <f>PROPER(Sales_Data!J260)</f>
        <v>West</v>
      </c>
      <c r="K260" s="66" t="str">
        <f>PROPER(Sales_Data!K260)</f>
        <v>Home Appliances</v>
      </c>
      <c r="L260" s="66" t="s">
        <v>33</v>
      </c>
      <c r="M260" s="66">
        <v>7</v>
      </c>
      <c r="N260" s="66">
        <v>2200</v>
      </c>
      <c r="O260" s="66">
        <v>5</v>
      </c>
      <c r="P260" s="66">
        <v>14630</v>
      </c>
      <c r="Q260" s="66">
        <v>3</v>
      </c>
      <c r="R260" s="66" t="s">
        <v>88</v>
      </c>
      <c r="S260" s="66" t="s">
        <v>61</v>
      </c>
      <c r="T260" s="66" t="s">
        <v>50</v>
      </c>
      <c r="U260" s="69" t="s">
        <v>1236</v>
      </c>
      <c r="V260" s="66" t="s">
        <v>69</v>
      </c>
      <c r="X260" t="str">
        <f>PROPER(Sales_Data!X260)</f>
        <v/>
      </c>
    </row>
    <row r="261" spans="1:24" x14ac:dyDescent="0.3">
      <c r="A261" s="65" t="s">
        <v>1237</v>
      </c>
      <c r="B261" s="66" t="s">
        <v>83</v>
      </c>
      <c r="C261" s="66" t="s">
        <v>184</v>
      </c>
      <c r="D261" s="67">
        <v>46270</v>
      </c>
      <c r="E261" s="68" t="s">
        <v>426</v>
      </c>
      <c r="F261" s="66" t="str">
        <f>TRIM(PROPER(Sales_Data!F261))</f>
        <v>Arjun Rao</v>
      </c>
      <c r="G261" s="66" t="s">
        <v>76</v>
      </c>
      <c r="H261" s="66" t="s">
        <v>1239</v>
      </c>
      <c r="I261" s="66" t="s">
        <v>212</v>
      </c>
      <c r="J261" s="66" t="str">
        <f>PROPER(Sales_Data!J261)</f>
        <v>North</v>
      </c>
      <c r="K261" s="66" t="str">
        <f>PROPER(Sales_Data!K261)</f>
        <v>Electronics</v>
      </c>
      <c r="L261" s="66" t="s">
        <v>189</v>
      </c>
      <c r="M261" s="66">
        <v>18</v>
      </c>
      <c r="N261" s="66">
        <v>700</v>
      </c>
      <c r="O261" s="66">
        <v>5</v>
      </c>
      <c r="P261" s="66">
        <v>11970</v>
      </c>
      <c r="Q261" s="66">
        <v>2</v>
      </c>
      <c r="R261" s="66" t="s">
        <v>88</v>
      </c>
      <c r="S261" s="66" t="s">
        <v>61</v>
      </c>
      <c r="T261" s="66" t="s">
        <v>89</v>
      </c>
      <c r="U261" s="69" t="s">
        <v>1240</v>
      </c>
      <c r="V261" s="66" t="s">
        <v>69</v>
      </c>
      <c r="X261" t="str">
        <f>PROPER(Sales_Data!X261)</f>
        <v/>
      </c>
    </row>
    <row r="262" spans="1:24" x14ac:dyDescent="0.3">
      <c r="A262" s="65" t="s">
        <v>1241</v>
      </c>
      <c r="B262" s="66" t="s">
        <v>23</v>
      </c>
      <c r="C262" s="66" t="s">
        <v>222</v>
      </c>
      <c r="D262" s="67" t="s">
        <v>1106</v>
      </c>
      <c r="E262" s="68" t="s">
        <v>1242</v>
      </c>
      <c r="F262" s="66" t="str">
        <f>TRIM(PROPER(Sales_Data!F262))</f>
        <v>Kavya Nair</v>
      </c>
      <c r="G262" s="66" t="s">
        <v>28</v>
      </c>
      <c r="H262" s="66" t="s">
        <v>1243</v>
      </c>
      <c r="I262" s="66" t="s">
        <v>294</v>
      </c>
      <c r="J262" s="66" t="str">
        <f>PROPER(Sales_Data!J262)</f>
        <v>East</v>
      </c>
      <c r="K262" s="66" t="str">
        <f>PROPER(Sales_Data!K262)</f>
        <v>Stationery</v>
      </c>
      <c r="L262" s="66" t="s">
        <v>227</v>
      </c>
      <c r="M262" s="66">
        <v>11</v>
      </c>
      <c r="N262" s="66">
        <v>20</v>
      </c>
      <c r="O262" s="66">
        <v>0</v>
      </c>
      <c r="P262" s="66">
        <v>220</v>
      </c>
      <c r="Q262" s="66">
        <v>2</v>
      </c>
      <c r="R262" s="66" t="s">
        <v>48</v>
      </c>
      <c r="S262" s="66" t="s">
        <v>115</v>
      </c>
      <c r="T262" s="66" t="s">
        <v>50</v>
      </c>
      <c r="U262" s="69" t="s">
        <v>1244</v>
      </c>
      <c r="V262" s="66" t="s">
        <v>69</v>
      </c>
      <c r="X262" t="str">
        <f>PROPER(Sales_Data!X262)</f>
        <v/>
      </c>
    </row>
    <row r="263" spans="1:24" x14ac:dyDescent="0.3">
      <c r="A263" s="65" t="s">
        <v>1245</v>
      </c>
      <c r="B263" s="66" t="s">
        <v>327</v>
      </c>
      <c r="C263" s="66" t="s">
        <v>40</v>
      </c>
      <c r="D263" s="67" t="s">
        <v>1069</v>
      </c>
      <c r="E263" s="68" t="s">
        <v>272</v>
      </c>
      <c r="F263" s="66" t="str">
        <f>TRIM(PROPER(Sales_Data!F263))</f>
        <v>Amit Sharma</v>
      </c>
      <c r="G263" s="66" t="s">
        <v>76</v>
      </c>
      <c r="H263" s="66" t="s">
        <v>1246</v>
      </c>
      <c r="I263" s="66" t="s">
        <v>114</v>
      </c>
      <c r="J263" s="66" t="str">
        <f>PROPER(Sales_Data!J263)</f>
        <v>West</v>
      </c>
      <c r="K263" s="66" t="str">
        <f>PROPER(Sales_Data!K263)</f>
        <v>Electronics</v>
      </c>
      <c r="L263" s="66" t="s">
        <v>47</v>
      </c>
      <c r="M263" s="66">
        <v>17</v>
      </c>
      <c r="N263" s="66">
        <v>12000</v>
      </c>
      <c r="O263" s="66">
        <v>20</v>
      </c>
      <c r="P263" s="66">
        <v>163200</v>
      </c>
      <c r="Q263" s="66">
        <v>4</v>
      </c>
      <c r="R263" s="66" t="s">
        <v>88</v>
      </c>
      <c r="S263" s="66" t="s">
        <v>151</v>
      </c>
      <c r="T263" s="66" t="s">
        <v>332</v>
      </c>
      <c r="U263" s="69" t="s">
        <v>1247</v>
      </c>
      <c r="V263" s="66" t="s">
        <v>38</v>
      </c>
      <c r="X263" t="str">
        <f>PROPER(Sales_Data!X263)</f>
        <v/>
      </c>
    </row>
    <row r="264" spans="1:24" x14ac:dyDescent="0.3">
      <c r="A264" s="65" t="s">
        <v>1248</v>
      </c>
      <c r="B264" s="66" t="s">
        <v>251</v>
      </c>
      <c r="C264" s="66" t="s">
        <v>24</v>
      </c>
      <c r="D264" s="67">
        <v>45876</v>
      </c>
      <c r="E264" s="68" t="s">
        <v>267</v>
      </c>
      <c r="F264" s="66" t="str">
        <f>TRIM(PROPER(Sales_Data!F264))</f>
        <v>Sneha Joshi</v>
      </c>
      <c r="G264" s="66" t="s">
        <v>28</v>
      </c>
      <c r="H264" s="66" t="s">
        <v>1250</v>
      </c>
      <c r="I264" s="66" t="s">
        <v>294</v>
      </c>
      <c r="J264" s="66" t="str">
        <f>PROPER(Sales_Data!J264)</f>
        <v>East</v>
      </c>
      <c r="K264" s="66" t="str">
        <f>PROPER(Sales_Data!K264)</f>
        <v>Home Appliances</v>
      </c>
      <c r="L264" s="66" t="s">
        <v>33</v>
      </c>
      <c r="M264" s="66">
        <v>4</v>
      </c>
      <c r="N264" s="66">
        <v>2200</v>
      </c>
      <c r="O264" s="66">
        <v>5</v>
      </c>
      <c r="P264" s="66">
        <v>8360</v>
      </c>
      <c r="Q264" s="66">
        <v>2</v>
      </c>
      <c r="R264" s="66" t="s">
        <v>34</v>
      </c>
      <c r="S264" s="66" t="s">
        <v>35</v>
      </c>
      <c r="T264" s="66" t="s">
        <v>256</v>
      </c>
      <c r="U264" s="69" t="s">
        <v>1251</v>
      </c>
      <c r="V264" s="66" t="s">
        <v>38</v>
      </c>
      <c r="X264" t="str">
        <f>PROPER(Sales_Data!X264)</f>
        <v/>
      </c>
    </row>
    <row r="265" spans="1:24" x14ac:dyDescent="0.3">
      <c r="A265" s="65" t="s">
        <v>1252</v>
      </c>
      <c r="B265" s="66" t="s">
        <v>23</v>
      </c>
      <c r="C265" s="66" t="s">
        <v>54</v>
      </c>
      <c r="D265" s="67">
        <v>46003</v>
      </c>
      <c r="E265" s="68" t="s">
        <v>455</v>
      </c>
      <c r="F265" s="66" t="str">
        <f>TRIM(PROPER(Sales_Data!F265))</f>
        <v>Kavya Nair</v>
      </c>
      <c r="G265" s="66" t="s">
        <v>28</v>
      </c>
      <c r="H265" s="66" t="s">
        <v>1254</v>
      </c>
      <c r="I265" s="66" t="s">
        <v>138</v>
      </c>
      <c r="J265" s="66" t="str">
        <f>PROPER(Sales_Data!J265)</f>
        <v>West</v>
      </c>
      <c r="K265" s="66" t="str">
        <f>PROPER(Sales_Data!K265)</f>
        <v>Electronics</v>
      </c>
      <c r="L265" s="66" t="s">
        <v>60</v>
      </c>
      <c r="M265" s="66">
        <v>6</v>
      </c>
      <c r="N265" s="66">
        <v>55000</v>
      </c>
      <c r="O265" s="66">
        <v>20</v>
      </c>
      <c r="P265" s="66">
        <v>264000</v>
      </c>
      <c r="Q265" s="66">
        <v>2</v>
      </c>
      <c r="R265" s="66" t="s">
        <v>88</v>
      </c>
      <c r="S265" s="66" t="s">
        <v>151</v>
      </c>
      <c r="T265" s="66" t="s">
        <v>50</v>
      </c>
      <c r="U265" s="69" t="s">
        <v>1255</v>
      </c>
      <c r="V265" s="66" t="s">
        <v>69</v>
      </c>
      <c r="X265" t="str">
        <f>PROPER(Sales_Data!X265)</f>
        <v/>
      </c>
    </row>
    <row r="266" spans="1:24" x14ac:dyDescent="0.3">
      <c r="A266" s="65" t="s">
        <v>1256</v>
      </c>
      <c r="B266" s="66" t="s">
        <v>71</v>
      </c>
      <c r="C266" s="66" t="s">
        <v>169</v>
      </c>
      <c r="D266" s="67">
        <v>46113</v>
      </c>
      <c r="E266" s="68" t="s">
        <v>998</v>
      </c>
      <c r="F266" s="66" t="str">
        <f>TRIM(PROPER(Sales_Data!F266))</f>
        <v>Mohit Verma</v>
      </c>
      <c r="G266" s="66" t="s">
        <v>76</v>
      </c>
      <c r="H266" s="66" t="s">
        <v>1257</v>
      </c>
      <c r="I266" s="66" t="s">
        <v>44</v>
      </c>
      <c r="J266" s="66" t="str">
        <f>PROPER(Sales_Data!J266)</f>
        <v>North</v>
      </c>
      <c r="K266" s="66" t="str">
        <f>PROPER(Sales_Data!K266)</f>
        <v>Home Appliances</v>
      </c>
      <c r="L266" s="66" t="s">
        <v>174</v>
      </c>
      <c r="M266" s="66">
        <v>6</v>
      </c>
      <c r="N266" s="66">
        <v>8500</v>
      </c>
      <c r="O266" s="66">
        <v>10</v>
      </c>
      <c r="P266" s="66">
        <v>45900</v>
      </c>
      <c r="Q266" s="66">
        <v>5</v>
      </c>
      <c r="R266" s="66" t="s">
        <v>88</v>
      </c>
      <c r="S266" s="66" t="s">
        <v>61</v>
      </c>
      <c r="T266" s="66" t="s">
        <v>80</v>
      </c>
      <c r="U266" s="69" t="s">
        <v>1258</v>
      </c>
      <c r="V266" s="66" t="s">
        <v>38</v>
      </c>
      <c r="X266" t="str">
        <f>PROPER(Sales_Data!X266)</f>
        <v/>
      </c>
    </row>
    <row r="267" spans="1:24" x14ac:dyDescent="0.3">
      <c r="A267" s="65" t="s">
        <v>1259</v>
      </c>
      <c r="B267" s="66" t="s">
        <v>23</v>
      </c>
      <c r="C267" s="66" t="s">
        <v>222</v>
      </c>
      <c r="D267" s="67" t="s">
        <v>558</v>
      </c>
      <c r="E267" s="68" t="s">
        <v>371</v>
      </c>
      <c r="F267" s="66" t="str">
        <f>TRIM(PROPER(Sales_Data!F267))</f>
        <v>Kavya Nair</v>
      </c>
      <c r="G267" s="66" t="s">
        <v>28</v>
      </c>
      <c r="H267" s="66" t="s">
        <v>1260</v>
      </c>
      <c r="I267" s="66" t="s">
        <v>212</v>
      </c>
      <c r="J267" s="66" t="str">
        <f>PROPER(Sales_Data!J267)</f>
        <v>North</v>
      </c>
      <c r="K267" s="66" t="str">
        <f>PROPER(Sales_Data!K267)</f>
        <v>Stationery</v>
      </c>
      <c r="L267" s="66" t="s">
        <v>227</v>
      </c>
      <c r="M267" s="66">
        <v>6</v>
      </c>
      <c r="N267" s="66">
        <v>20</v>
      </c>
      <c r="O267" s="66">
        <v>15</v>
      </c>
      <c r="P267" s="66">
        <v>102</v>
      </c>
      <c r="Q267" s="66">
        <v>2</v>
      </c>
      <c r="R267" s="66" t="s">
        <v>88</v>
      </c>
      <c r="S267" s="66" t="s">
        <v>49</v>
      </c>
      <c r="T267" s="66" t="s">
        <v>50</v>
      </c>
      <c r="U267" s="69" t="s">
        <v>1261</v>
      </c>
      <c r="V267" s="66" t="s">
        <v>69</v>
      </c>
      <c r="X267" t="str">
        <f>PROPER(Sales_Data!X267)</f>
        <v/>
      </c>
    </row>
    <row r="268" spans="1:24" x14ac:dyDescent="0.3">
      <c r="A268" s="65" t="s">
        <v>1262</v>
      </c>
      <c r="B268" s="66" t="s">
        <v>53</v>
      </c>
      <c r="C268" s="66" t="s">
        <v>118</v>
      </c>
      <c r="D268" s="67">
        <v>45721</v>
      </c>
      <c r="E268" s="68" t="s">
        <v>597</v>
      </c>
      <c r="F268" s="66" t="str">
        <f>TRIM(PROPER(Sales_Data!F268))</f>
        <v>Pooja Shah</v>
      </c>
      <c r="G268" s="66" t="s">
        <v>28</v>
      </c>
      <c r="H268" s="66" t="s">
        <v>1264</v>
      </c>
      <c r="I268" s="66" t="s">
        <v>105</v>
      </c>
      <c r="J268" s="66" t="str">
        <f>PROPER(Sales_Data!J268)</f>
        <v>West</v>
      </c>
      <c r="K268" s="66" t="str">
        <f>PROPER(Sales_Data!K268)</f>
        <v>Stationery</v>
      </c>
      <c r="L268" s="66" t="s">
        <v>123</v>
      </c>
      <c r="M268" s="66">
        <v>6</v>
      </c>
      <c r="N268" s="66">
        <v>60</v>
      </c>
      <c r="O268" s="66">
        <v>5</v>
      </c>
      <c r="P268" s="66">
        <v>342</v>
      </c>
      <c r="Q268" s="66">
        <v>1</v>
      </c>
      <c r="R268" s="66" t="s">
        <v>48</v>
      </c>
      <c r="S268" s="66" t="s">
        <v>61</v>
      </c>
      <c r="T268" s="66" t="s">
        <v>62</v>
      </c>
      <c r="U268" s="69" t="s">
        <v>1265</v>
      </c>
      <c r="V268" s="66" t="s">
        <v>38</v>
      </c>
      <c r="X268" t="str">
        <f>PROPER(Sales_Data!X268)</f>
        <v/>
      </c>
    </row>
    <row r="269" spans="1:24" x14ac:dyDescent="0.3">
      <c r="A269" s="65" t="s">
        <v>1266</v>
      </c>
      <c r="B269" s="66" t="s">
        <v>127</v>
      </c>
      <c r="C269" s="66" t="s">
        <v>169</v>
      </c>
      <c r="D269" s="67">
        <v>45901</v>
      </c>
      <c r="E269" s="68" t="s">
        <v>1268</v>
      </c>
      <c r="F269" s="66" t="str">
        <f>TRIM(PROPER(Sales_Data!F269))</f>
        <v>Rohit Singh</v>
      </c>
      <c r="G269" s="66" t="s">
        <v>76</v>
      </c>
      <c r="H269" s="66" t="s">
        <v>1269</v>
      </c>
      <c r="I269" s="66" t="s">
        <v>30</v>
      </c>
      <c r="J269" s="66" t="str">
        <f>PROPER(Sales_Data!J269)</f>
        <v>South</v>
      </c>
      <c r="K269" s="66" t="str">
        <f>PROPER(Sales_Data!K269)</f>
        <v>Home Appliances</v>
      </c>
      <c r="L269" s="66" t="s">
        <v>174</v>
      </c>
      <c r="M269" s="66">
        <v>19</v>
      </c>
      <c r="N269" s="66">
        <v>8500</v>
      </c>
      <c r="O269" s="66">
        <v>0</v>
      </c>
      <c r="P269" s="66">
        <v>161500</v>
      </c>
      <c r="Q269" s="66">
        <v>5</v>
      </c>
      <c r="R269" s="66" t="s">
        <v>88</v>
      </c>
      <c r="S269" s="66" t="s">
        <v>151</v>
      </c>
      <c r="T269" s="66" t="s">
        <v>132</v>
      </c>
      <c r="U269" s="69" t="s">
        <v>1270</v>
      </c>
      <c r="V269" s="66" t="s">
        <v>38</v>
      </c>
      <c r="X269" t="str">
        <f>PROPER(Sales_Data!X269)</f>
        <v/>
      </c>
    </row>
    <row r="270" spans="1:24" x14ac:dyDescent="0.3">
      <c r="A270" s="65" t="s">
        <v>1271</v>
      </c>
      <c r="B270" s="66" t="s">
        <v>251</v>
      </c>
      <c r="C270" s="66" t="s">
        <v>54</v>
      </c>
      <c r="D270" s="67">
        <v>45666</v>
      </c>
      <c r="E270" s="68" t="s">
        <v>573</v>
      </c>
      <c r="F270" s="66" t="str">
        <f>TRIM(PROPER(Sales_Data!F270))</f>
        <v>Sneha Joshi</v>
      </c>
      <c r="G270" s="66" t="s">
        <v>28</v>
      </c>
      <c r="H270" s="66" t="s">
        <v>1272</v>
      </c>
      <c r="I270" s="66" t="s">
        <v>212</v>
      </c>
      <c r="J270" s="66" t="str">
        <f>PROPER(Sales_Data!J270)</f>
        <v>North</v>
      </c>
      <c r="K270" s="66" t="str">
        <f>PROPER(Sales_Data!K270)</f>
        <v>Electronics</v>
      </c>
      <c r="L270" s="66" t="s">
        <v>60</v>
      </c>
      <c r="M270" s="66">
        <v>8</v>
      </c>
      <c r="N270" s="66">
        <v>55000</v>
      </c>
      <c r="O270" s="66">
        <v>0</v>
      </c>
      <c r="P270" s="66">
        <v>440000</v>
      </c>
      <c r="Q270" s="66">
        <v>3</v>
      </c>
      <c r="R270" s="66" t="s">
        <v>79</v>
      </c>
      <c r="S270" s="66" t="s">
        <v>115</v>
      </c>
      <c r="T270" s="66" t="s">
        <v>256</v>
      </c>
      <c r="U270" s="69" t="s">
        <v>1273</v>
      </c>
      <c r="V270" s="66" t="s">
        <v>64</v>
      </c>
      <c r="X270" t="str">
        <f>PROPER(Sales_Data!X270)</f>
        <v/>
      </c>
    </row>
    <row r="271" spans="1:24" x14ac:dyDescent="0.3">
      <c r="A271" s="65" t="s">
        <v>1274</v>
      </c>
      <c r="B271" s="66" t="s">
        <v>71</v>
      </c>
      <c r="C271" s="66" t="s">
        <v>40</v>
      </c>
      <c r="D271" s="67">
        <v>46058</v>
      </c>
      <c r="E271" s="68" t="s">
        <v>583</v>
      </c>
      <c r="F271" s="66" t="str">
        <f>TRIM(PROPER(Sales_Data!F271))</f>
        <v>Mohit Verma</v>
      </c>
      <c r="G271" s="66" t="s">
        <v>76</v>
      </c>
      <c r="H271" s="66" t="s">
        <v>1275</v>
      </c>
      <c r="I271" s="66" t="s">
        <v>294</v>
      </c>
      <c r="J271" s="66" t="str">
        <f>PROPER(Sales_Data!J271)</f>
        <v>East</v>
      </c>
      <c r="K271" s="66" t="str">
        <f>PROPER(Sales_Data!K271)</f>
        <v>Electronics</v>
      </c>
      <c r="L271" s="66" t="s">
        <v>47</v>
      </c>
      <c r="M271" s="66">
        <v>18</v>
      </c>
      <c r="N271" s="66">
        <v>12000</v>
      </c>
      <c r="O271" s="66">
        <v>20</v>
      </c>
      <c r="P271" s="66">
        <v>172800</v>
      </c>
      <c r="Q271" s="66">
        <v>5</v>
      </c>
      <c r="R271" s="66" t="s">
        <v>88</v>
      </c>
      <c r="S271" s="66" t="s">
        <v>61</v>
      </c>
      <c r="T271" s="66" t="s">
        <v>80</v>
      </c>
      <c r="U271" s="69" t="s">
        <v>1276</v>
      </c>
      <c r="V271" s="66" t="s">
        <v>69</v>
      </c>
      <c r="X271" t="str">
        <f>PROPER(Sales_Data!X271)</f>
        <v/>
      </c>
    </row>
    <row r="272" spans="1:24" x14ac:dyDescent="0.3">
      <c r="A272" s="65" t="s">
        <v>1277</v>
      </c>
      <c r="B272" s="66" t="s">
        <v>127</v>
      </c>
      <c r="C272" s="66" t="s">
        <v>169</v>
      </c>
      <c r="D272" s="67" t="s">
        <v>1278</v>
      </c>
      <c r="E272" s="68" t="s">
        <v>198</v>
      </c>
      <c r="F272" s="66" t="str">
        <f>TRIM(PROPER(Sales_Data!F272))</f>
        <v>Rohit Singh</v>
      </c>
      <c r="G272" s="66" t="s">
        <v>76</v>
      </c>
      <c r="H272" s="66" t="s">
        <v>1279</v>
      </c>
      <c r="I272" s="66" t="s">
        <v>138</v>
      </c>
      <c r="J272" s="66" t="str">
        <f>PROPER(Sales_Data!J272)</f>
        <v>West</v>
      </c>
      <c r="K272" s="66" t="str">
        <f>PROPER(Sales_Data!K272)</f>
        <v>Home Appliances</v>
      </c>
      <c r="L272" s="66" t="s">
        <v>174</v>
      </c>
      <c r="M272" s="66">
        <v>8</v>
      </c>
      <c r="N272" s="66">
        <v>8500</v>
      </c>
      <c r="O272" s="66">
        <v>5</v>
      </c>
      <c r="P272" s="66">
        <v>64600</v>
      </c>
      <c r="Q272" s="66">
        <v>2</v>
      </c>
      <c r="R272" s="66" t="s">
        <v>79</v>
      </c>
      <c r="S272" s="66" t="s">
        <v>61</v>
      </c>
      <c r="T272" s="66" t="s">
        <v>132</v>
      </c>
      <c r="U272" s="69" t="s">
        <v>1280</v>
      </c>
      <c r="V272" s="66" t="s">
        <v>69</v>
      </c>
      <c r="X272" t="str">
        <f>PROPER(Sales_Data!X272)</f>
        <v/>
      </c>
    </row>
    <row r="273" spans="1:24" x14ac:dyDescent="0.3">
      <c r="A273" s="65" t="s">
        <v>1281</v>
      </c>
      <c r="B273" s="66" t="s">
        <v>23</v>
      </c>
      <c r="C273" s="66" t="s">
        <v>222</v>
      </c>
      <c r="D273" s="67">
        <v>45908</v>
      </c>
      <c r="E273" s="68" t="s">
        <v>724</v>
      </c>
      <c r="F273" s="66" t="str">
        <f>TRIM(PROPER(Sales_Data!F273))</f>
        <v>Kavya Nair</v>
      </c>
      <c r="G273" s="66" t="s">
        <v>28</v>
      </c>
      <c r="H273" s="66" t="s">
        <v>1283</v>
      </c>
      <c r="I273" s="66" t="s">
        <v>105</v>
      </c>
      <c r="J273" s="66" t="str">
        <f>PROPER(Sales_Data!J273)</f>
        <v>West</v>
      </c>
      <c r="K273" s="66" t="str">
        <f>PROPER(Sales_Data!K273)</f>
        <v>Stationery</v>
      </c>
      <c r="L273" s="66" t="s">
        <v>227</v>
      </c>
      <c r="M273" s="66">
        <v>13</v>
      </c>
      <c r="N273" s="66">
        <v>20</v>
      </c>
      <c r="O273" s="66">
        <v>5</v>
      </c>
      <c r="P273" s="66">
        <v>247</v>
      </c>
      <c r="Q273" s="66">
        <v>3</v>
      </c>
      <c r="R273" s="66" t="s">
        <v>48</v>
      </c>
      <c r="S273" s="66" t="s">
        <v>115</v>
      </c>
      <c r="T273" s="66" t="s">
        <v>50</v>
      </c>
      <c r="U273" s="69" t="s">
        <v>1284</v>
      </c>
      <c r="V273" s="66" t="s">
        <v>64</v>
      </c>
      <c r="X273" t="str">
        <f>PROPER(Sales_Data!X273)</f>
        <v/>
      </c>
    </row>
    <row r="274" spans="1:24" x14ac:dyDescent="0.3">
      <c r="A274" s="65" t="s">
        <v>1285</v>
      </c>
      <c r="B274" s="66" t="s">
        <v>83</v>
      </c>
      <c r="C274" s="66" t="s">
        <v>118</v>
      </c>
      <c r="D274" s="67">
        <v>46116</v>
      </c>
      <c r="E274" s="68" t="s">
        <v>1286</v>
      </c>
      <c r="F274" s="66" t="str">
        <f>TRIM(PROPER(Sales_Data!F274))</f>
        <v>Arjun Rao</v>
      </c>
      <c r="G274" s="66" t="s">
        <v>76</v>
      </c>
      <c r="H274" s="66" t="s">
        <v>1287</v>
      </c>
      <c r="I274" s="66" t="s">
        <v>212</v>
      </c>
      <c r="J274" s="66" t="str">
        <f>PROPER(Sales_Data!J274)</f>
        <v>North</v>
      </c>
      <c r="K274" s="66" t="str">
        <f>PROPER(Sales_Data!K274)</f>
        <v>Stationery</v>
      </c>
      <c r="L274" s="66" t="s">
        <v>123</v>
      </c>
      <c r="M274" s="66">
        <v>1</v>
      </c>
      <c r="N274" s="66">
        <v>60</v>
      </c>
      <c r="O274" s="66">
        <v>15</v>
      </c>
      <c r="P274" s="66">
        <v>51</v>
      </c>
      <c r="Q274" s="66">
        <v>2</v>
      </c>
      <c r="R274" s="66" t="s">
        <v>79</v>
      </c>
      <c r="S274" s="66" t="s">
        <v>61</v>
      </c>
      <c r="T274" s="66" t="s">
        <v>89</v>
      </c>
      <c r="U274" s="69" t="s">
        <v>1288</v>
      </c>
      <c r="V274" s="66" t="s">
        <v>69</v>
      </c>
      <c r="X274" t="str">
        <f>PROPER(Sales_Data!X274)</f>
        <v/>
      </c>
    </row>
    <row r="275" spans="1:24" x14ac:dyDescent="0.3">
      <c r="A275" s="65" t="s">
        <v>1289</v>
      </c>
      <c r="B275" s="66" t="s">
        <v>53</v>
      </c>
      <c r="C275" s="66" t="s">
        <v>222</v>
      </c>
      <c r="D275" s="67" t="s">
        <v>1290</v>
      </c>
      <c r="E275" s="68" t="s">
        <v>965</v>
      </c>
      <c r="F275" s="66" t="str">
        <f>TRIM(PROPER(Sales_Data!F275))</f>
        <v>Pooja Shah</v>
      </c>
      <c r="G275" s="66" t="s">
        <v>28</v>
      </c>
      <c r="H275" s="66" t="s">
        <v>1291</v>
      </c>
      <c r="I275" s="66" t="s">
        <v>114</v>
      </c>
      <c r="J275" s="66" t="str">
        <f>PROPER(Sales_Data!J275)</f>
        <v>West</v>
      </c>
      <c r="K275" s="66" t="str">
        <f>PROPER(Sales_Data!K275)</f>
        <v>Stationery</v>
      </c>
      <c r="L275" s="66" t="s">
        <v>227</v>
      </c>
      <c r="M275" s="66">
        <v>5</v>
      </c>
      <c r="N275" s="66">
        <v>20</v>
      </c>
      <c r="O275" s="66">
        <v>5</v>
      </c>
      <c r="P275" s="66">
        <v>95</v>
      </c>
      <c r="Q275" s="66">
        <v>2</v>
      </c>
      <c r="R275" s="66" t="s">
        <v>48</v>
      </c>
      <c r="S275" s="66" t="s">
        <v>49</v>
      </c>
      <c r="T275" s="66" t="s">
        <v>62</v>
      </c>
      <c r="U275" s="69" t="s">
        <v>1292</v>
      </c>
      <c r="V275" s="66" t="s">
        <v>64</v>
      </c>
      <c r="X275" t="str">
        <f>PROPER(Sales_Data!X275)</f>
        <v/>
      </c>
    </row>
    <row r="276" spans="1:24" x14ac:dyDescent="0.3">
      <c r="A276" s="65" t="s">
        <v>1293</v>
      </c>
      <c r="B276" s="66" t="s">
        <v>221</v>
      </c>
      <c r="C276" s="66" t="s">
        <v>222</v>
      </c>
      <c r="D276" s="67" t="s">
        <v>1294</v>
      </c>
      <c r="E276" s="68" t="s">
        <v>1017</v>
      </c>
      <c r="F276" s="66" t="str">
        <f>TRIM(PROPER(Sales_Data!F276))</f>
        <v>Vikas Mehta</v>
      </c>
      <c r="G276" s="66" t="s">
        <v>76</v>
      </c>
      <c r="H276" s="66" t="s">
        <v>1295</v>
      </c>
      <c r="I276" s="66" t="s">
        <v>294</v>
      </c>
      <c r="J276" s="66" t="str">
        <f>PROPER(Sales_Data!J276)</f>
        <v>East</v>
      </c>
      <c r="K276" s="66" t="str">
        <f>PROPER(Sales_Data!K276)</f>
        <v>Stationery</v>
      </c>
      <c r="L276" s="66" t="s">
        <v>227</v>
      </c>
      <c r="M276" s="66">
        <v>19</v>
      </c>
      <c r="N276" s="66">
        <v>20</v>
      </c>
      <c r="O276" s="66">
        <v>20</v>
      </c>
      <c r="P276" s="66">
        <v>304</v>
      </c>
      <c r="Q276" s="66">
        <v>3</v>
      </c>
      <c r="R276" s="66" t="s">
        <v>34</v>
      </c>
      <c r="S276" s="66" t="s">
        <v>35</v>
      </c>
      <c r="T276" s="66" t="s">
        <v>228</v>
      </c>
      <c r="U276" s="69" t="s">
        <v>1296</v>
      </c>
      <c r="V276" s="66" t="s">
        <v>69</v>
      </c>
      <c r="X276" t="str">
        <f>PROPER(Sales_Data!X276)</f>
        <v/>
      </c>
    </row>
    <row r="277" spans="1:24" x14ac:dyDescent="0.3">
      <c r="A277" s="65" t="s">
        <v>1297</v>
      </c>
      <c r="B277" s="66" t="s">
        <v>100</v>
      </c>
      <c r="C277" s="66" t="s">
        <v>259</v>
      </c>
      <c r="D277" s="67" t="s">
        <v>1298</v>
      </c>
      <c r="E277" s="68" t="s">
        <v>366</v>
      </c>
      <c r="F277" s="66" t="str">
        <f>TRIM(PROPER(Sales_Data!F277))</f>
        <v>Priya Patel</v>
      </c>
      <c r="G277" s="66" t="s">
        <v>28</v>
      </c>
      <c r="H277" s="66" t="s">
        <v>1299</v>
      </c>
      <c r="I277" s="66" t="s">
        <v>138</v>
      </c>
      <c r="J277" s="66" t="str">
        <f>PROPER(Sales_Data!J277)</f>
        <v>West</v>
      </c>
      <c r="K277" s="66" t="str">
        <f>PROPER(Sales_Data!K277)</f>
        <v>Stationery</v>
      </c>
      <c r="L277" s="66" t="s">
        <v>263</v>
      </c>
      <c r="M277" s="66">
        <v>17</v>
      </c>
      <c r="N277" s="66">
        <v>45</v>
      </c>
      <c r="O277" s="66">
        <v>5</v>
      </c>
      <c r="P277" s="66">
        <v>726.75</v>
      </c>
      <c r="Q277" s="66">
        <v>4</v>
      </c>
      <c r="R277" s="66" t="s">
        <v>34</v>
      </c>
      <c r="S277" s="66" t="s">
        <v>115</v>
      </c>
      <c r="T277" s="66" t="s">
        <v>144</v>
      </c>
      <c r="U277" s="69" t="s">
        <v>1300</v>
      </c>
      <c r="V277" s="66" t="s">
        <v>64</v>
      </c>
      <c r="X277" t="str">
        <f>PROPER(Sales_Data!X277)</f>
        <v/>
      </c>
    </row>
    <row r="278" spans="1:24" x14ac:dyDescent="0.3">
      <c r="A278" s="65" t="s">
        <v>1301</v>
      </c>
      <c r="B278" s="66" t="s">
        <v>83</v>
      </c>
      <c r="C278" s="66" t="s">
        <v>184</v>
      </c>
      <c r="D278" s="67" t="s">
        <v>1302</v>
      </c>
      <c r="E278" s="68" t="s">
        <v>170</v>
      </c>
      <c r="F278" s="66" t="str">
        <f>TRIM(PROPER(Sales_Data!F278))</f>
        <v>Arjun Rao</v>
      </c>
      <c r="G278" s="66" t="s">
        <v>76</v>
      </c>
      <c r="H278" s="66" t="s">
        <v>1303</v>
      </c>
      <c r="I278" s="66" t="s">
        <v>59</v>
      </c>
      <c r="J278" s="66" t="str">
        <f>PROPER(Sales_Data!J278)</f>
        <v>South</v>
      </c>
      <c r="K278" s="66" t="str">
        <f>PROPER(Sales_Data!K278)</f>
        <v>Electronics</v>
      </c>
      <c r="L278" s="66" t="s">
        <v>189</v>
      </c>
      <c r="M278" s="66">
        <v>8</v>
      </c>
      <c r="N278" s="66">
        <v>700</v>
      </c>
      <c r="O278" s="66">
        <v>15</v>
      </c>
      <c r="P278" s="66">
        <v>4760</v>
      </c>
      <c r="Q278" s="66">
        <v>4</v>
      </c>
      <c r="R278" s="66" t="s">
        <v>48</v>
      </c>
      <c r="S278" s="66" t="s">
        <v>35</v>
      </c>
      <c r="T278" s="66" t="s">
        <v>89</v>
      </c>
      <c r="U278" s="69" t="s">
        <v>1304</v>
      </c>
      <c r="V278" s="66" t="s">
        <v>64</v>
      </c>
      <c r="X278" t="str">
        <f>PROPER(Sales_Data!X278)</f>
        <v/>
      </c>
    </row>
    <row r="279" spans="1:24" x14ac:dyDescent="0.3">
      <c r="A279" s="65" t="s">
        <v>1305</v>
      </c>
      <c r="B279" s="66" t="s">
        <v>168</v>
      </c>
      <c r="C279" s="66" t="s">
        <v>24</v>
      </c>
      <c r="D279" s="67" t="s">
        <v>1306</v>
      </c>
      <c r="E279" s="68" t="s">
        <v>1307</v>
      </c>
      <c r="F279" s="66" t="str">
        <f>TRIM(PROPER(Sales_Data!F279))</f>
        <v>Anita Gupta</v>
      </c>
      <c r="G279" s="66" t="s">
        <v>28</v>
      </c>
      <c r="H279" s="66" t="s">
        <v>1308</v>
      </c>
      <c r="I279" s="66" t="s">
        <v>105</v>
      </c>
      <c r="J279" s="66" t="str">
        <f>PROPER(Sales_Data!J279)</f>
        <v>West</v>
      </c>
      <c r="K279" s="66" t="str">
        <f>PROPER(Sales_Data!K279)</f>
        <v>Home Appliances</v>
      </c>
      <c r="L279" s="66" t="s">
        <v>33</v>
      </c>
      <c r="M279" s="66">
        <v>15</v>
      </c>
      <c r="N279" s="66">
        <v>2200</v>
      </c>
      <c r="O279" s="66">
        <v>10</v>
      </c>
      <c r="P279" s="66">
        <v>29700</v>
      </c>
      <c r="Q279" s="66">
        <v>5</v>
      </c>
      <c r="R279" s="66" t="s">
        <v>88</v>
      </c>
      <c r="S279" s="66" t="s">
        <v>151</v>
      </c>
      <c r="T279" s="66" t="s">
        <v>175</v>
      </c>
      <c r="U279" s="69" t="s">
        <v>1309</v>
      </c>
      <c r="V279" s="66" t="s">
        <v>38</v>
      </c>
      <c r="X279" t="str">
        <f>PROPER(Sales_Data!X279)</f>
        <v/>
      </c>
    </row>
    <row r="280" spans="1:24" x14ac:dyDescent="0.3">
      <c r="A280" s="65" t="s">
        <v>1310</v>
      </c>
      <c r="B280" s="66" t="s">
        <v>100</v>
      </c>
      <c r="C280" s="66" t="s">
        <v>24</v>
      </c>
      <c r="D280" s="67" t="s">
        <v>860</v>
      </c>
      <c r="E280" s="68" t="s">
        <v>1311</v>
      </c>
      <c r="F280" s="66" t="str">
        <f>TRIM(PROPER(Sales_Data!F280))</f>
        <v>Priya Patel</v>
      </c>
      <c r="G280" s="66" t="s">
        <v>28</v>
      </c>
      <c r="H280" s="66" t="s">
        <v>1312</v>
      </c>
      <c r="I280" s="66" t="s">
        <v>105</v>
      </c>
      <c r="J280" s="66" t="str">
        <f>PROPER(Sales_Data!J280)</f>
        <v>West</v>
      </c>
      <c r="K280" s="66" t="str">
        <f>PROPER(Sales_Data!K280)</f>
        <v>Home Appliances</v>
      </c>
      <c r="L280" s="66" t="s">
        <v>33</v>
      </c>
      <c r="M280" s="66">
        <v>1</v>
      </c>
      <c r="N280" s="66">
        <v>2200</v>
      </c>
      <c r="O280" s="66">
        <v>0</v>
      </c>
      <c r="P280" s="66">
        <v>2200</v>
      </c>
      <c r="Q280" s="66">
        <v>4</v>
      </c>
      <c r="R280" s="66" t="s">
        <v>34</v>
      </c>
      <c r="S280" s="66" t="s">
        <v>49</v>
      </c>
      <c r="T280" s="66" t="s">
        <v>144</v>
      </c>
      <c r="U280" s="69" t="s">
        <v>1313</v>
      </c>
      <c r="V280" s="66" t="s">
        <v>69</v>
      </c>
      <c r="X280" t="str">
        <f>PROPER(Sales_Data!X280)</f>
        <v/>
      </c>
    </row>
    <row r="281" spans="1:24" x14ac:dyDescent="0.3">
      <c r="A281" s="65" t="s">
        <v>1314</v>
      </c>
      <c r="B281" s="66" t="s">
        <v>251</v>
      </c>
      <c r="C281" s="66" t="s">
        <v>92</v>
      </c>
      <c r="D281" s="67" t="s">
        <v>872</v>
      </c>
      <c r="E281" s="68" t="s">
        <v>1315</v>
      </c>
      <c r="F281" s="66" t="str">
        <f>TRIM(PROPER(Sales_Data!F281))</f>
        <v>Sneha Joshi</v>
      </c>
      <c r="G281" s="66" t="s">
        <v>28</v>
      </c>
      <c r="H281" s="66" t="s">
        <v>1316</v>
      </c>
      <c r="I281" s="66" t="s">
        <v>138</v>
      </c>
      <c r="J281" s="66" t="str">
        <f>PROPER(Sales_Data!J281)</f>
        <v>West</v>
      </c>
      <c r="K281" s="66" t="str">
        <f>PROPER(Sales_Data!K281)</f>
        <v>Home Appliances</v>
      </c>
      <c r="L281" s="66" t="s">
        <v>97</v>
      </c>
      <c r="M281" s="66">
        <v>10</v>
      </c>
      <c r="N281" s="66">
        <v>3500</v>
      </c>
      <c r="O281" s="66">
        <v>10</v>
      </c>
      <c r="P281" s="66">
        <v>31500</v>
      </c>
      <c r="Q281" s="66">
        <v>4</v>
      </c>
      <c r="R281" s="66" t="s">
        <v>48</v>
      </c>
      <c r="S281" s="66" t="s">
        <v>35</v>
      </c>
      <c r="T281" s="66" t="s">
        <v>256</v>
      </c>
      <c r="U281" s="69" t="s">
        <v>1317</v>
      </c>
      <c r="V281" s="66" t="s">
        <v>69</v>
      </c>
      <c r="X281" t="str">
        <f>PROPER(Sales_Data!X281)</f>
        <v/>
      </c>
    </row>
    <row r="282" spans="1:24" x14ac:dyDescent="0.3">
      <c r="A282" s="65" t="s">
        <v>1318</v>
      </c>
      <c r="B282" s="66" t="s">
        <v>71</v>
      </c>
      <c r="C282" s="66" t="s">
        <v>92</v>
      </c>
      <c r="D282" s="67">
        <v>45996</v>
      </c>
      <c r="E282" s="68" t="s">
        <v>1320</v>
      </c>
      <c r="F282" s="66" t="str">
        <f>TRIM(PROPER(Sales_Data!F282))</f>
        <v>Mohit Verma</v>
      </c>
      <c r="G282" s="66" t="s">
        <v>76</v>
      </c>
      <c r="H282" s="66" t="s">
        <v>1321</v>
      </c>
      <c r="I282" s="66" t="s">
        <v>212</v>
      </c>
      <c r="J282" s="66" t="str">
        <f>PROPER(Sales_Data!J282)</f>
        <v>North</v>
      </c>
      <c r="K282" s="66" t="str">
        <f>PROPER(Sales_Data!K282)</f>
        <v>Home Appliances</v>
      </c>
      <c r="L282" s="66" t="s">
        <v>97</v>
      </c>
      <c r="M282" s="66">
        <v>16</v>
      </c>
      <c r="N282" s="66">
        <v>3500</v>
      </c>
      <c r="O282" s="66">
        <v>15</v>
      </c>
      <c r="P282" s="66">
        <v>47600</v>
      </c>
      <c r="Q282" s="66">
        <v>1</v>
      </c>
      <c r="R282" s="66" t="s">
        <v>79</v>
      </c>
      <c r="S282" s="66" t="s">
        <v>115</v>
      </c>
      <c r="T282" s="66" t="s">
        <v>80</v>
      </c>
      <c r="U282" s="69" t="s">
        <v>1322</v>
      </c>
      <c r="V282" s="66" t="s">
        <v>64</v>
      </c>
      <c r="X282" t="str">
        <f>PROPER(Sales_Data!X282)</f>
        <v/>
      </c>
    </row>
    <row r="283" spans="1:24" x14ac:dyDescent="0.3">
      <c r="A283" s="65" t="s">
        <v>1323</v>
      </c>
      <c r="B283" s="66" t="s">
        <v>251</v>
      </c>
      <c r="C283" s="66" t="s">
        <v>40</v>
      </c>
      <c r="D283" s="67">
        <v>45817</v>
      </c>
      <c r="E283" s="68" t="s">
        <v>25</v>
      </c>
      <c r="F283" s="66" t="str">
        <f>TRIM(PROPER(Sales_Data!F283))</f>
        <v>Sneha Joshi</v>
      </c>
      <c r="G283" s="66" t="s">
        <v>28</v>
      </c>
      <c r="H283" s="66" t="s">
        <v>1325</v>
      </c>
      <c r="I283" s="66" t="s">
        <v>212</v>
      </c>
      <c r="J283" s="66" t="str">
        <f>PROPER(Sales_Data!J283)</f>
        <v>North</v>
      </c>
      <c r="K283" s="66" t="str">
        <f>PROPER(Sales_Data!K283)</f>
        <v>Electronics</v>
      </c>
      <c r="L283" s="66" t="s">
        <v>47</v>
      </c>
      <c r="M283" s="66">
        <v>1</v>
      </c>
      <c r="N283" s="66">
        <v>12000</v>
      </c>
      <c r="O283" s="66">
        <v>0</v>
      </c>
      <c r="P283" s="66">
        <v>12000</v>
      </c>
      <c r="Q283" s="66">
        <v>4</v>
      </c>
      <c r="R283" s="66" t="s">
        <v>48</v>
      </c>
      <c r="S283" s="66" t="s">
        <v>115</v>
      </c>
      <c r="T283" s="66" t="s">
        <v>256</v>
      </c>
      <c r="U283" s="69" t="s">
        <v>1326</v>
      </c>
      <c r="V283" s="66" t="s">
        <v>69</v>
      </c>
      <c r="X283" t="str">
        <f>PROPER(Sales_Data!X283)</f>
        <v/>
      </c>
    </row>
    <row r="284" spans="1:24" x14ac:dyDescent="0.3">
      <c r="A284" s="65" t="s">
        <v>1327</v>
      </c>
      <c r="B284" s="66" t="s">
        <v>83</v>
      </c>
      <c r="C284" s="66" t="s">
        <v>184</v>
      </c>
      <c r="D284" s="67" t="s">
        <v>1328</v>
      </c>
      <c r="E284" s="68" t="s">
        <v>606</v>
      </c>
      <c r="F284" s="66" t="str">
        <f>TRIM(PROPER(Sales_Data!F284))</f>
        <v>Arjun Rao</v>
      </c>
      <c r="G284" s="66" t="s">
        <v>76</v>
      </c>
      <c r="H284" s="66" t="s">
        <v>1329</v>
      </c>
      <c r="I284" s="66" t="s">
        <v>105</v>
      </c>
      <c r="J284" s="66" t="str">
        <f>PROPER(Sales_Data!J284)</f>
        <v>West</v>
      </c>
      <c r="K284" s="66" t="str">
        <f>PROPER(Sales_Data!K284)</f>
        <v>Electronics</v>
      </c>
      <c r="L284" s="66" t="s">
        <v>189</v>
      </c>
      <c r="M284" s="66">
        <v>6</v>
      </c>
      <c r="N284" s="66">
        <v>700</v>
      </c>
      <c r="O284" s="66">
        <v>20</v>
      </c>
      <c r="P284" s="66">
        <v>3360</v>
      </c>
      <c r="Q284" s="66">
        <v>2</v>
      </c>
      <c r="R284" s="66" t="s">
        <v>48</v>
      </c>
      <c r="S284" s="66" t="s">
        <v>115</v>
      </c>
      <c r="T284" s="66" t="s">
        <v>89</v>
      </c>
      <c r="U284" s="69" t="s">
        <v>1330</v>
      </c>
      <c r="V284" s="66" t="s">
        <v>64</v>
      </c>
      <c r="X284" t="str">
        <f>PROPER(Sales_Data!X284)</f>
        <v/>
      </c>
    </row>
    <row r="285" spans="1:24" x14ac:dyDescent="0.3">
      <c r="A285" s="65" t="s">
        <v>1331</v>
      </c>
      <c r="B285" s="66" t="s">
        <v>71</v>
      </c>
      <c r="C285" s="66" t="s">
        <v>24</v>
      </c>
      <c r="D285" s="67" t="s">
        <v>923</v>
      </c>
      <c r="E285" s="68" t="s">
        <v>1332</v>
      </c>
      <c r="F285" s="66" t="str">
        <f>TRIM(PROPER(Sales_Data!F285))</f>
        <v>Mohit Verma</v>
      </c>
      <c r="G285" s="66" t="s">
        <v>76</v>
      </c>
      <c r="H285" s="66" t="s">
        <v>1333</v>
      </c>
      <c r="I285" s="66" t="s">
        <v>138</v>
      </c>
      <c r="J285" s="66" t="str">
        <f>PROPER(Sales_Data!J285)</f>
        <v>West</v>
      </c>
      <c r="K285" s="66" t="str">
        <f>PROPER(Sales_Data!K285)</f>
        <v>Home Appliances</v>
      </c>
      <c r="L285" s="66" t="s">
        <v>33</v>
      </c>
      <c r="M285" s="66">
        <v>3</v>
      </c>
      <c r="N285" s="66">
        <v>2200</v>
      </c>
      <c r="O285" s="66">
        <v>0</v>
      </c>
      <c r="P285" s="66">
        <v>6600</v>
      </c>
      <c r="Q285" s="66">
        <v>4</v>
      </c>
      <c r="R285" s="66" t="s">
        <v>79</v>
      </c>
      <c r="S285" s="66" t="s">
        <v>35</v>
      </c>
      <c r="T285" s="66" t="s">
        <v>80</v>
      </c>
      <c r="U285" s="69" t="s">
        <v>1334</v>
      </c>
      <c r="V285" s="66" t="s">
        <v>38</v>
      </c>
      <c r="X285" t="str">
        <f>PROPER(Sales_Data!X285)</f>
        <v/>
      </c>
    </row>
    <row r="286" spans="1:24" x14ac:dyDescent="0.3">
      <c r="A286" s="65" t="s">
        <v>1335</v>
      </c>
      <c r="B286" s="66" t="s">
        <v>251</v>
      </c>
      <c r="C286" s="66" t="s">
        <v>259</v>
      </c>
      <c r="D286" s="67" t="s">
        <v>1198</v>
      </c>
      <c r="E286" s="68" t="s">
        <v>216</v>
      </c>
      <c r="F286" s="66" t="str">
        <f>TRIM(PROPER(Sales_Data!F286))</f>
        <v>Sneha Joshi</v>
      </c>
      <c r="G286" s="66" t="s">
        <v>28</v>
      </c>
      <c r="H286" s="66" t="s">
        <v>1336</v>
      </c>
      <c r="I286" s="66" t="s">
        <v>30</v>
      </c>
      <c r="J286" s="66" t="str">
        <f>PROPER(Sales_Data!J286)</f>
        <v>South</v>
      </c>
      <c r="K286" s="66" t="str">
        <f>PROPER(Sales_Data!K286)</f>
        <v>Stationery</v>
      </c>
      <c r="L286" s="66" t="s">
        <v>263</v>
      </c>
      <c r="M286" s="66">
        <v>6</v>
      </c>
      <c r="N286" s="66">
        <v>45</v>
      </c>
      <c r="O286" s="66">
        <v>15</v>
      </c>
      <c r="P286" s="66">
        <v>229.5</v>
      </c>
      <c r="Q286" s="66">
        <v>1</v>
      </c>
      <c r="R286" s="66" t="s">
        <v>88</v>
      </c>
      <c r="S286" s="66" t="s">
        <v>49</v>
      </c>
      <c r="T286" s="66" t="s">
        <v>256</v>
      </c>
      <c r="U286" s="69" t="s">
        <v>1337</v>
      </c>
      <c r="V286" s="66" t="s">
        <v>38</v>
      </c>
      <c r="X286" t="str">
        <f>PROPER(Sales_Data!X286)</f>
        <v/>
      </c>
    </row>
    <row r="287" spans="1:24" x14ac:dyDescent="0.3">
      <c r="A287" s="65" t="s">
        <v>1338</v>
      </c>
      <c r="B287" s="66" t="s">
        <v>251</v>
      </c>
      <c r="C287" s="66" t="s">
        <v>72</v>
      </c>
      <c r="D287" s="67" t="s">
        <v>26</v>
      </c>
      <c r="E287" s="68" t="s">
        <v>1339</v>
      </c>
      <c r="F287" s="66" t="str">
        <f>TRIM(PROPER(Sales_Data!F287))</f>
        <v>Sneha Joshi</v>
      </c>
      <c r="G287" s="66" t="s">
        <v>28</v>
      </c>
      <c r="H287" s="66" t="s">
        <v>1340</v>
      </c>
      <c r="I287" s="66" t="s">
        <v>59</v>
      </c>
      <c r="J287" s="66" t="str">
        <f>PROPER(Sales_Data!J287)</f>
        <v>South</v>
      </c>
      <c r="K287" s="66" t="str">
        <f>PROPER(Sales_Data!K287)</f>
        <v>Electronics</v>
      </c>
      <c r="L287" s="66" t="s">
        <v>78</v>
      </c>
      <c r="M287" s="66">
        <v>2</v>
      </c>
      <c r="N287" s="66">
        <v>1200</v>
      </c>
      <c r="O287" s="66">
        <v>0</v>
      </c>
      <c r="P287" s="66">
        <v>2400</v>
      </c>
      <c r="Q287" s="66">
        <v>1</v>
      </c>
      <c r="R287" s="66" t="s">
        <v>34</v>
      </c>
      <c r="S287" s="66" t="s">
        <v>151</v>
      </c>
      <c r="T287" s="66" t="s">
        <v>256</v>
      </c>
      <c r="U287" s="69" t="s">
        <v>1341</v>
      </c>
      <c r="V287" s="66" t="s">
        <v>69</v>
      </c>
      <c r="X287" t="str">
        <f>PROPER(Sales_Data!X287)</f>
        <v/>
      </c>
    </row>
    <row r="288" spans="1:24" x14ac:dyDescent="0.3">
      <c r="A288" s="65" t="s">
        <v>1342</v>
      </c>
      <c r="B288" s="66" t="s">
        <v>168</v>
      </c>
      <c r="C288" s="66" t="s">
        <v>184</v>
      </c>
      <c r="D288" s="67">
        <v>46239</v>
      </c>
      <c r="E288" s="68" t="s">
        <v>1344</v>
      </c>
      <c r="F288" s="66" t="str">
        <f>TRIM(PROPER(Sales_Data!F288))</f>
        <v>Anita Gupta</v>
      </c>
      <c r="G288" s="66" t="s">
        <v>28</v>
      </c>
      <c r="H288" s="66" t="s">
        <v>1345</v>
      </c>
      <c r="I288" s="66" t="s">
        <v>30</v>
      </c>
      <c r="J288" s="66" t="str">
        <f>PROPER(Sales_Data!J288)</f>
        <v>South</v>
      </c>
      <c r="K288" s="66" t="str">
        <f>PROPER(Sales_Data!K288)</f>
        <v>Electronics</v>
      </c>
      <c r="L288" s="66" t="s">
        <v>189</v>
      </c>
      <c r="M288" s="66">
        <v>14</v>
      </c>
      <c r="N288" s="66">
        <v>700</v>
      </c>
      <c r="O288" s="66">
        <v>15</v>
      </c>
      <c r="P288" s="66">
        <v>8330</v>
      </c>
      <c r="Q288" s="66">
        <v>5</v>
      </c>
      <c r="R288" s="66" t="s">
        <v>34</v>
      </c>
      <c r="S288" s="66" t="s">
        <v>115</v>
      </c>
      <c r="T288" s="66" t="s">
        <v>175</v>
      </c>
      <c r="U288" s="69" t="s">
        <v>1346</v>
      </c>
      <c r="V288" s="66" t="s">
        <v>64</v>
      </c>
      <c r="X288" t="str">
        <f>PROPER(Sales_Data!X288)</f>
        <v/>
      </c>
    </row>
    <row r="289" spans="1:24" x14ac:dyDescent="0.3">
      <c r="A289" s="65" t="s">
        <v>1347</v>
      </c>
      <c r="B289" s="66" t="s">
        <v>100</v>
      </c>
      <c r="C289" s="66" t="s">
        <v>222</v>
      </c>
      <c r="D289" s="67">
        <v>45788</v>
      </c>
      <c r="E289" s="68" t="s">
        <v>507</v>
      </c>
      <c r="F289" s="66" t="str">
        <f>TRIM(PROPER(Sales_Data!F289))</f>
        <v>Priya Patel</v>
      </c>
      <c r="G289" s="66" t="s">
        <v>28</v>
      </c>
      <c r="H289" s="66" t="s">
        <v>1348</v>
      </c>
      <c r="I289" s="66" t="s">
        <v>105</v>
      </c>
      <c r="J289" s="66" t="str">
        <f>PROPER(Sales_Data!J289)</f>
        <v>West</v>
      </c>
      <c r="K289" s="66" t="str">
        <f>PROPER(Sales_Data!K289)</f>
        <v>Stationery</v>
      </c>
      <c r="L289" s="66" t="s">
        <v>227</v>
      </c>
      <c r="M289" s="66">
        <v>13</v>
      </c>
      <c r="N289" s="66">
        <v>20</v>
      </c>
      <c r="O289" s="66">
        <v>5</v>
      </c>
      <c r="P289" s="66">
        <v>247</v>
      </c>
      <c r="Q289" s="66">
        <v>1</v>
      </c>
      <c r="R289" s="66" t="s">
        <v>79</v>
      </c>
      <c r="S289" s="66" t="s">
        <v>35</v>
      </c>
      <c r="T289" s="66" t="s">
        <v>1349</v>
      </c>
      <c r="U289" s="69" t="s">
        <v>1350</v>
      </c>
      <c r="V289" s="66" t="s">
        <v>64</v>
      </c>
      <c r="X289" t="str">
        <f>PROPER(Sales_Data!X289)</f>
        <v/>
      </c>
    </row>
    <row r="290" spans="1:24" x14ac:dyDescent="0.3">
      <c r="A290" s="65" t="s">
        <v>1351</v>
      </c>
      <c r="B290" s="66" t="s">
        <v>71</v>
      </c>
      <c r="C290" s="66" t="s">
        <v>24</v>
      </c>
      <c r="D290" s="67">
        <v>45872</v>
      </c>
      <c r="E290" s="68" t="s">
        <v>136</v>
      </c>
      <c r="F290" s="66" t="str">
        <f>TRIM(PROPER(Sales_Data!F290))</f>
        <v>Mohit Verma</v>
      </c>
      <c r="G290" s="66" t="s">
        <v>76</v>
      </c>
      <c r="H290" s="66" t="s">
        <v>1352</v>
      </c>
      <c r="I290" s="66" t="s">
        <v>114</v>
      </c>
      <c r="J290" s="66" t="str">
        <f>PROPER(Sales_Data!J290)</f>
        <v>West</v>
      </c>
      <c r="K290" s="66" t="str">
        <f>PROPER(Sales_Data!K290)</f>
        <v>Home Appliances</v>
      </c>
      <c r="L290" s="66" t="s">
        <v>33</v>
      </c>
      <c r="M290" s="66">
        <v>3</v>
      </c>
      <c r="N290" s="66">
        <v>2200</v>
      </c>
      <c r="O290" s="66">
        <v>0</v>
      </c>
      <c r="P290" s="66">
        <v>6600</v>
      </c>
      <c r="Q290" s="66">
        <v>4</v>
      </c>
      <c r="R290" s="66" t="s">
        <v>48</v>
      </c>
      <c r="S290" s="66" t="s">
        <v>61</v>
      </c>
      <c r="T290" s="66" t="s">
        <v>80</v>
      </c>
      <c r="U290" s="69" t="s">
        <v>1353</v>
      </c>
      <c r="V290" s="66" t="s">
        <v>69</v>
      </c>
      <c r="X290" t="str">
        <f>PROPER(Sales_Data!X290)</f>
        <v/>
      </c>
    </row>
    <row r="291" spans="1:24" x14ac:dyDescent="0.3">
      <c r="A291" s="65" t="s">
        <v>1354</v>
      </c>
      <c r="B291" s="66" t="s">
        <v>71</v>
      </c>
      <c r="C291" s="66" t="s">
        <v>118</v>
      </c>
      <c r="D291" s="67">
        <v>46267</v>
      </c>
      <c r="E291" s="68" t="s">
        <v>923</v>
      </c>
      <c r="F291" s="66" t="str">
        <f>TRIM(PROPER(Sales_Data!F291))</f>
        <v>Mohit Verma</v>
      </c>
      <c r="G291" s="66" t="s">
        <v>76</v>
      </c>
      <c r="H291" s="66" t="s">
        <v>1355</v>
      </c>
      <c r="I291" s="66" t="s">
        <v>114</v>
      </c>
      <c r="J291" s="66" t="str">
        <f>PROPER(Sales_Data!J291)</f>
        <v>West</v>
      </c>
      <c r="K291" s="66" t="str">
        <f>PROPER(Sales_Data!K291)</f>
        <v>Stationery</v>
      </c>
      <c r="L291" s="66" t="s">
        <v>123</v>
      </c>
      <c r="M291" s="66">
        <v>3</v>
      </c>
      <c r="N291" s="66">
        <v>60</v>
      </c>
      <c r="O291" s="66">
        <v>15</v>
      </c>
      <c r="P291" s="66">
        <v>153</v>
      </c>
      <c r="Q291" s="66">
        <v>4</v>
      </c>
      <c r="R291" s="66" t="s">
        <v>88</v>
      </c>
      <c r="S291" s="66" t="s">
        <v>115</v>
      </c>
      <c r="T291" s="66" t="s">
        <v>80</v>
      </c>
      <c r="U291" s="69" t="s">
        <v>1356</v>
      </c>
      <c r="V291" s="66" t="s">
        <v>38</v>
      </c>
      <c r="X291" t="str">
        <f>PROPER(Sales_Data!X291)</f>
        <v/>
      </c>
    </row>
    <row r="292" spans="1:24" x14ac:dyDescent="0.3">
      <c r="A292" s="65" t="s">
        <v>1357</v>
      </c>
      <c r="B292" s="66" t="s">
        <v>127</v>
      </c>
      <c r="C292" s="66" t="s">
        <v>92</v>
      </c>
      <c r="D292" s="67" t="s">
        <v>624</v>
      </c>
      <c r="E292" s="68" t="s">
        <v>825</v>
      </c>
      <c r="F292" s="66" t="str">
        <f>TRIM(PROPER(Sales_Data!F292))</f>
        <v>Rohit Singh</v>
      </c>
      <c r="G292" s="66" t="s">
        <v>76</v>
      </c>
      <c r="H292" s="66" t="s">
        <v>584</v>
      </c>
      <c r="I292" s="66" t="s">
        <v>105</v>
      </c>
      <c r="J292" s="66" t="str">
        <f>PROPER(Sales_Data!J292)</f>
        <v>West</v>
      </c>
      <c r="K292" s="66" t="str">
        <f>PROPER(Sales_Data!K292)</f>
        <v>Home Appliances</v>
      </c>
      <c r="L292" s="66" t="s">
        <v>97</v>
      </c>
      <c r="M292" s="66">
        <v>9</v>
      </c>
      <c r="N292" s="66">
        <v>3500</v>
      </c>
      <c r="O292" s="66">
        <v>5</v>
      </c>
      <c r="P292" s="66">
        <v>29925</v>
      </c>
      <c r="Q292" s="66">
        <v>1</v>
      </c>
      <c r="R292" s="66" t="s">
        <v>34</v>
      </c>
      <c r="S292" s="66" t="s">
        <v>61</v>
      </c>
      <c r="T292" s="66" t="s">
        <v>132</v>
      </c>
      <c r="U292" s="69" t="s">
        <v>1358</v>
      </c>
      <c r="V292" s="66" t="s">
        <v>64</v>
      </c>
      <c r="X292" t="str">
        <f>PROPER(Sales_Data!X292)</f>
        <v/>
      </c>
    </row>
    <row r="293" spans="1:24" x14ac:dyDescent="0.3">
      <c r="A293" s="65" t="s">
        <v>1359</v>
      </c>
      <c r="B293" s="66" t="s">
        <v>327</v>
      </c>
      <c r="C293" s="66" t="s">
        <v>72</v>
      </c>
      <c r="D293" s="67" t="s">
        <v>120</v>
      </c>
      <c r="E293" s="68" t="s">
        <v>1360</v>
      </c>
      <c r="F293" s="66" t="str">
        <f>TRIM(PROPER(Sales_Data!F293))</f>
        <v>Amit Sharma</v>
      </c>
      <c r="G293" s="66" t="s">
        <v>76</v>
      </c>
      <c r="H293" s="66" t="s">
        <v>1361</v>
      </c>
      <c r="I293" s="66" t="s">
        <v>212</v>
      </c>
      <c r="J293" s="66" t="str">
        <f>PROPER(Sales_Data!J293)</f>
        <v>North</v>
      </c>
      <c r="K293" s="66" t="str">
        <f>PROPER(Sales_Data!K293)</f>
        <v>Electronics</v>
      </c>
      <c r="L293" s="66" t="s">
        <v>78</v>
      </c>
      <c r="M293" s="66">
        <v>5</v>
      </c>
      <c r="N293" s="66">
        <v>1200</v>
      </c>
      <c r="O293" s="66">
        <v>20</v>
      </c>
      <c r="P293" s="66">
        <v>4800</v>
      </c>
      <c r="Q293" s="66">
        <v>2</v>
      </c>
      <c r="R293" s="66" t="s">
        <v>88</v>
      </c>
      <c r="S293" s="66" t="s">
        <v>115</v>
      </c>
      <c r="T293" s="66" t="s">
        <v>332</v>
      </c>
      <c r="U293" s="69" t="s">
        <v>1362</v>
      </c>
      <c r="V293" s="66" t="s">
        <v>64</v>
      </c>
      <c r="X293" t="str">
        <f>PROPER(Sales_Data!X293)</f>
        <v/>
      </c>
    </row>
    <row r="294" spans="1:24" x14ac:dyDescent="0.3">
      <c r="A294" s="65" t="s">
        <v>1363</v>
      </c>
      <c r="B294" s="66" t="s">
        <v>53</v>
      </c>
      <c r="C294" s="66" t="s">
        <v>72</v>
      </c>
      <c r="D294" s="67">
        <v>45994</v>
      </c>
      <c r="E294" s="68" t="s">
        <v>910</v>
      </c>
      <c r="F294" s="66" t="str">
        <f>TRIM(PROPER(Sales_Data!F294))</f>
        <v>Pooja Shah</v>
      </c>
      <c r="G294" s="66" t="s">
        <v>28</v>
      </c>
      <c r="H294" s="66" t="s">
        <v>1364</v>
      </c>
      <c r="I294" s="66" t="s">
        <v>212</v>
      </c>
      <c r="J294" s="66" t="str">
        <f>PROPER(Sales_Data!J294)</f>
        <v>North</v>
      </c>
      <c r="K294" s="66" t="str">
        <f>PROPER(Sales_Data!K294)</f>
        <v>Electronics</v>
      </c>
      <c r="L294" s="66" t="s">
        <v>78</v>
      </c>
      <c r="M294" s="66">
        <v>10</v>
      </c>
      <c r="N294" s="66">
        <v>1200</v>
      </c>
      <c r="O294" s="66">
        <v>20</v>
      </c>
      <c r="P294" s="66">
        <v>9600</v>
      </c>
      <c r="Q294" s="66">
        <v>4</v>
      </c>
      <c r="R294" s="66" t="s">
        <v>34</v>
      </c>
      <c r="S294" s="66" t="s">
        <v>49</v>
      </c>
      <c r="T294" s="66" t="s">
        <v>1365</v>
      </c>
      <c r="U294" s="69" t="s">
        <v>1366</v>
      </c>
      <c r="V294" s="66" t="s">
        <v>38</v>
      </c>
      <c r="X294" t="str">
        <f>PROPER(Sales_Data!X294)</f>
        <v/>
      </c>
    </row>
    <row r="295" spans="1:24" x14ac:dyDescent="0.3">
      <c r="A295" s="65" t="s">
        <v>1367</v>
      </c>
      <c r="B295" s="66" t="s">
        <v>23</v>
      </c>
      <c r="C295" s="66" t="s">
        <v>72</v>
      </c>
      <c r="D295" s="67" t="s">
        <v>1368</v>
      </c>
      <c r="E295" s="68" t="s">
        <v>1369</v>
      </c>
      <c r="F295" s="66" t="str">
        <f>TRIM(PROPER(Sales_Data!F295))</f>
        <v>Kavya Nair</v>
      </c>
      <c r="G295" s="66" t="s">
        <v>28</v>
      </c>
      <c r="H295" s="66" t="s">
        <v>1370</v>
      </c>
      <c r="I295" s="66" t="s">
        <v>138</v>
      </c>
      <c r="J295" s="66" t="str">
        <f>PROPER(Sales_Data!J295)</f>
        <v>West</v>
      </c>
      <c r="K295" s="66" t="str">
        <f>PROPER(Sales_Data!K295)</f>
        <v>Electronics</v>
      </c>
      <c r="L295" s="66" t="s">
        <v>78</v>
      </c>
      <c r="M295" s="66">
        <v>5</v>
      </c>
      <c r="N295" s="66">
        <v>1200</v>
      </c>
      <c r="O295" s="66">
        <v>20</v>
      </c>
      <c r="P295" s="66">
        <v>4800</v>
      </c>
      <c r="Q295" s="66">
        <v>3</v>
      </c>
      <c r="R295" s="66" t="s">
        <v>48</v>
      </c>
      <c r="S295" s="66" t="s">
        <v>151</v>
      </c>
      <c r="T295" s="66" t="s">
        <v>50</v>
      </c>
      <c r="U295" s="69" t="s">
        <v>1371</v>
      </c>
      <c r="V295" s="66" t="s">
        <v>38</v>
      </c>
      <c r="X295" t="str">
        <f>PROPER(Sales_Data!X295)</f>
        <v/>
      </c>
    </row>
    <row r="296" spans="1:24" x14ac:dyDescent="0.3">
      <c r="A296" s="65" t="s">
        <v>1372</v>
      </c>
      <c r="B296" s="66" t="s">
        <v>168</v>
      </c>
      <c r="C296" s="66" t="s">
        <v>222</v>
      </c>
      <c r="D296" s="67">
        <v>45963</v>
      </c>
      <c r="E296" s="68" t="s">
        <v>1374</v>
      </c>
      <c r="F296" s="66" t="str">
        <f>TRIM(PROPER(Sales_Data!F296))</f>
        <v>Anita Gupta</v>
      </c>
      <c r="G296" s="66" t="s">
        <v>28</v>
      </c>
      <c r="H296" s="66" t="s">
        <v>1375</v>
      </c>
      <c r="I296" s="66" t="s">
        <v>105</v>
      </c>
      <c r="J296" s="66" t="str">
        <f>PROPER(Sales_Data!J296)</f>
        <v>West</v>
      </c>
      <c r="K296" s="66" t="str">
        <f>PROPER(Sales_Data!K296)</f>
        <v>Stationery</v>
      </c>
      <c r="L296" s="66" t="s">
        <v>227</v>
      </c>
      <c r="M296" s="66">
        <v>10</v>
      </c>
      <c r="N296" s="66">
        <v>20</v>
      </c>
      <c r="O296" s="66">
        <v>5</v>
      </c>
      <c r="P296" s="66">
        <v>190</v>
      </c>
      <c r="Q296" s="66">
        <v>4</v>
      </c>
      <c r="R296" s="66" t="s">
        <v>34</v>
      </c>
      <c r="S296" s="66" t="s">
        <v>151</v>
      </c>
      <c r="T296" s="66" t="s">
        <v>175</v>
      </c>
      <c r="U296" s="69" t="s">
        <v>1376</v>
      </c>
      <c r="V296" s="66" t="s">
        <v>64</v>
      </c>
      <c r="X296" t="str">
        <f>PROPER(Sales_Data!X296)</f>
        <v/>
      </c>
    </row>
    <row r="297" spans="1:24" x14ac:dyDescent="0.3">
      <c r="A297" s="65" t="s">
        <v>1377</v>
      </c>
      <c r="B297" s="66" t="s">
        <v>100</v>
      </c>
      <c r="C297" s="66" t="s">
        <v>118</v>
      </c>
      <c r="D297" s="67" t="s">
        <v>1378</v>
      </c>
      <c r="E297" s="68" t="s">
        <v>1379</v>
      </c>
      <c r="F297" s="66" t="str">
        <f>TRIM(PROPER(Sales_Data!F297))</f>
        <v>Priya Patel</v>
      </c>
      <c r="G297" s="66" t="s">
        <v>28</v>
      </c>
      <c r="H297" s="66" t="s">
        <v>1380</v>
      </c>
      <c r="I297" s="66" t="s">
        <v>44</v>
      </c>
      <c r="J297" s="66" t="str">
        <f>PROPER(Sales_Data!J297)</f>
        <v>North</v>
      </c>
      <c r="K297" s="66" t="str">
        <f>PROPER(Sales_Data!K297)</f>
        <v>Stationery</v>
      </c>
      <c r="L297" s="66" t="s">
        <v>123</v>
      </c>
      <c r="M297" s="66">
        <v>20</v>
      </c>
      <c r="N297" s="66">
        <v>60</v>
      </c>
      <c r="O297" s="66">
        <v>15</v>
      </c>
      <c r="P297" s="66">
        <v>1020</v>
      </c>
      <c r="Q297" s="66">
        <v>5</v>
      </c>
      <c r="R297" s="66" t="s">
        <v>79</v>
      </c>
      <c r="S297" s="66" t="s">
        <v>35</v>
      </c>
      <c r="T297" s="66" t="s">
        <v>144</v>
      </c>
      <c r="U297" s="69" t="s">
        <v>1381</v>
      </c>
      <c r="V297" s="66" t="s">
        <v>64</v>
      </c>
      <c r="X297" t="str">
        <f>PROPER(Sales_Data!X297)</f>
        <v/>
      </c>
    </row>
    <row r="298" spans="1:24" x14ac:dyDescent="0.3">
      <c r="A298" s="65" t="s">
        <v>1382</v>
      </c>
      <c r="B298" s="66" t="s">
        <v>327</v>
      </c>
      <c r="C298" s="66" t="s">
        <v>24</v>
      </c>
      <c r="D298" s="67">
        <v>45661</v>
      </c>
      <c r="E298" s="68" t="s">
        <v>577</v>
      </c>
      <c r="F298" s="66" t="str">
        <f>TRIM(PROPER(Sales_Data!F298))</f>
        <v>Amit Sharma</v>
      </c>
      <c r="G298" s="66" t="s">
        <v>76</v>
      </c>
      <c r="H298" s="66" t="s">
        <v>1383</v>
      </c>
      <c r="I298" s="66" t="s">
        <v>138</v>
      </c>
      <c r="J298" s="66" t="str">
        <f>PROPER(Sales_Data!J298)</f>
        <v>West</v>
      </c>
      <c r="K298" s="66" t="str">
        <f>PROPER(Sales_Data!K298)</f>
        <v>Home Appliances</v>
      </c>
      <c r="L298" s="66" t="s">
        <v>33</v>
      </c>
      <c r="M298" s="66">
        <v>7</v>
      </c>
      <c r="N298" s="66">
        <v>2200</v>
      </c>
      <c r="O298" s="66">
        <v>15</v>
      </c>
      <c r="P298" s="66">
        <v>13090</v>
      </c>
      <c r="Q298" s="66">
        <v>4</v>
      </c>
      <c r="R298" s="66" t="s">
        <v>34</v>
      </c>
      <c r="S298" s="66" t="s">
        <v>61</v>
      </c>
      <c r="T298" s="66" t="s">
        <v>332</v>
      </c>
      <c r="U298" s="69" t="s">
        <v>1384</v>
      </c>
      <c r="V298" s="66" t="s">
        <v>69</v>
      </c>
      <c r="X298" t="str">
        <f>PROPER(Sales_Data!X298)</f>
        <v/>
      </c>
    </row>
    <row r="299" spans="1:24" x14ac:dyDescent="0.3">
      <c r="A299" s="65" t="s">
        <v>1385</v>
      </c>
      <c r="B299" s="66" t="s">
        <v>127</v>
      </c>
      <c r="C299" s="66" t="s">
        <v>54</v>
      </c>
      <c r="D299" s="67" t="s">
        <v>619</v>
      </c>
      <c r="E299" s="68" t="s">
        <v>760</v>
      </c>
      <c r="F299" s="66" t="str">
        <f>TRIM(PROPER(Sales_Data!F299))</f>
        <v>Rohit Singh</v>
      </c>
      <c r="G299" s="66" t="s">
        <v>76</v>
      </c>
      <c r="H299" s="66" t="s">
        <v>1386</v>
      </c>
      <c r="I299" s="66" t="s">
        <v>30</v>
      </c>
      <c r="J299" s="66" t="str">
        <f>PROPER(Sales_Data!J299)</f>
        <v>South</v>
      </c>
      <c r="K299" s="66" t="str">
        <f>PROPER(Sales_Data!K299)</f>
        <v>Electronics</v>
      </c>
      <c r="L299" s="66" t="s">
        <v>60</v>
      </c>
      <c r="M299" s="66">
        <v>11</v>
      </c>
      <c r="N299" s="66">
        <v>55000</v>
      </c>
      <c r="O299" s="66">
        <v>5</v>
      </c>
      <c r="P299" s="66">
        <v>574750</v>
      </c>
      <c r="Q299" s="66">
        <v>1</v>
      </c>
      <c r="R299" s="66" t="s">
        <v>88</v>
      </c>
      <c r="S299" s="66" t="s">
        <v>35</v>
      </c>
      <c r="T299" s="66" t="s">
        <v>132</v>
      </c>
      <c r="U299" s="69" t="s">
        <v>1387</v>
      </c>
      <c r="V299" s="66" t="s">
        <v>69</v>
      </c>
      <c r="X299" t="str">
        <f>PROPER(Sales_Data!X299)</f>
        <v/>
      </c>
    </row>
    <row r="300" spans="1:24" x14ac:dyDescent="0.3">
      <c r="A300" s="65" t="s">
        <v>1388</v>
      </c>
      <c r="B300" s="66" t="s">
        <v>83</v>
      </c>
      <c r="C300" s="66" t="s">
        <v>92</v>
      </c>
      <c r="D300" s="67">
        <v>45787</v>
      </c>
      <c r="E300" s="68" t="s">
        <v>1389</v>
      </c>
      <c r="F300" s="66" t="str">
        <f>TRIM(PROPER(Sales_Data!F300))</f>
        <v>Arjun Rao</v>
      </c>
      <c r="G300" s="66" t="s">
        <v>76</v>
      </c>
      <c r="H300" s="66" t="s">
        <v>1390</v>
      </c>
      <c r="I300" s="66" t="s">
        <v>212</v>
      </c>
      <c r="J300" s="66" t="str">
        <f>PROPER(Sales_Data!J300)</f>
        <v>North</v>
      </c>
      <c r="K300" s="66" t="str">
        <f>PROPER(Sales_Data!K300)</f>
        <v>Home Appliances</v>
      </c>
      <c r="L300" s="66" t="s">
        <v>97</v>
      </c>
      <c r="M300" s="66">
        <v>12</v>
      </c>
      <c r="N300" s="66">
        <v>3500</v>
      </c>
      <c r="O300" s="66">
        <v>0</v>
      </c>
      <c r="P300" s="66">
        <v>42000</v>
      </c>
      <c r="Q300" s="66">
        <v>2</v>
      </c>
      <c r="R300" s="66" t="s">
        <v>48</v>
      </c>
      <c r="S300" s="66" t="s">
        <v>2140</v>
      </c>
      <c r="T300" s="66" t="s">
        <v>89</v>
      </c>
      <c r="U300" s="69" t="s">
        <v>1391</v>
      </c>
      <c r="V300" s="66" t="s">
        <v>64</v>
      </c>
      <c r="X300" t="str">
        <f>PROPER(Sales_Data!X300)</f>
        <v/>
      </c>
    </row>
    <row r="301" spans="1:24" x14ac:dyDescent="0.3">
      <c r="A301" s="65" t="s">
        <v>1392</v>
      </c>
      <c r="B301" s="66" t="s">
        <v>71</v>
      </c>
      <c r="C301" s="66" t="s">
        <v>259</v>
      </c>
      <c r="D301" s="67" t="s">
        <v>94</v>
      </c>
      <c r="E301" s="68" t="s">
        <v>298</v>
      </c>
      <c r="F301" s="66" t="str">
        <f>TRIM(PROPER(Sales_Data!F301))</f>
        <v>Mohit Verma</v>
      </c>
      <c r="G301" s="66" t="s">
        <v>76</v>
      </c>
      <c r="H301" s="66" t="s">
        <v>1393</v>
      </c>
      <c r="I301" s="66" t="s">
        <v>30</v>
      </c>
      <c r="J301" s="66" t="str">
        <f>PROPER(Sales_Data!J301)</f>
        <v>South</v>
      </c>
      <c r="K301" s="66" t="str">
        <f>PROPER(Sales_Data!K301)</f>
        <v>Stationery</v>
      </c>
      <c r="L301" s="66" t="s">
        <v>263</v>
      </c>
      <c r="M301" s="66">
        <v>15</v>
      </c>
      <c r="N301" s="66">
        <v>45</v>
      </c>
      <c r="O301" s="66">
        <v>10</v>
      </c>
      <c r="P301" s="66">
        <v>607.5</v>
      </c>
      <c r="Q301" s="66">
        <v>2</v>
      </c>
      <c r="R301" s="66" t="s">
        <v>34</v>
      </c>
      <c r="S301" s="66" t="s">
        <v>151</v>
      </c>
      <c r="T301" s="66" t="s">
        <v>80</v>
      </c>
      <c r="U301" s="69" t="s">
        <v>1394</v>
      </c>
      <c r="V301" s="66" t="s">
        <v>64</v>
      </c>
      <c r="X301" t="str">
        <f>PROPER(Sales_Data!X301)</f>
        <v/>
      </c>
    </row>
    <row r="302" spans="1:24" x14ac:dyDescent="0.3">
      <c r="A302" s="65" t="s">
        <v>1395</v>
      </c>
      <c r="B302" s="66" t="s">
        <v>327</v>
      </c>
      <c r="C302" s="66" t="s">
        <v>259</v>
      </c>
      <c r="D302" s="67" t="s">
        <v>1320</v>
      </c>
      <c r="E302" s="68" t="s">
        <v>936</v>
      </c>
      <c r="F302" s="66" t="str">
        <f>TRIM(PROPER(Sales_Data!F302))</f>
        <v>Amit Sharma</v>
      </c>
      <c r="G302" s="66" t="s">
        <v>76</v>
      </c>
      <c r="H302" s="66" t="s">
        <v>1396</v>
      </c>
      <c r="I302" s="66" t="s">
        <v>59</v>
      </c>
      <c r="J302" s="66" t="str">
        <f>PROPER(Sales_Data!J302)</f>
        <v>South</v>
      </c>
      <c r="K302" s="66" t="str">
        <f>PROPER(Sales_Data!K302)</f>
        <v>Stationery</v>
      </c>
      <c r="L302" s="66" t="s">
        <v>263</v>
      </c>
      <c r="M302" s="66">
        <v>13</v>
      </c>
      <c r="N302" s="66">
        <v>45</v>
      </c>
      <c r="O302" s="66">
        <v>0</v>
      </c>
      <c r="P302" s="66">
        <v>585</v>
      </c>
      <c r="Q302" s="66">
        <v>5</v>
      </c>
      <c r="R302" s="66" t="s">
        <v>48</v>
      </c>
      <c r="S302" s="66" t="s">
        <v>49</v>
      </c>
      <c r="T302" s="66" t="s">
        <v>332</v>
      </c>
      <c r="U302" s="69" t="s">
        <v>1397</v>
      </c>
      <c r="V302" s="66" t="s">
        <v>64</v>
      </c>
      <c r="X302" t="str">
        <f>PROPER(Sales_Data!X302)</f>
        <v/>
      </c>
    </row>
    <row r="303" spans="1:24" x14ac:dyDescent="0.3">
      <c r="A303" s="65" t="s">
        <v>1398</v>
      </c>
      <c r="B303" s="66" t="s">
        <v>127</v>
      </c>
      <c r="C303" s="66" t="s">
        <v>54</v>
      </c>
      <c r="D303" s="67">
        <v>46054</v>
      </c>
      <c r="E303" s="68" t="s">
        <v>1199</v>
      </c>
      <c r="F303" s="66" t="str">
        <f>TRIM(PROPER(Sales_Data!F303))</f>
        <v>Rohit Singh</v>
      </c>
      <c r="G303" s="66" t="s">
        <v>76</v>
      </c>
      <c r="H303" s="66" t="s">
        <v>1399</v>
      </c>
      <c r="I303" s="66" t="s">
        <v>59</v>
      </c>
      <c r="J303" s="66" t="str">
        <f>PROPER(Sales_Data!J303)</f>
        <v>South</v>
      </c>
      <c r="K303" s="66" t="str">
        <f>PROPER(Sales_Data!K303)</f>
        <v>Electronics</v>
      </c>
      <c r="L303" s="66" t="s">
        <v>60</v>
      </c>
      <c r="M303" s="66">
        <v>8</v>
      </c>
      <c r="N303" s="66">
        <v>55000</v>
      </c>
      <c r="O303" s="66">
        <v>0</v>
      </c>
      <c r="P303" s="66">
        <v>440000</v>
      </c>
      <c r="Q303" s="66">
        <v>2</v>
      </c>
      <c r="R303" s="66" t="s">
        <v>88</v>
      </c>
      <c r="S303" s="66" t="s">
        <v>151</v>
      </c>
      <c r="T303" s="66" t="s">
        <v>132</v>
      </c>
      <c r="U303" s="69" t="s">
        <v>1400</v>
      </c>
      <c r="V303" s="66" t="s">
        <v>69</v>
      </c>
      <c r="X303" t="str">
        <f>PROPER(Sales_Data!X303)</f>
        <v/>
      </c>
    </row>
    <row r="304" spans="1:24" x14ac:dyDescent="0.3">
      <c r="A304" s="65" t="s">
        <v>1401</v>
      </c>
      <c r="B304" s="66" t="s">
        <v>251</v>
      </c>
      <c r="C304" s="66" t="s">
        <v>54</v>
      </c>
      <c r="D304" s="67" t="s">
        <v>830</v>
      </c>
      <c r="E304" s="68" t="s">
        <v>381</v>
      </c>
      <c r="F304" s="66" t="str">
        <f>TRIM(PROPER(Sales_Data!F304))</f>
        <v>Sneha Joshi</v>
      </c>
      <c r="G304" s="66" t="s">
        <v>28</v>
      </c>
      <c r="H304" s="66" t="s">
        <v>1402</v>
      </c>
      <c r="I304" s="66" t="s">
        <v>44</v>
      </c>
      <c r="J304" s="66" t="str">
        <f>PROPER(Sales_Data!J304)</f>
        <v>North</v>
      </c>
      <c r="K304" s="66" t="str">
        <f>PROPER(Sales_Data!K304)</f>
        <v>Electronics</v>
      </c>
      <c r="L304" s="66" t="s">
        <v>60</v>
      </c>
      <c r="M304" s="66">
        <v>4</v>
      </c>
      <c r="N304" s="66">
        <v>55000</v>
      </c>
      <c r="O304" s="66">
        <v>20</v>
      </c>
      <c r="P304" s="66">
        <v>176000</v>
      </c>
      <c r="Q304" s="66">
        <v>5</v>
      </c>
      <c r="R304" s="66" t="s">
        <v>34</v>
      </c>
      <c r="S304" s="66" t="s">
        <v>49</v>
      </c>
      <c r="T304" s="66" t="s">
        <v>256</v>
      </c>
      <c r="U304" s="69" t="s">
        <v>1403</v>
      </c>
      <c r="V304" s="66" t="s">
        <v>64</v>
      </c>
      <c r="X304" t="str">
        <f>PROPER(Sales_Data!X304)</f>
        <v/>
      </c>
    </row>
    <row r="305" spans="1:24" x14ac:dyDescent="0.3">
      <c r="A305" s="65" t="s">
        <v>1404</v>
      </c>
      <c r="B305" s="66" t="s">
        <v>23</v>
      </c>
      <c r="C305" s="66" t="s">
        <v>92</v>
      </c>
      <c r="D305" s="67" t="s">
        <v>1405</v>
      </c>
      <c r="E305" s="68" t="s">
        <v>716</v>
      </c>
      <c r="F305" s="66" t="str">
        <f>TRIM(PROPER(Sales_Data!F305))</f>
        <v>Kavya Nair</v>
      </c>
      <c r="G305" s="66" t="s">
        <v>28</v>
      </c>
      <c r="H305" s="66" t="s">
        <v>1406</v>
      </c>
      <c r="I305" s="66" t="s">
        <v>138</v>
      </c>
      <c r="J305" s="66" t="str">
        <f>PROPER(Sales_Data!J305)</f>
        <v>West</v>
      </c>
      <c r="K305" s="66" t="str">
        <f>PROPER(Sales_Data!K305)</f>
        <v>Home Appliances</v>
      </c>
      <c r="L305" s="66" t="s">
        <v>97</v>
      </c>
      <c r="M305" s="66">
        <v>19</v>
      </c>
      <c r="N305" s="66">
        <v>3500</v>
      </c>
      <c r="O305" s="66">
        <v>5</v>
      </c>
      <c r="P305" s="66">
        <v>63175</v>
      </c>
      <c r="Q305" s="66">
        <v>1</v>
      </c>
      <c r="R305" s="66" t="s">
        <v>79</v>
      </c>
      <c r="S305" s="66" t="s">
        <v>115</v>
      </c>
      <c r="T305" s="66" t="s">
        <v>50</v>
      </c>
      <c r="U305" s="69" t="s">
        <v>1407</v>
      </c>
      <c r="V305" s="66" t="s">
        <v>38</v>
      </c>
      <c r="X305" t="str">
        <f>PROPER(Sales_Data!X305)</f>
        <v/>
      </c>
    </row>
    <row r="306" spans="1:24" x14ac:dyDescent="0.3">
      <c r="A306" s="65" t="s">
        <v>1408</v>
      </c>
      <c r="B306" s="66" t="s">
        <v>221</v>
      </c>
      <c r="C306" s="66" t="s">
        <v>72</v>
      </c>
      <c r="D306" s="67">
        <v>45691</v>
      </c>
      <c r="E306" s="68" t="s">
        <v>414</v>
      </c>
      <c r="F306" s="66" t="str">
        <f>TRIM(PROPER(Sales_Data!F306))</f>
        <v>Vikas Mehta</v>
      </c>
      <c r="G306" s="66" t="s">
        <v>76</v>
      </c>
      <c r="H306" s="66" t="s">
        <v>1410</v>
      </c>
      <c r="I306" s="66" t="s">
        <v>212</v>
      </c>
      <c r="J306" s="66" t="str">
        <f>PROPER(Sales_Data!J306)</f>
        <v>North</v>
      </c>
      <c r="K306" s="66" t="str">
        <f>PROPER(Sales_Data!K306)</f>
        <v>Electronics</v>
      </c>
      <c r="L306" s="66" t="s">
        <v>78</v>
      </c>
      <c r="M306" s="66">
        <v>17</v>
      </c>
      <c r="N306" s="66">
        <v>1200</v>
      </c>
      <c r="O306" s="66">
        <v>15</v>
      </c>
      <c r="P306" s="66">
        <v>17340</v>
      </c>
      <c r="Q306" s="66">
        <v>2</v>
      </c>
      <c r="R306" s="66" t="s">
        <v>48</v>
      </c>
      <c r="S306" s="66" t="s">
        <v>49</v>
      </c>
      <c r="T306" s="66" t="s">
        <v>228</v>
      </c>
      <c r="U306" s="69" t="s">
        <v>1411</v>
      </c>
      <c r="V306" s="66" t="s">
        <v>38</v>
      </c>
      <c r="X306" t="str">
        <f>PROPER(Sales_Data!X306)</f>
        <v/>
      </c>
    </row>
    <row r="307" spans="1:24" x14ac:dyDescent="0.3">
      <c r="A307" s="65" t="s">
        <v>1412</v>
      </c>
      <c r="B307" s="66" t="s">
        <v>23</v>
      </c>
      <c r="C307" s="66" t="s">
        <v>24</v>
      </c>
      <c r="D307" s="67">
        <v>46267</v>
      </c>
      <c r="E307" s="68" t="s">
        <v>736</v>
      </c>
      <c r="F307" s="66" t="str">
        <f>TRIM(PROPER(Sales_Data!F307))</f>
        <v>Kavya Nair</v>
      </c>
      <c r="G307" s="66" t="s">
        <v>28</v>
      </c>
      <c r="H307" s="66" t="s">
        <v>1413</v>
      </c>
      <c r="I307" s="66" t="s">
        <v>30</v>
      </c>
      <c r="J307" s="66" t="str">
        <f>PROPER(Sales_Data!J307)</f>
        <v>South</v>
      </c>
      <c r="K307" s="66" t="str">
        <f>PROPER(Sales_Data!K307)</f>
        <v>Home Appliances</v>
      </c>
      <c r="L307" s="66" t="s">
        <v>33</v>
      </c>
      <c r="M307" s="66">
        <v>8</v>
      </c>
      <c r="N307" s="66">
        <v>2200</v>
      </c>
      <c r="O307" s="66">
        <v>5</v>
      </c>
      <c r="P307" s="66">
        <v>16720</v>
      </c>
      <c r="Q307" s="66">
        <v>3</v>
      </c>
      <c r="R307" s="66" t="s">
        <v>79</v>
      </c>
      <c r="S307" s="66" t="s">
        <v>115</v>
      </c>
      <c r="T307" s="66" t="s">
        <v>50</v>
      </c>
      <c r="U307" s="69" t="s">
        <v>1414</v>
      </c>
      <c r="V307" s="66" t="s">
        <v>64</v>
      </c>
      <c r="X307" t="str">
        <f>PROPER(Sales_Data!X307)</f>
        <v/>
      </c>
    </row>
    <row r="308" spans="1:24" x14ac:dyDescent="0.3">
      <c r="A308" s="65" t="s">
        <v>1415</v>
      </c>
      <c r="B308" s="66" t="s">
        <v>251</v>
      </c>
      <c r="C308" s="66" t="s">
        <v>184</v>
      </c>
      <c r="D308" s="67" t="s">
        <v>987</v>
      </c>
      <c r="E308" s="68" t="s">
        <v>387</v>
      </c>
      <c r="F308" s="66" t="str">
        <f>TRIM(PROPER(Sales_Data!F308))</f>
        <v>Sneha Joshi</v>
      </c>
      <c r="G308" s="66" t="s">
        <v>28</v>
      </c>
      <c r="H308" s="66" t="s">
        <v>813</v>
      </c>
      <c r="I308" s="66" t="s">
        <v>105</v>
      </c>
      <c r="J308" s="66" t="str">
        <f>PROPER(Sales_Data!J308)</f>
        <v>West</v>
      </c>
      <c r="K308" s="66" t="str">
        <f>PROPER(Sales_Data!K308)</f>
        <v>Electronics</v>
      </c>
      <c r="L308" s="66" t="s">
        <v>189</v>
      </c>
      <c r="M308" s="66">
        <v>17</v>
      </c>
      <c r="N308" s="66">
        <v>700</v>
      </c>
      <c r="O308" s="66">
        <v>20</v>
      </c>
      <c r="P308" s="66">
        <v>9520</v>
      </c>
      <c r="Q308" s="66">
        <v>4</v>
      </c>
      <c r="R308" s="66" t="s">
        <v>48</v>
      </c>
      <c r="S308" s="66" t="s">
        <v>115</v>
      </c>
      <c r="T308" s="66" t="s">
        <v>256</v>
      </c>
      <c r="U308" s="69" t="s">
        <v>1416</v>
      </c>
      <c r="V308" s="66" t="s">
        <v>38</v>
      </c>
      <c r="X308" t="str">
        <f>PROPER(Sales_Data!X308)</f>
        <v/>
      </c>
    </row>
    <row r="309" spans="1:24" x14ac:dyDescent="0.3">
      <c r="A309" s="65" t="s">
        <v>1417</v>
      </c>
      <c r="B309" s="66" t="s">
        <v>251</v>
      </c>
      <c r="C309" s="66" t="s">
        <v>169</v>
      </c>
      <c r="D309" s="67" t="s">
        <v>372</v>
      </c>
      <c r="E309" s="68" t="s">
        <v>246</v>
      </c>
      <c r="F309" s="66" t="str">
        <f>TRIM(PROPER(Sales_Data!F309))</f>
        <v>Sneha Joshi</v>
      </c>
      <c r="G309" s="66" t="s">
        <v>28</v>
      </c>
      <c r="H309" s="66" t="s">
        <v>1215</v>
      </c>
      <c r="I309" s="66" t="s">
        <v>114</v>
      </c>
      <c r="J309" s="66" t="str">
        <f>PROPER(Sales_Data!J309)</f>
        <v>West</v>
      </c>
      <c r="K309" s="66" t="str">
        <f>PROPER(Sales_Data!K309)</f>
        <v>Home Appliances</v>
      </c>
      <c r="L309" s="66" t="s">
        <v>174</v>
      </c>
      <c r="M309" s="66">
        <v>6</v>
      </c>
      <c r="N309" s="66">
        <v>8500</v>
      </c>
      <c r="O309" s="66">
        <v>15</v>
      </c>
      <c r="P309" s="66">
        <v>43350</v>
      </c>
      <c r="Q309" s="66">
        <v>1</v>
      </c>
      <c r="R309" s="66" t="s">
        <v>34</v>
      </c>
      <c r="S309" s="66" t="s">
        <v>61</v>
      </c>
      <c r="T309" s="66" t="s">
        <v>256</v>
      </c>
      <c r="U309" s="69" t="s">
        <v>1418</v>
      </c>
      <c r="V309" s="66" t="s">
        <v>38</v>
      </c>
      <c r="X309" t="str">
        <f>PROPER(Sales_Data!X309)</f>
        <v/>
      </c>
    </row>
    <row r="310" spans="1:24" x14ac:dyDescent="0.3">
      <c r="A310" s="65" t="s">
        <v>1419</v>
      </c>
      <c r="B310" s="66" t="s">
        <v>53</v>
      </c>
      <c r="C310" s="66" t="s">
        <v>92</v>
      </c>
      <c r="D310" s="67">
        <v>45818</v>
      </c>
      <c r="E310" s="68" t="s">
        <v>345</v>
      </c>
      <c r="F310" s="66" t="str">
        <f>TRIM(PROPER(Sales_Data!F310))</f>
        <v>Pooja Shah</v>
      </c>
      <c r="G310" s="66" t="s">
        <v>28</v>
      </c>
      <c r="H310" s="66" t="s">
        <v>1420</v>
      </c>
      <c r="I310" s="66" t="s">
        <v>30</v>
      </c>
      <c r="J310" s="66" t="str">
        <f>PROPER(Sales_Data!J310)</f>
        <v>South</v>
      </c>
      <c r="K310" s="66" t="str">
        <f>PROPER(Sales_Data!K310)</f>
        <v>Home Appliances</v>
      </c>
      <c r="L310" s="66" t="s">
        <v>97</v>
      </c>
      <c r="M310" s="66">
        <v>3</v>
      </c>
      <c r="N310" s="66">
        <v>3500</v>
      </c>
      <c r="O310" s="66">
        <v>10</v>
      </c>
      <c r="P310" s="66">
        <v>9450</v>
      </c>
      <c r="Q310" s="66">
        <v>1</v>
      </c>
      <c r="R310" s="66" t="s">
        <v>48</v>
      </c>
      <c r="S310" s="66" t="s">
        <v>49</v>
      </c>
      <c r="T310" s="66" t="s">
        <v>62</v>
      </c>
      <c r="U310" s="69" t="s">
        <v>1421</v>
      </c>
      <c r="V310" s="66" t="s">
        <v>38</v>
      </c>
      <c r="X310" t="str">
        <f>PROPER(Sales_Data!X310)</f>
        <v/>
      </c>
    </row>
    <row r="311" spans="1:24" x14ac:dyDescent="0.3">
      <c r="A311" s="65" t="s">
        <v>1422</v>
      </c>
      <c r="B311" s="66" t="s">
        <v>71</v>
      </c>
      <c r="C311" s="66" t="s">
        <v>40</v>
      </c>
      <c r="D311" s="67" t="s">
        <v>1378</v>
      </c>
      <c r="E311" s="68" t="s">
        <v>783</v>
      </c>
      <c r="F311" s="66" t="str">
        <f>TRIM(PROPER(Sales_Data!F311))</f>
        <v>Mohit Verma</v>
      </c>
      <c r="G311" s="66" t="s">
        <v>76</v>
      </c>
      <c r="H311" s="66" t="s">
        <v>1423</v>
      </c>
      <c r="I311" s="66" t="s">
        <v>138</v>
      </c>
      <c r="J311" s="66" t="str">
        <f>PROPER(Sales_Data!J311)</f>
        <v>West</v>
      </c>
      <c r="K311" s="66" t="str">
        <f>PROPER(Sales_Data!K311)</f>
        <v>Electronics</v>
      </c>
      <c r="L311" s="66" t="s">
        <v>47</v>
      </c>
      <c r="M311" s="66">
        <v>2</v>
      </c>
      <c r="N311" s="66">
        <v>12000</v>
      </c>
      <c r="O311" s="66">
        <v>20</v>
      </c>
      <c r="P311" s="66">
        <v>19200</v>
      </c>
      <c r="Q311" s="66">
        <v>1</v>
      </c>
      <c r="R311" s="66" t="s">
        <v>79</v>
      </c>
      <c r="S311" s="66" t="s">
        <v>61</v>
      </c>
      <c r="T311" s="66" t="s">
        <v>80</v>
      </c>
      <c r="U311" s="69" t="s">
        <v>1424</v>
      </c>
      <c r="V311" s="66" t="s">
        <v>38</v>
      </c>
      <c r="X311" t="str">
        <f>PROPER(Sales_Data!X311)</f>
        <v/>
      </c>
    </row>
    <row r="312" spans="1:24" x14ac:dyDescent="0.3">
      <c r="A312" s="65" t="s">
        <v>1425</v>
      </c>
      <c r="B312" s="66" t="s">
        <v>221</v>
      </c>
      <c r="C312" s="66" t="s">
        <v>222</v>
      </c>
      <c r="D312" s="67" t="s">
        <v>340</v>
      </c>
      <c r="E312" s="68" t="s">
        <v>1426</v>
      </c>
      <c r="F312" s="66" t="str">
        <f>TRIM(PROPER(Sales_Data!F312))</f>
        <v>Vikas Mehta</v>
      </c>
      <c r="G312" s="66" t="s">
        <v>76</v>
      </c>
      <c r="H312" s="66" t="s">
        <v>1427</v>
      </c>
      <c r="I312" s="66" t="s">
        <v>44</v>
      </c>
      <c r="J312" s="66" t="str">
        <f>PROPER(Sales_Data!J312)</f>
        <v>North</v>
      </c>
      <c r="K312" s="66" t="str">
        <f>PROPER(Sales_Data!K312)</f>
        <v>Stationery</v>
      </c>
      <c r="L312" s="66" t="s">
        <v>227</v>
      </c>
      <c r="M312" s="66">
        <v>12</v>
      </c>
      <c r="N312" s="66">
        <v>20</v>
      </c>
      <c r="O312" s="66">
        <v>20</v>
      </c>
      <c r="P312" s="66">
        <v>192</v>
      </c>
      <c r="Q312" s="66">
        <v>2</v>
      </c>
      <c r="R312" s="66" t="s">
        <v>79</v>
      </c>
      <c r="S312" s="66" t="s">
        <v>49</v>
      </c>
      <c r="T312" s="66" t="s">
        <v>228</v>
      </c>
      <c r="U312" s="69" t="s">
        <v>1428</v>
      </c>
      <c r="V312" s="66" t="s">
        <v>38</v>
      </c>
      <c r="X312" t="str">
        <f>PROPER(Sales_Data!X312)</f>
        <v/>
      </c>
    </row>
    <row r="313" spans="1:24" x14ac:dyDescent="0.3">
      <c r="A313" s="65" t="s">
        <v>1429</v>
      </c>
      <c r="B313" s="66" t="s">
        <v>100</v>
      </c>
      <c r="C313" s="66" t="s">
        <v>40</v>
      </c>
      <c r="D313" s="67" t="s">
        <v>716</v>
      </c>
      <c r="E313" s="68" t="s">
        <v>1430</v>
      </c>
      <c r="F313" s="66" t="str">
        <f>TRIM(PROPER(Sales_Data!F313))</f>
        <v>Priya Patel</v>
      </c>
      <c r="G313" s="66" t="s">
        <v>28</v>
      </c>
      <c r="H313" s="66" t="s">
        <v>1431</v>
      </c>
      <c r="I313" s="66" t="s">
        <v>294</v>
      </c>
      <c r="J313" s="66" t="str">
        <f>PROPER(Sales_Data!J313)</f>
        <v>East</v>
      </c>
      <c r="K313" s="66" t="str">
        <f>PROPER(Sales_Data!K313)</f>
        <v>Electronics</v>
      </c>
      <c r="L313" s="66" t="s">
        <v>47</v>
      </c>
      <c r="M313" s="66">
        <v>20</v>
      </c>
      <c r="N313" s="66">
        <v>12000</v>
      </c>
      <c r="O313" s="66">
        <v>15</v>
      </c>
      <c r="P313" s="66">
        <v>204000</v>
      </c>
      <c r="Q313" s="66">
        <v>3</v>
      </c>
      <c r="R313" s="66" t="s">
        <v>34</v>
      </c>
      <c r="S313" s="66" t="s">
        <v>35</v>
      </c>
      <c r="T313" s="66" t="s">
        <v>144</v>
      </c>
      <c r="U313" s="69" t="s">
        <v>1432</v>
      </c>
      <c r="V313" s="66" t="s">
        <v>64</v>
      </c>
      <c r="X313" t="str">
        <f>PROPER(Sales_Data!X313)</f>
        <v/>
      </c>
    </row>
    <row r="314" spans="1:24" x14ac:dyDescent="0.3">
      <c r="A314" s="65" t="s">
        <v>1433</v>
      </c>
      <c r="B314" s="66" t="s">
        <v>53</v>
      </c>
      <c r="C314" s="66" t="s">
        <v>118</v>
      </c>
      <c r="D314" s="67" t="s">
        <v>398</v>
      </c>
      <c r="E314" s="68" t="s">
        <v>740</v>
      </c>
      <c r="F314" s="66" t="str">
        <f>TRIM(PROPER(Sales_Data!F314))</f>
        <v>Pooja Shah</v>
      </c>
      <c r="G314" s="66" t="s">
        <v>28</v>
      </c>
      <c r="H314" s="66" t="s">
        <v>1434</v>
      </c>
      <c r="I314" s="66" t="s">
        <v>212</v>
      </c>
      <c r="J314" s="66" t="str">
        <f>PROPER(Sales_Data!J314)</f>
        <v>North</v>
      </c>
      <c r="K314" s="66" t="str">
        <f>PROPER(Sales_Data!K314)</f>
        <v>Stationery</v>
      </c>
      <c r="L314" s="66" t="s">
        <v>123</v>
      </c>
      <c r="M314" s="66">
        <v>13</v>
      </c>
      <c r="N314" s="66">
        <v>60</v>
      </c>
      <c r="O314" s="66">
        <v>10</v>
      </c>
      <c r="P314" s="66">
        <v>702</v>
      </c>
      <c r="Q314" s="66">
        <v>5</v>
      </c>
      <c r="R314" s="66" t="s">
        <v>34</v>
      </c>
      <c r="S314" s="66" t="s">
        <v>35</v>
      </c>
      <c r="T314" s="66" t="s">
        <v>62</v>
      </c>
      <c r="U314" s="69" t="s">
        <v>1435</v>
      </c>
      <c r="V314" s="66" t="s">
        <v>64</v>
      </c>
      <c r="X314" t="str">
        <f>PROPER(Sales_Data!X314)</f>
        <v/>
      </c>
    </row>
    <row r="315" spans="1:24" x14ac:dyDescent="0.3">
      <c r="A315" s="65" t="s">
        <v>1436</v>
      </c>
      <c r="B315" s="66" t="s">
        <v>71</v>
      </c>
      <c r="C315" s="66" t="s">
        <v>54</v>
      </c>
      <c r="D315" s="67">
        <v>45874</v>
      </c>
      <c r="E315" s="68" t="s">
        <v>1294</v>
      </c>
      <c r="F315" s="66" t="str">
        <f>TRIM(PROPER(Sales_Data!F315))</f>
        <v>Mohit Verma</v>
      </c>
      <c r="G315" s="66" t="s">
        <v>76</v>
      </c>
      <c r="H315" s="66" t="s">
        <v>1438</v>
      </c>
      <c r="I315" s="66" t="s">
        <v>114</v>
      </c>
      <c r="J315" s="66" t="str">
        <f>PROPER(Sales_Data!J315)</f>
        <v>West</v>
      </c>
      <c r="K315" s="66" t="str">
        <f>PROPER(Sales_Data!K315)</f>
        <v>Electronics</v>
      </c>
      <c r="L315" s="66" t="s">
        <v>60</v>
      </c>
      <c r="M315" s="66">
        <v>13</v>
      </c>
      <c r="N315" s="66">
        <v>55000</v>
      </c>
      <c r="O315" s="66">
        <v>5</v>
      </c>
      <c r="P315" s="66">
        <v>679250</v>
      </c>
      <c r="Q315" s="66">
        <v>1</v>
      </c>
      <c r="R315" s="66" t="s">
        <v>88</v>
      </c>
      <c r="S315" s="66" t="s">
        <v>151</v>
      </c>
      <c r="T315" s="66" t="s">
        <v>80</v>
      </c>
      <c r="U315" s="69" t="s">
        <v>1439</v>
      </c>
      <c r="V315" s="66" t="s">
        <v>64</v>
      </c>
      <c r="X315" t="str">
        <f>PROPER(Sales_Data!X315)</f>
        <v/>
      </c>
    </row>
    <row r="316" spans="1:24" x14ac:dyDescent="0.3">
      <c r="A316" s="65" t="s">
        <v>1440</v>
      </c>
      <c r="B316" s="66" t="s">
        <v>100</v>
      </c>
      <c r="C316" s="66" t="s">
        <v>72</v>
      </c>
      <c r="D316" s="67">
        <v>46206</v>
      </c>
      <c r="E316" s="68" t="s">
        <v>798</v>
      </c>
      <c r="F316" s="66" t="str">
        <f>TRIM(PROPER(Sales_Data!F316))</f>
        <v>Priya Patel</v>
      </c>
      <c r="G316" s="66" t="s">
        <v>28</v>
      </c>
      <c r="H316" s="66" t="s">
        <v>1441</v>
      </c>
      <c r="I316" s="66" t="s">
        <v>59</v>
      </c>
      <c r="J316" s="66" t="str">
        <f>PROPER(Sales_Data!J316)</f>
        <v>South</v>
      </c>
      <c r="K316" s="66" t="str">
        <f>PROPER(Sales_Data!K316)</f>
        <v>Electronics</v>
      </c>
      <c r="L316" s="66" t="s">
        <v>78</v>
      </c>
      <c r="M316" s="66">
        <v>7</v>
      </c>
      <c r="N316" s="66">
        <v>1200</v>
      </c>
      <c r="O316" s="66">
        <v>15</v>
      </c>
      <c r="P316" s="66">
        <v>7140</v>
      </c>
      <c r="Q316" s="66">
        <v>5</v>
      </c>
      <c r="R316" s="66" t="s">
        <v>88</v>
      </c>
      <c r="S316" s="66" t="s">
        <v>49</v>
      </c>
      <c r="T316" s="66" t="s">
        <v>144</v>
      </c>
      <c r="U316" s="69" t="s">
        <v>1442</v>
      </c>
      <c r="V316" s="66" t="s">
        <v>64</v>
      </c>
      <c r="X316" t="str">
        <f>PROPER(Sales_Data!X316)</f>
        <v/>
      </c>
    </row>
    <row r="317" spans="1:24" x14ac:dyDescent="0.3">
      <c r="A317" s="65" t="s">
        <v>1443</v>
      </c>
      <c r="B317" s="66" t="s">
        <v>83</v>
      </c>
      <c r="C317" s="66" t="s">
        <v>40</v>
      </c>
      <c r="D317" s="67" t="s">
        <v>961</v>
      </c>
      <c r="E317" s="68" t="s">
        <v>1444</v>
      </c>
      <c r="F317" s="66" t="str">
        <f>TRIM(PROPER(Sales_Data!F317))</f>
        <v>Arjun Rao</v>
      </c>
      <c r="G317" s="66" t="s">
        <v>76</v>
      </c>
      <c r="H317" s="66" t="s">
        <v>1445</v>
      </c>
      <c r="I317" s="66" t="s">
        <v>212</v>
      </c>
      <c r="J317" s="66" t="str">
        <f>PROPER(Sales_Data!J317)</f>
        <v>North</v>
      </c>
      <c r="K317" s="66" t="str">
        <f>PROPER(Sales_Data!K317)</f>
        <v>Electronics</v>
      </c>
      <c r="L317" s="66" t="s">
        <v>47</v>
      </c>
      <c r="M317" s="66">
        <v>17</v>
      </c>
      <c r="N317" s="66">
        <v>12000</v>
      </c>
      <c r="O317" s="66">
        <v>5</v>
      </c>
      <c r="P317" s="66">
        <v>193800</v>
      </c>
      <c r="Q317" s="66">
        <v>1</v>
      </c>
      <c r="R317" s="66" t="s">
        <v>34</v>
      </c>
      <c r="S317" s="66" t="s">
        <v>61</v>
      </c>
      <c r="T317" s="66" t="s">
        <v>89</v>
      </c>
      <c r="U317" s="69" t="s">
        <v>1446</v>
      </c>
      <c r="V317" s="66" t="s">
        <v>69</v>
      </c>
      <c r="X317" t="str">
        <f>PROPER(Sales_Data!X317)</f>
        <v/>
      </c>
    </row>
    <row r="318" spans="1:24" x14ac:dyDescent="0.3">
      <c r="A318" s="65" t="s">
        <v>1447</v>
      </c>
      <c r="B318" s="66" t="s">
        <v>83</v>
      </c>
      <c r="C318" s="66" t="s">
        <v>222</v>
      </c>
      <c r="D318" s="67" t="s">
        <v>356</v>
      </c>
      <c r="E318" s="68" t="s">
        <v>517</v>
      </c>
      <c r="F318" s="66" t="str">
        <f>TRIM(PROPER(Sales_Data!F318))</f>
        <v>Arjun Rao</v>
      </c>
      <c r="G318" s="66" t="s">
        <v>76</v>
      </c>
      <c r="H318" s="66" t="s">
        <v>1448</v>
      </c>
      <c r="I318" s="66" t="s">
        <v>59</v>
      </c>
      <c r="J318" s="66" t="str">
        <f>PROPER(Sales_Data!J318)</f>
        <v>South</v>
      </c>
      <c r="K318" s="66" t="str">
        <f>PROPER(Sales_Data!K318)</f>
        <v>Stationery</v>
      </c>
      <c r="L318" s="66" t="s">
        <v>227</v>
      </c>
      <c r="M318" s="66">
        <v>10</v>
      </c>
      <c r="N318" s="66">
        <v>20</v>
      </c>
      <c r="O318" s="66">
        <v>5</v>
      </c>
      <c r="P318" s="66">
        <v>190</v>
      </c>
      <c r="Q318" s="66">
        <v>2</v>
      </c>
      <c r="R318" s="66" t="s">
        <v>34</v>
      </c>
      <c r="S318" s="66" t="s">
        <v>61</v>
      </c>
      <c r="T318" s="66" t="s">
        <v>89</v>
      </c>
      <c r="U318" s="69" t="s">
        <v>1449</v>
      </c>
      <c r="V318" s="66" t="s">
        <v>69</v>
      </c>
      <c r="X318" t="str">
        <f>PROPER(Sales_Data!X318)</f>
        <v/>
      </c>
    </row>
    <row r="319" spans="1:24" x14ac:dyDescent="0.3">
      <c r="A319" s="65" t="s">
        <v>1450</v>
      </c>
      <c r="B319" s="66" t="s">
        <v>168</v>
      </c>
      <c r="C319" s="66" t="s">
        <v>24</v>
      </c>
      <c r="D319" s="67">
        <v>45788</v>
      </c>
      <c r="E319" s="68" t="s">
        <v>1451</v>
      </c>
      <c r="F319" s="66" t="str">
        <f>TRIM(PROPER(Sales_Data!F319))</f>
        <v>Anita Gupta</v>
      </c>
      <c r="G319" s="66" t="s">
        <v>28</v>
      </c>
      <c r="H319" s="66" t="s">
        <v>1452</v>
      </c>
      <c r="I319" s="66" t="s">
        <v>44</v>
      </c>
      <c r="J319" s="66" t="str">
        <f>PROPER(Sales_Data!J319)</f>
        <v>North</v>
      </c>
      <c r="K319" s="66" t="str">
        <f>PROPER(Sales_Data!K319)</f>
        <v>Home Appliances</v>
      </c>
      <c r="L319" s="66" t="s">
        <v>33</v>
      </c>
      <c r="M319" s="66">
        <v>11</v>
      </c>
      <c r="N319" s="66">
        <v>2200</v>
      </c>
      <c r="O319" s="66">
        <v>5</v>
      </c>
      <c r="P319" s="66">
        <v>22990</v>
      </c>
      <c r="Q319" s="66">
        <v>5</v>
      </c>
      <c r="R319" s="66" t="s">
        <v>79</v>
      </c>
      <c r="S319" s="66" t="s">
        <v>49</v>
      </c>
      <c r="T319" s="66" t="s">
        <v>175</v>
      </c>
      <c r="U319" s="69" t="s">
        <v>1453</v>
      </c>
      <c r="V319" s="66" t="s">
        <v>64</v>
      </c>
      <c r="X319" t="str">
        <f>PROPER(Sales_Data!X319)</f>
        <v/>
      </c>
    </row>
    <row r="320" spans="1:24" x14ac:dyDescent="0.3">
      <c r="A320" s="65" t="s">
        <v>1454</v>
      </c>
      <c r="B320" s="66" t="s">
        <v>100</v>
      </c>
      <c r="C320" s="66" t="s">
        <v>118</v>
      </c>
      <c r="D320" s="67" t="s">
        <v>1369</v>
      </c>
      <c r="E320" s="68" t="s">
        <v>178</v>
      </c>
      <c r="F320" s="66" t="str">
        <f>TRIM(PROPER(Sales_Data!F320))</f>
        <v>Priya Patel</v>
      </c>
      <c r="G320" s="66" t="s">
        <v>28</v>
      </c>
      <c r="H320" s="66" t="s">
        <v>1455</v>
      </c>
      <c r="I320" s="66" t="s">
        <v>212</v>
      </c>
      <c r="J320" s="66" t="str">
        <f>PROPER(Sales_Data!J320)</f>
        <v>North</v>
      </c>
      <c r="K320" s="66" t="str">
        <f>PROPER(Sales_Data!K320)</f>
        <v>Stationery</v>
      </c>
      <c r="L320" s="66" t="s">
        <v>123</v>
      </c>
      <c r="M320" s="66">
        <v>8</v>
      </c>
      <c r="N320" s="66">
        <v>60</v>
      </c>
      <c r="O320" s="66">
        <v>15</v>
      </c>
      <c r="P320" s="66">
        <v>408</v>
      </c>
      <c r="Q320" s="66">
        <v>4</v>
      </c>
      <c r="R320" s="66" t="s">
        <v>34</v>
      </c>
      <c r="S320" s="66" t="s">
        <v>49</v>
      </c>
      <c r="T320" s="66" t="s">
        <v>144</v>
      </c>
      <c r="U320" s="69" t="s">
        <v>1456</v>
      </c>
      <c r="V320" s="66" t="s">
        <v>64</v>
      </c>
      <c r="X320" t="str">
        <f>PROPER(Sales_Data!X320)</f>
        <v/>
      </c>
    </row>
    <row r="321" spans="1:24" x14ac:dyDescent="0.3">
      <c r="A321" s="65" t="s">
        <v>1457</v>
      </c>
      <c r="B321" s="66" t="s">
        <v>221</v>
      </c>
      <c r="C321" s="66" t="s">
        <v>259</v>
      </c>
      <c r="D321" s="67" t="s">
        <v>825</v>
      </c>
      <c r="E321" s="68" t="s">
        <v>119</v>
      </c>
      <c r="F321" s="66" t="str">
        <f>TRIM(PROPER(Sales_Data!F321))</f>
        <v>Vikas Mehta</v>
      </c>
      <c r="G321" s="66" t="s">
        <v>76</v>
      </c>
      <c r="H321" s="66" t="s">
        <v>1458</v>
      </c>
      <c r="I321" s="66" t="s">
        <v>44</v>
      </c>
      <c r="J321" s="66" t="str">
        <f>PROPER(Sales_Data!J321)</f>
        <v>North</v>
      </c>
      <c r="K321" s="66" t="str">
        <f>PROPER(Sales_Data!K321)</f>
        <v>Stationery</v>
      </c>
      <c r="L321" s="66" t="s">
        <v>263</v>
      </c>
      <c r="M321" s="66">
        <v>17</v>
      </c>
      <c r="N321" s="66">
        <v>45</v>
      </c>
      <c r="O321" s="66">
        <v>15</v>
      </c>
      <c r="P321" s="66">
        <v>650.25</v>
      </c>
      <c r="Q321" s="66">
        <v>2</v>
      </c>
      <c r="R321" s="66" t="s">
        <v>88</v>
      </c>
      <c r="S321" s="66" t="s">
        <v>151</v>
      </c>
      <c r="T321" s="66" t="s">
        <v>228</v>
      </c>
      <c r="U321" s="69" t="s">
        <v>1459</v>
      </c>
      <c r="V321" s="66" t="s">
        <v>38</v>
      </c>
      <c r="X321" t="str">
        <f>PROPER(Sales_Data!X321)</f>
        <v/>
      </c>
    </row>
    <row r="322" spans="1:24" x14ac:dyDescent="0.3">
      <c r="A322" s="65" t="s">
        <v>1460</v>
      </c>
      <c r="B322" s="66" t="s">
        <v>327</v>
      </c>
      <c r="C322" s="66" t="s">
        <v>184</v>
      </c>
      <c r="D322" s="67" t="s">
        <v>632</v>
      </c>
      <c r="E322" s="68" t="s">
        <v>1461</v>
      </c>
      <c r="F322" s="66" t="str">
        <f>TRIM(PROPER(Sales_Data!F322))</f>
        <v>Amit Sharma</v>
      </c>
      <c r="G322" s="66" t="s">
        <v>76</v>
      </c>
      <c r="H322" s="66" t="s">
        <v>1462</v>
      </c>
      <c r="I322" s="66" t="s">
        <v>212</v>
      </c>
      <c r="J322" s="66" t="str">
        <f>PROPER(Sales_Data!J322)</f>
        <v>North</v>
      </c>
      <c r="K322" s="66" t="str">
        <f>PROPER(Sales_Data!K322)</f>
        <v>Electronics</v>
      </c>
      <c r="L322" s="66" t="s">
        <v>189</v>
      </c>
      <c r="M322" s="66">
        <v>14</v>
      </c>
      <c r="N322" s="66">
        <v>700</v>
      </c>
      <c r="O322" s="66">
        <v>15</v>
      </c>
      <c r="P322" s="66">
        <v>8330</v>
      </c>
      <c r="Q322" s="66">
        <v>1</v>
      </c>
      <c r="R322" s="66" t="s">
        <v>79</v>
      </c>
      <c r="S322" s="66" t="s">
        <v>115</v>
      </c>
      <c r="T322" s="66" t="s">
        <v>332</v>
      </c>
      <c r="U322" s="69" t="s">
        <v>1463</v>
      </c>
      <c r="V322" s="66" t="s">
        <v>38</v>
      </c>
      <c r="X322" t="str">
        <f>PROPER(Sales_Data!X322)</f>
        <v/>
      </c>
    </row>
    <row r="323" spans="1:24" x14ac:dyDescent="0.3">
      <c r="A323" s="65" t="s">
        <v>1464</v>
      </c>
      <c r="B323" s="66" t="s">
        <v>83</v>
      </c>
      <c r="C323" s="66" t="s">
        <v>72</v>
      </c>
      <c r="D323" s="67">
        <v>45722</v>
      </c>
      <c r="E323" s="68" t="s">
        <v>948</v>
      </c>
      <c r="F323" s="66" t="str">
        <f>TRIM(PROPER(Sales_Data!F323))</f>
        <v>Arjun Rao</v>
      </c>
      <c r="G323" s="66" t="s">
        <v>76</v>
      </c>
      <c r="H323" s="66" t="s">
        <v>1466</v>
      </c>
      <c r="I323" s="66" t="s">
        <v>114</v>
      </c>
      <c r="J323" s="66" t="str">
        <f>PROPER(Sales_Data!J323)</f>
        <v>West</v>
      </c>
      <c r="K323" s="66" t="str">
        <f>PROPER(Sales_Data!K323)</f>
        <v>Electronics</v>
      </c>
      <c r="L323" s="66" t="s">
        <v>78</v>
      </c>
      <c r="M323" s="66">
        <v>3</v>
      </c>
      <c r="N323" s="66">
        <v>1200</v>
      </c>
      <c r="O323" s="66">
        <v>5</v>
      </c>
      <c r="P323" s="66">
        <v>3420</v>
      </c>
      <c r="Q323" s="66">
        <v>3</v>
      </c>
      <c r="R323" s="66" t="s">
        <v>48</v>
      </c>
      <c r="S323" s="66" t="s">
        <v>151</v>
      </c>
      <c r="T323" s="66" t="s">
        <v>89</v>
      </c>
      <c r="U323" s="69" t="s">
        <v>1467</v>
      </c>
      <c r="V323" s="66" t="s">
        <v>38</v>
      </c>
      <c r="X323" t="str">
        <f>PROPER(Sales_Data!X323)</f>
        <v/>
      </c>
    </row>
    <row r="324" spans="1:24" x14ac:dyDescent="0.3">
      <c r="A324" s="65" t="s">
        <v>1468</v>
      </c>
      <c r="B324" s="66" t="s">
        <v>23</v>
      </c>
      <c r="C324" s="66" t="s">
        <v>72</v>
      </c>
      <c r="D324" s="67">
        <v>45845</v>
      </c>
      <c r="E324" s="68" t="s">
        <v>914</v>
      </c>
      <c r="F324" s="66" t="str">
        <f>TRIM(PROPER(Sales_Data!F324))</f>
        <v>Kavya Nair</v>
      </c>
      <c r="G324" s="66" t="s">
        <v>28</v>
      </c>
      <c r="H324" s="66" t="s">
        <v>1469</v>
      </c>
      <c r="I324" s="66" t="s">
        <v>138</v>
      </c>
      <c r="J324" s="66" t="str">
        <f>PROPER(Sales_Data!J324)</f>
        <v>West</v>
      </c>
      <c r="K324" s="66" t="str">
        <f>PROPER(Sales_Data!K324)</f>
        <v>Electronics</v>
      </c>
      <c r="L324" s="66" t="s">
        <v>78</v>
      </c>
      <c r="M324" s="66">
        <v>9</v>
      </c>
      <c r="N324" s="66">
        <v>1200</v>
      </c>
      <c r="O324" s="66">
        <v>15</v>
      </c>
      <c r="P324" s="66">
        <v>9180</v>
      </c>
      <c r="Q324" s="66">
        <v>3</v>
      </c>
      <c r="R324" s="66" t="s">
        <v>34</v>
      </c>
      <c r="S324" s="66" t="s">
        <v>49</v>
      </c>
      <c r="T324" s="66" t="s">
        <v>50</v>
      </c>
      <c r="U324" s="69" t="s">
        <v>1470</v>
      </c>
      <c r="V324" s="66" t="s">
        <v>38</v>
      </c>
      <c r="X324" t="str">
        <f>PROPER(Sales_Data!X324)</f>
        <v/>
      </c>
    </row>
    <row r="325" spans="1:24" x14ac:dyDescent="0.3">
      <c r="A325" s="65" t="s">
        <v>1471</v>
      </c>
      <c r="B325" s="66" t="s">
        <v>251</v>
      </c>
      <c r="C325" s="66" t="s">
        <v>222</v>
      </c>
      <c r="D325" s="67" t="s">
        <v>224</v>
      </c>
      <c r="E325" s="68" t="s">
        <v>360</v>
      </c>
      <c r="F325" s="66" t="str">
        <f>TRIM(PROPER(Sales_Data!F325))</f>
        <v>Sneha Joshi</v>
      </c>
      <c r="G325" s="66" t="s">
        <v>28</v>
      </c>
      <c r="H325" s="66" t="s">
        <v>1472</v>
      </c>
      <c r="I325" s="66" t="s">
        <v>105</v>
      </c>
      <c r="J325" s="66" t="str">
        <f>PROPER(Sales_Data!J325)</f>
        <v>West</v>
      </c>
      <c r="K325" s="66" t="str">
        <f>PROPER(Sales_Data!K325)</f>
        <v>Stationery</v>
      </c>
      <c r="L325" s="66" t="s">
        <v>227</v>
      </c>
      <c r="M325" s="66">
        <v>5</v>
      </c>
      <c r="N325" s="66">
        <v>20</v>
      </c>
      <c r="O325" s="66">
        <v>5</v>
      </c>
      <c r="P325" s="66">
        <v>95</v>
      </c>
      <c r="Q325" s="66">
        <v>4</v>
      </c>
      <c r="R325" s="66" t="s">
        <v>34</v>
      </c>
      <c r="S325" s="66" t="s">
        <v>151</v>
      </c>
      <c r="T325" s="66" t="s">
        <v>256</v>
      </c>
      <c r="U325" s="69" t="s">
        <v>1473</v>
      </c>
      <c r="V325" s="66" t="s">
        <v>38</v>
      </c>
      <c r="X325" t="str">
        <f>PROPER(Sales_Data!X325)</f>
        <v/>
      </c>
    </row>
    <row r="326" spans="1:24" x14ac:dyDescent="0.3">
      <c r="A326" s="65" t="s">
        <v>1474</v>
      </c>
      <c r="B326" s="66" t="s">
        <v>251</v>
      </c>
      <c r="C326" s="66" t="s">
        <v>24</v>
      </c>
      <c r="D326" s="67">
        <v>45942</v>
      </c>
      <c r="E326" s="68" t="s">
        <v>1476</v>
      </c>
      <c r="F326" s="66" t="str">
        <f>TRIM(PROPER(Sales_Data!F326))</f>
        <v>Sneha Joshi</v>
      </c>
      <c r="G326" s="66" t="s">
        <v>28</v>
      </c>
      <c r="H326" s="66" t="s">
        <v>1477</v>
      </c>
      <c r="I326" s="66" t="s">
        <v>138</v>
      </c>
      <c r="J326" s="66" t="str">
        <f>PROPER(Sales_Data!J326)</f>
        <v>West</v>
      </c>
      <c r="K326" s="66" t="str">
        <f>PROPER(Sales_Data!K326)</f>
        <v>Home Appliances</v>
      </c>
      <c r="L326" s="66" t="s">
        <v>33</v>
      </c>
      <c r="M326" s="66">
        <v>8</v>
      </c>
      <c r="N326" s="66">
        <v>2200</v>
      </c>
      <c r="O326" s="66">
        <v>10</v>
      </c>
      <c r="P326" s="66">
        <v>15840</v>
      </c>
      <c r="Q326" s="66">
        <v>4</v>
      </c>
      <c r="R326" s="66" t="s">
        <v>88</v>
      </c>
      <c r="S326" s="66" t="s">
        <v>61</v>
      </c>
      <c r="T326" s="66" t="s">
        <v>256</v>
      </c>
      <c r="U326" s="69" t="s">
        <v>1478</v>
      </c>
      <c r="V326" s="66" t="s">
        <v>69</v>
      </c>
      <c r="X326" t="str">
        <f>PROPER(Sales_Data!X326)</f>
        <v/>
      </c>
    </row>
    <row r="327" spans="1:24" x14ac:dyDescent="0.3">
      <c r="A327" s="65" t="s">
        <v>1479</v>
      </c>
      <c r="B327" s="66" t="s">
        <v>251</v>
      </c>
      <c r="C327" s="66" t="s">
        <v>184</v>
      </c>
      <c r="D327" s="67">
        <v>46237</v>
      </c>
      <c r="E327" s="68" t="s">
        <v>1480</v>
      </c>
      <c r="F327" s="66" t="str">
        <f>TRIM(PROPER(Sales_Data!F327))</f>
        <v>Sneha Joshi</v>
      </c>
      <c r="G327" s="66" t="s">
        <v>28</v>
      </c>
      <c r="H327" s="66" t="s">
        <v>1481</v>
      </c>
      <c r="I327" s="66" t="s">
        <v>105</v>
      </c>
      <c r="J327" s="66" t="str">
        <f>PROPER(Sales_Data!J327)</f>
        <v>West</v>
      </c>
      <c r="K327" s="66" t="str">
        <f>PROPER(Sales_Data!K327)</f>
        <v>Electronics</v>
      </c>
      <c r="L327" s="66" t="s">
        <v>189</v>
      </c>
      <c r="M327" s="66">
        <v>10</v>
      </c>
      <c r="N327" s="66">
        <v>700</v>
      </c>
      <c r="O327" s="66">
        <v>20</v>
      </c>
      <c r="P327" s="66">
        <v>5600</v>
      </c>
      <c r="Q327" s="66">
        <v>1</v>
      </c>
      <c r="R327" s="66" t="s">
        <v>88</v>
      </c>
      <c r="S327" s="66" t="s">
        <v>115</v>
      </c>
      <c r="T327" s="66" t="s">
        <v>256</v>
      </c>
      <c r="U327" s="69" t="s">
        <v>1482</v>
      </c>
      <c r="V327" s="66" t="s">
        <v>38</v>
      </c>
      <c r="X327" t="str">
        <f>PROPER(Sales_Data!X327)</f>
        <v/>
      </c>
    </row>
    <row r="328" spans="1:24" x14ac:dyDescent="0.3">
      <c r="A328" s="65" t="s">
        <v>1483</v>
      </c>
      <c r="B328" s="66" t="s">
        <v>83</v>
      </c>
      <c r="C328" s="66" t="s">
        <v>184</v>
      </c>
      <c r="D328" s="67" t="s">
        <v>1484</v>
      </c>
      <c r="E328" s="68" t="s">
        <v>1485</v>
      </c>
      <c r="F328" s="66" t="str">
        <f>TRIM(PROPER(Sales_Data!F328))</f>
        <v>Arjun Rao</v>
      </c>
      <c r="G328" s="66" t="s">
        <v>76</v>
      </c>
      <c r="H328" s="66" t="s">
        <v>1486</v>
      </c>
      <c r="I328" s="66" t="s">
        <v>59</v>
      </c>
      <c r="J328" s="66" t="str">
        <f>PROPER(Sales_Data!J328)</f>
        <v>South</v>
      </c>
      <c r="K328" s="66" t="str">
        <f>PROPER(Sales_Data!K328)</f>
        <v>Electronics</v>
      </c>
      <c r="L328" s="66" t="s">
        <v>189</v>
      </c>
      <c r="M328" s="66">
        <v>2</v>
      </c>
      <c r="N328" s="66">
        <v>700</v>
      </c>
      <c r="O328" s="66">
        <v>20</v>
      </c>
      <c r="P328" s="66">
        <v>1120</v>
      </c>
      <c r="Q328" s="66">
        <v>2</v>
      </c>
      <c r="R328" s="66" t="s">
        <v>34</v>
      </c>
      <c r="S328" s="66" t="s">
        <v>115</v>
      </c>
      <c r="T328" s="66" t="s">
        <v>89</v>
      </c>
      <c r="U328" s="69" t="s">
        <v>1487</v>
      </c>
      <c r="V328" s="66" t="s">
        <v>64</v>
      </c>
      <c r="X328" t="str">
        <f>PROPER(Sales_Data!X328)</f>
        <v/>
      </c>
    </row>
    <row r="329" spans="1:24" x14ac:dyDescent="0.3">
      <c r="A329" s="65" t="s">
        <v>1488</v>
      </c>
      <c r="B329" s="66" t="s">
        <v>221</v>
      </c>
      <c r="C329" s="66" t="s">
        <v>92</v>
      </c>
      <c r="D329" s="67" t="s">
        <v>872</v>
      </c>
      <c r="E329" s="68" t="s">
        <v>965</v>
      </c>
      <c r="F329" s="66" t="str">
        <f>TRIM(PROPER(Sales_Data!F329))</f>
        <v>Vikas Mehta</v>
      </c>
      <c r="G329" s="66" t="s">
        <v>76</v>
      </c>
      <c r="H329" s="66" t="s">
        <v>1489</v>
      </c>
      <c r="I329" s="66" t="s">
        <v>114</v>
      </c>
      <c r="J329" s="66" t="str">
        <f>PROPER(Sales_Data!J329)</f>
        <v>West</v>
      </c>
      <c r="K329" s="66" t="str">
        <f>PROPER(Sales_Data!K329)</f>
        <v>Home Appliances</v>
      </c>
      <c r="L329" s="66" t="s">
        <v>97</v>
      </c>
      <c r="M329" s="66">
        <v>16</v>
      </c>
      <c r="N329" s="66">
        <v>3500</v>
      </c>
      <c r="O329" s="66">
        <v>20</v>
      </c>
      <c r="P329" s="66">
        <v>44800</v>
      </c>
      <c r="Q329" s="66">
        <v>2</v>
      </c>
      <c r="R329" s="66" t="s">
        <v>88</v>
      </c>
      <c r="S329" s="66" t="s">
        <v>35</v>
      </c>
      <c r="T329" s="66" t="s">
        <v>228</v>
      </c>
      <c r="U329" s="69" t="s">
        <v>1490</v>
      </c>
      <c r="V329" s="66" t="s">
        <v>64</v>
      </c>
      <c r="X329" t="str">
        <f>PROPER(Sales_Data!X329)</f>
        <v/>
      </c>
    </row>
    <row r="330" spans="1:24" x14ac:dyDescent="0.3">
      <c r="A330" s="65" t="s">
        <v>1491</v>
      </c>
      <c r="B330" s="66" t="s">
        <v>168</v>
      </c>
      <c r="C330" s="66" t="s">
        <v>92</v>
      </c>
      <c r="D330" s="67" t="s">
        <v>829</v>
      </c>
      <c r="E330" s="68" t="s">
        <v>756</v>
      </c>
      <c r="F330" s="66" t="str">
        <f>TRIM(PROPER(Sales_Data!F330))</f>
        <v>Anita Gupta</v>
      </c>
      <c r="G330" s="66" t="s">
        <v>28</v>
      </c>
      <c r="H330" s="66" t="s">
        <v>1492</v>
      </c>
      <c r="I330" s="66" t="s">
        <v>44</v>
      </c>
      <c r="J330" s="66" t="str">
        <f>PROPER(Sales_Data!J330)</f>
        <v>North</v>
      </c>
      <c r="K330" s="66" t="str">
        <f>PROPER(Sales_Data!K330)</f>
        <v>Home Appliances</v>
      </c>
      <c r="L330" s="66" t="s">
        <v>97</v>
      </c>
      <c r="M330" s="66">
        <v>9</v>
      </c>
      <c r="N330" s="66">
        <v>3500</v>
      </c>
      <c r="O330" s="66">
        <v>20</v>
      </c>
      <c r="P330" s="66">
        <v>25200</v>
      </c>
      <c r="Q330" s="66">
        <v>1</v>
      </c>
      <c r="R330" s="66" t="s">
        <v>79</v>
      </c>
      <c r="S330" s="66" t="s">
        <v>49</v>
      </c>
      <c r="T330" s="66" t="s">
        <v>175</v>
      </c>
      <c r="U330" s="69" t="s">
        <v>1493</v>
      </c>
      <c r="V330" s="66" t="s">
        <v>69</v>
      </c>
      <c r="X330" t="str">
        <f>PROPER(Sales_Data!X330)</f>
        <v/>
      </c>
    </row>
    <row r="331" spans="1:24" x14ac:dyDescent="0.3">
      <c r="A331" s="65" t="s">
        <v>1494</v>
      </c>
      <c r="B331" s="66" t="s">
        <v>127</v>
      </c>
      <c r="C331" s="66" t="s">
        <v>184</v>
      </c>
      <c r="D331" s="67" t="s">
        <v>896</v>
      </c>
      <c r="E331" s="68" t="s">
        <v>530</v>
      </c>
      <c r="F331" s="66" t="str">
        <f>TRIM(PROPER(Sales_Data!F331))</f>
        <v>Rohit Singh</v>
      </c>
      <c r="G331" s="66" t="s">
        <v>76</v>
      </c>
      <c r="H331" s="66" t="s">
        <v>1495</v>
      </c>
      <c r="I331" s="66" t="s">
        <v>30</v>
      </c>
      <c r="J331" s="66" t="str">
        <f>PROPER(Sales_Data!J331)</f>
        <v>South</v>
      </c>
      <c r="K331" s="66" t="str">
        <f>PROPER(Sales_Data!K331)</f>
        <v>Electronics</v>
      </c>
      <c r="L331" s="66" t="s">
        <v>189</v>
      </c>
      <c r="M331" s="66">
        <v>15</v>
      </c>
      <c r="N331" s="66">
        <v>700</v>
      </c>
      <c r="O331" s="66">
        <v>5</v>
      </c>
      <c r="P331" s="66">
        <v>9975</v>
      </c>
      <c r="Q331" s="66">
        <v>1</v>
      </c>
      <c r="R331" s="66" t="s">
        <v>34</v>
      </c>
      <c r="S331" s="66" t="s">
        <v>49</v>
      </c>
      <c r="T331" s="66" t="s">
        <v>132</v>
      </c>
      <c r="U331" s="69" t="s">
        <v>1496</v>
      </c>
      <c r="V331" s="66" t="s">
        <v>69</v>
      </c>
      <c r="X331" t="str">
        <f>PROPER(Sales_Data!X331)</f>
        <v/>
      </c>
    </row>
    <row r="332" spans="1:24" x14ac:dyDescent="0.3">
      <c r="A332" s="65" t="s">
        <v>1497</v>
      </c>
      <c r="B332" s="66" t="s">
        <v>53</v>
      </c>
      <c r="C332" s="66" t="s">
        <v>72</v>
      </c>
      <c r="D332" s="67">
        <v>46145</v>
      </c>
      <c r="E332" s="68" t="s">
        <v>798</v>
      </c>
      <c r="F332" s="66" t="str">
        <f>TRIM(PROPER(Sales_Data!F332))</f>
        <v>Pooja Shah</v>
      </c>
      <c r="G332" s="66" t="s">
        <v>28</v>
      </c>
      <c r="H332" s="66" t="s">
        <v>1498</v>
      </c>
      <c r="I332" s="66" t="s">
        <v>138</v>
      </c>
      <c r="J332" s="66" t="str">
        <f>PROPER(Sales_Data!J332)</f>
        <v>West</v>
      </c>
      <c r="K332" s="66" t="str">
        <f>PROPER(Sales_Data!K332)</f>
        <v>Electronics</v>
      </c>
      <c r="L332" s="66" t="s">
        <v>78</v>
      </c>
      <c r="M332" s="66">
        <v>13</v>
      </c>
      <c r="N332" s="66">
        <v>1200</v>
      </c>
      <c r="O332" s="66">
        <v>0</v>
      </c>
      <c r="P332" s="66">
        <v>15600</v>
      </c>
      <c r="Q332" s="66">
        <v>3</v>
      </c>
      <c r="R332" s="66" t="s">
        <v>48</v>
      </c>
      <c r="S332" s="66" t="s">
        <v>115</v>
      </c>
      <c r="T332" s="66" t="s">
        <v>62</v>
      </c>
      <c r="U332" s="69" t="s">
        <v>1499</v>
      </c>
      <c r="V332" s="66" t="s">
        <v>69</v>
      </c>
      <c r="X332" t="str">
        <f>PROPER(Sales_Data!X332)</f>
        <v/>
      </c>
    </row>
    <row r="333" spans="1:24" x14ac:dyDescent="0.3">
      <c r="A333" s="65" t="s">
        <v>1500</v>
      </c>
      <c r="B333" s="66" t="s">
        <v>327</v>
      </c>
      <c r="C333" s="66" t="s">
        <v>40</v>
      </c>
      <c r="D333" s="67" t="s">
        <v>1501</v>
      </c>
      <c r="E333" s="68" t="s">
        <v>1502</v>
      </c>
      <c r="F333" s="66" t="str">
        <f>TRIM(PROPER(Sales_Data!F333))</f>
        <v>Amit Sharma</v>
      </c>
      <c r="G333" s="66" t="s">
        <v>76</v>
      </c>
      <c r="H333" s="66" t="s">
        <v>1503</v>
      </c>
      <c r="I333" s="66" t="s">
        <v>44</v>
      </c>
      <c r="J333" s="66" t="str">
        <f>PROPER(Sales_Data!J333)</f>
        <v>North</v>
      </c>
      <c r="K333" s="66" t="str">
        <f>PROPER(Sales_Data!K333)</f>
        <v>Electronics</v>
      </c>
      <c r="L333" s="66" t="s">
        <v>47</v>
      </c>
      <c r="M333" s="66">
        <v>5</v>
      </c>
      <c r="N333" s="66">
        <v>12000</v>
      </c>
      <c r="O333" s="66">
        <v>10</v>
      </c>
      <c r="P333" s="66">
        <v>54000</v>
      </c>
      <c r="Q333" s="66">
        <v>3</v>
      </c>
      <c r="R333" s="66" t="s">
        <v>88</v>
      </c>
      <c r="S333" s="66" t="s">
        <v>49</v>
      </c>
      <c r="T333" s="66" t="s">
        <v>332</v>
      </c>
      <c r="U333" s="69" t="s">
        <v>1504</v>
      </c>
      <c r="V333" s="66" t="s">
        <v>38</v>
      </c>
      <c r="X333" t="str">
        <f>PROPER(Sales_Data!X333)</f>
        <v/>
      </c>
    </row>
    <row r="334" spans="1:24" x14ac:dyDescent="0.3">
      <c r="A334" s="65" t="s">
        <v>1505</v>
      </c>
      <c r="B334" s="66" t="s">
        <v>53</v>
      </c>
      <c r="C334" s="66" t="s">
        <v>259</v>
      </c>
      <c r="D334" s="67">
        <v>45781</v>
      </c>
      <c r="E334" s="68" t="s">
        <v>1507</v>
      </c>
      <c r="F334" s="66" t="str">
        <f>TRIM(PROPER(Sales_Data!F334))</f>
        <v>Pooja Shah</v>
      </c>
      <c r="G334" s="66" t="s">
        <v>28</v>
      </c>
      <c r="H334" s="66" t="s">
        <v>1508</v>
      </c>
      <c r="I334" s="66" t="s">
        <v>59</v>
      </c>
      <c r="J334" s="66" t="str">
        <f>PROPER(Sales_Data!J334)</f>
        <v>South</v>
      </c>
      <c r="K334" s="66" t="str">
        <f>PROPER(Sales_Data!K334)</f>
        <v>Stationery</v>
      </c>
      <c r="L334" s="66" t="s">
        <v>263</v>
      </c>
      <c r="M334" s="66">
        <v>12</v>
      </c>
      <c r="N334" s="66">
        <v>45</v>
      </c>
      <c r="O334" s="66">
        <v>20</v>
      </c>
      <c r="P334" s="66">
        <v>432</v>
      </c>
      <c r="Q334" s="66">
        <v>3</v>
      </c>
      <c r="R334" s="66" t="s">
        <v>48</v>
      </c>
      <c r="S334" s="66" t="s">
        <v>61</v>
      </c>
      <c r="T334" s="66" t="s">
        <v>62</v>
      </c>
      <c r="U334" s="69" t="s">
        <v>1509</v>
      </c>
      <c r="V334" s="66" t="s">
        <v>38</v>
      </c>
      <c r="X334" t="str">
        <f>PROPER(Sales_Data!X334)</f>
        <v/>
      </c>
    </row>
    <row r="335" spans="1:24" x14ac:dyDescent="0.3">
      <c r="A335" s="65" t="s">
        <v>1510</v>
      </c>
      <c r="B335" s="66" t="s">
        <v>23</v>
      </c>
      <c r="C335" s="66" t="s">
        <v>92</v>
      </c>
      <c r="D335" s="67">
        <v>45904</v>
      </c>
      <c r="E335" s="68" t="s">
        <v>666</v>
      </c>
      <c r="F335" s="66" t="str">
        <f>TRIM(PROPER(Sales_Data!F335))</f>
        <v>Kavya Nair</v>
      </c>
      <c r="G335" s="66" t="s">
        <v>28</v>
      </c>
      <c r="H335" s="66" t="s">
        <v>1511</v>
      </c>
      <c r="I335" s="66" t="s">
        <v>59</v>
      </c>
      <c r="J335" s="66" t="str">
        <f>PROPER(Sales_Data!J335)</f>
        <v>South</v>
      </c>
      <c r="K335" s="66" t="str">
        <f>PROPER(Sales_Data!K335)</f>
        <v>Home Appliances</v>
      </c>
      <c r="L335" s="66" t="s">
        <v>97</v>
      </c>
      <c r="M335" s="66">
        <v>2</v>
      </c>
      <c r="N335" s="66">
        <v>3500</v>
      </c>
      <c r="O335" s="66">
        <v>0</v>
      </c>
      <c r="P335" s="66">
        <v>7000</v>
      </c>
      <c r="Q335" s="66">
        <v>1</v>
      </c>
      <c r="R335" s="66" t="s">
        <v>48</v>
      </c>
      <c r="S335" s="66" t="s">
        <v>115</v>
      </c>
      <c r="T335" s="66" t="s">
        <v>50</v>
      </c>
      <c r="U335" s="69" t="s">
        <v>1512</v>
      </c>
      <c r="V335" s="66" t="s">
        <v>64</v>
      </c>
      <c r="X335" t="str">
        <f>PROPER(Sales_Data!X335)</f>
        <v/>
      </c>
    </row>
    <row r="336" spans="1:24" x14ac:dyDescent="0.3">
      <c r="A336" s="65" t="s">
        <v>1513</v>
      </c>
      <c r="B336" s="66" t="s">
        <v>23</v>
      </c>
      <c r="C336" s="66" t="s">
        <v>24</v>
      </c>
      <c r="D336" s="67" t="s">
        <v>426</v>
      </c>
      <c r="E336" s="68" t="s">
        <v>1180</v>
      </c>
      <c r="F336" s="66" t="str">
        <f>TRIM(PROPER(Sales_Data!F336))</f>
        <v>Kavya Nair</v>
      </c>
      <c r="G336" s="66" t="s">
        <v>28</v>
      </c>
      <c r="H336" s="66" t="s">
        <v>1514</v>
      </c>
      <c r="I336" s="66" t="s">
        <v>114</v>
      </c>
      <c r="J336" s="66" t="str">
        <f>PROPER(Sales_Data!J336)</f>
        <v>West</v>
      </c>
      <c r="K336" s="66" t="str">
        <f>PROPER(Sales_Data!K336)</f>
        <v>Home Appliances</v>
      </c>
      <c r="L336" s="66" t="s">
        <v>33</v>
      </c>
      <c r="M336" s="66">
        <v>15</v>
      </c>
      <c r="N336" s="66">
        <v>2200</v>
      </c>
      <c r="O336" s="66">
        <v>15</v>
      </c>
      <c r="P336" s="66">
        <v>28050</v>
      </c>
      <c r="Q336" s="66">
        <v>2</v>
      </c>
      <c r="R336" s="66" t="s">
        <v>48</v>
      </c>
      <c r="S336" s="66" t="s">
        <v>49</v>
      </c>
      <c r="T336" s="66" t="s">
        <v>50</v>
      </c>
      <c r="U336" s="69" t="s">
        <v>1515</v>
      </c>
      <c r="V336" s="66" t="s">
        <v>64</v>
      </c>
      <c r="X336" t="str">
        <f>PROPER(Sales_Data!X336)</f>
        <v/>
      </c>
    </row>
    <row r="337" spans="1:24" x14ac:dyDescent="0.3">
      <c r="A337" s="65" t="s">
        <v>1516</v>
      </c>
      <c r="B337" s="66" t="s">
        <v>100</v>
      </c>
      <c r="C337" s="66" t="s">
        <v>222</v>
      </c>
      <c r="D337" s="67">
        <v>45759</v>
      </c>
      <c r="E337" s="68" t="s">
        <v>1253</v>
      </c>
      <c r="F337" s="66" t="str">
        <f>TRIM(PROPER(Sales_Data!F337))</f>
        <v>Priya Patel</v>
      </c>
      <c r="G337" s="66" t="s">
        <v>28</v>
      </c>
      <c r="H337" s="66" t="s">
        <v>1517</v>
      </c>
      <c r="I337" s="66" t="s">
        <v>138</v>
      </c>
      <c r="J337" s="66" t="str">
        <f>PROPER(Sales_Data!J337)</f>
        <v>West</v>
      </c>
      <c r="K337" s="66" t="str">
        <f>PROPER(Sales_Data!K337)</f>
        <v>Stationery</v>
      </c>
      <c r="L337" s="66" t="s">
        <v>227</v>
      </c>
      <c r="M337" s="66">
        <v>8</v>
      </c>
      <c r="N337" s="66">
        <v>20</v>
      </c>
      <c r="O337" s="66">
        <v>20</v>
      </c>
      <c r="P337" s="66">
        <v>128</v>
      </c>
      <c r="Q337" s="66">
        <v>5</v>
      </c>
      <c r="R337" s="66" t="s">
        <v>88</v>
      </c>
      <c r="S337" s="66" t="s">
        <v>49</v>
      </c>
      <c r="T337" s="66" t="s">
        <v>144</v>
      </c>
      <c r="U337" s="69" t="s">
        <v>1518</v>
      </c>
      <c r="V337" s="66" t="s">
        <v>38</v>
      </c>
      <c r="X337" t="str">
        <f>PROPER(Sales_Data!X337)</f>
        <v/>
      </c>
    </row>
    <row r="338" spans="1:24" x14ac:dyDescent="0.3">
      <c r="A338" s="65" t="s">
        <v>1519</v>
      </c>
      <c r="B338" s="66" t="s">
        <v>127</v>
      </c>
      <c r="C338" s="66" t="s">
        <v>222</v>
      </c>
      <c r="D338" s="67">
        <v>46237</v>
      </c>
      <c r="E338" s="68" t="s">
        <v>798</v>
      </c>
      <c r="F338" s="66" t="str">
        <f>TRIM(PROPER(Sales_Data!F338))</f>
        <v>Rohit Singh</v>
      </c>
      <c r="G338" s="66" t="s">
        <v>76</v>
      </c>
      <c r="H338" s="66" t="s">
        <v>1520</v>
      </c>
      <c r="I338" s="66" t="s">
        <v>30</v>
      </c>
      <c r="J338" s="66" t="str">
        <f>PROPER(Sales_Data!J338)</f>
        <v>South</v>
      </c>
      <c r="K338" s="66" t="str">
        <f>PROPER(Sales_Data!K338)</f>
        <v>Stationery</v>
      </c>
      <c r="L338" s="66" t="s">
        <v>227</v>
      </c>
      <c r="M338" s="66">
        <v>1</v>
      </c>
      <c r="N338" s="66">
        <v>20</v>
      </c>
      <c r="O338" s="66">
        <v>0</v>
      </c>
      <c r="P338" s="66">
        <v>20</v>
      </c>
      <c r="Q338" s="66">
        <v>3</v>
      </c>
      <c r="R338" s="66" t="s">
        <v>88</v>
      </c>
      <c r="S338" s="66" t="s">
        <v>35</v>
      </c>
      <c r="T338" s="66" t="s">
        <v>132</v>
      </c>
      <c r="U338" s="69" t="s">
        <v>1521</v>
      </c>
      <c r="V338" s="66" t="s">
        <v>38</v>
      </c>
      <c r="X338" t="str">
        <f>PROPER(Sales_Data!X338)</f>
        <v/>
      </c>
    </row>
    <row r="339" spans="1:24" x14ac:dyDescent="0.3">
      <c r="A339" s="65" t="s">
        <v>1522</v>
      </c>
      <c r="B339" s="66" t="s">
        <v>23</v>
      </c>
      <c r="C339" s="66" t="s">
        <v>184</v>
      </c>
      <c r="D339" s="67">
        <v>46143</v>
      </c>
      <c r="E339" s="68" t="s">
        <v>253</v>
      </c>
      <c r="F339" s="66" t="str">
        <f>TRIM(PROPER(Sales_Data!F339))</f>
        <v>Kavya Nair</v>
      </c>
      <c r="G339" s="66" t="s">
        <v>28</v>
      </c>
      <c r="H339" s="66" t="s">
        <v>1523</v>
      </c>
      <c r="I339" s="66" t="s">
        <v>212</v>
      </c>
      <c r="J339" s="66" t="str">
        <f>PROPER(Sales_Data!J339)</f>
        <v>North</v>
      </c>
      <c r="K339" s="66" t="str">
        <f>PROPER(Sales_Data!K339)</f>
        <v>Electronics</v>
      </c>
      <c r="L339" s="66" t="s">
        <v>189</v>
      </c>
      <c r="M339" s="66">
        <v>15</v>
      </c>
      <c r="N339" s="66">
        <v>700</v>
      </c>
      <c r="O339" s="66">
        <v>0</v>
      </c>
      <c r="P339" s="66">
        <v>10500</v>
      </c>
      <c r="Q339" s="66">
        <v>2</v>
      </c>
      <c r="R339" s="66" t="s">
        <v>88</v>
      </c>
      <c r="S339" s="66" t="s">
        <v>49</v>
      </c>
      <c r="T339" s="66" t="s">
        <v>50</v>
      </c>
      <c r="U339" s="69" t="s">
        <v>1524</v>
      </c>
      <c r="V339" s="66" t="s">
        <v>38</v>
      </c>
      <c r="X339" t="str">
        <f>PROPER(Sales_Data!X339)</f>
        <v/>
      </c>
    </row>
    <row r="340" spans="1:24" x14ac:dyDescent="0.3">
      <c r="A340" s="65" t="s">
        <v>1525</v>
      </c>
      <c r="B340" s="66" t="s">
        <v>327</v>
      </c>
      <c r="C340" s="66" t="s">
        <v>92</v>
      </c>
      <c r="D340" s="67">
        <v>45840</v>
      </c>
      <c r="E340" s="68" t="s">
        <v>1526</v>
      </c>
      <c r="F340" s="66" t="str">
        <f>TRIM(PROPER(Sales_Data!F340))</f>
        <v>Amit Sharma</v>
      </c>
      <c r="G340" s="66" t="s">
        <v>76</v>
      </c>
      <c r="H340" s="66" t="s">
        <v>1527</v>
      </c>
      <c r="I340" s="66" t="s">
        <v>30</v>
      </c>
      <c r="J340" s="66" t="str">
        <f>PROPER(Sales_Data!J340)</f>
        <v>South</v>
      </c>
      <c r="K340" s="66" t="str">
        <f>PROPER(Sales_Data!K340)</f>
        <v>Home Appliances</v>
      </c>
      <c r="L340" s="66" t="s">
        <v>97</v>
      </c>
      <c r="M340" s="66">
        <v>15</v>
      </c>
      <c r="N340" s="66">
        <v>3500</v>
      </c>
      <c r="O340" s="66">
        <v>10</v>
      </c>
      <c r="P340" s="66">
        <v>47250</v>
      </c>
      <c r="Q340" s="66">
        <v>3</v>
      </c>
      <c r="R340" s="66" t="s">
        <v>34</v>
      </c>
      <c r="S340" s="66" t="s">
        <v>151</v>
      </c>
      <c r="T340" s="66" t="s">
        <v>332</v>
      </c>
      <c r="U340" s="69" t="s">
        <v>1528</v>
      </c>
      <c r="V340" s="66" t="s">
        <v>64</v>
      </c>
      <c r="X340" t="str">
        <f>PROPER(Sales_Data!X340)</f>
        <v/>
      </c>
    </row>
    <row r="341" spans="1:24" x14ac:dyDescent="0.3">
      <c r="A341" s="65" t="s">
        <v>1529</v>
      </c>
      <c r="B341" s="66" t="s">
        <v>23</v>
      </c>
      <c r="C341" s="66" t="s">
        <v>118</v>
      </c>
      <c r="D341" s="67" t="s">
        <v>1530</v>
      </c>
      <c r="E341" s="68" t="s">
        <v>156</v>
      </c>
      <c r="F341" s="66" t="str">
        <f>TRIM(PROPER(Sales_Data!F341))</f>
        <v>Kavya Nair</v>
      </c>
      <c r="G341" s="66" t="s">
        <v>28</v>
      </c>
      <c r="H341" s="66" t="s">
        <v>1531</v>
      </c>
      <c r="I341" s="66" t="s">
        <v>294</v>
      </c>
      <c r="J341" s="66" t="str">
        <f>PROPER(Sales_Data!J341)</f>
        <v>East</v>
      </c>
      <c r="K341" s="66" t="str">
        <f>PROPER(Sales_Data!K341)</f>
        <v>Stationery</v>
      </c>
      <c r="L341" s="66" t="s">
        <v>123</v>
      </c>
      <c r="M341" s="66">
        <v>16</v>
      </c>
      <c r="N341" s="66">
        <v>60</v>
      </c>
      <c r="O341" s="66">
        <v>10</v>
      </c>
      <c r="P341" s="66">
        <v>864</v>
      </c>
      <c r="Q341" s="66">
        <v>4</v>
      </c>
      <c r="R341" s="66" t="s">
        <v>79</v>
      </c>
      <c r="S341" s="66" t="s">
        <v>61</v>
      </c>
      <c r="T341" s="66" t="s">
        <v>50</v>
      </c>
      <c r="U341" s="69" t="s">
        <v>1532</v>
      </c>
      <c r="V341" s="66" t="s">
        <v>38</v>
      </c>
      <c r="X341" t="str">
        <f>PROPER(Sales_Data!X341)</f>
        <v/>
      </c>
    </row>
    <row r="342" spans="1:24" x14ac:dyDescent="0.3">
      <c r="A342" s="65" t="s">
        <v>1533</v>
      </c>
      <c r="B342" s="66" t="s">
        <v>127</v>
      </c>
      <c r="C342" s="66" t="s">
        <v>259</v>
      </c>
      <c r="D342" s="67" t="s">
        <v>309</v>
      </c>
      <c r="E342" s="68" t="s">
        <v>793</v>
      </c>
      <c r="F342" s="66" t="str">
        <f>TRIM(PROPER(Sales_Data!F342))</f>
        <v>Rohit Singh</v>
      </c>
      <c r="G342" s="66" t="s">
        <v>76</v>
      </c>
      <c r="H342" s="66" t="s">
        <v>1534</v>
      </c>
      <c r="I342" s="66" t="s">
        <v>44</v>
      </c>
      <c r="J342" s="66" t="str">
        <f>PROPER(Sales_Data!J342)</f>
        <v>North</v>
      </c>
      <c r="K342" s="66" t="str">
        <f>PROPER(Sales_Data!K342)</f>
        <v>Stationery</v>
      </c>
      <c r="L342" s="66" t="s">
        <v>263</v>
      </c>
      <c r="M342" s="66">
        <v>2</v>
      </c>
      <c r="N342" s="66">
        <v>45</v>
      </c>
      <c r="O342" s="66">
        <v>15</v>
      </c>
      <c r="P342" s="66">
        <v>76.5</v>
      </c>
      <c r="Q342" s="66">
        <v>1</v>
      </c>
      <c r="R342" s="66" t="s">
        <v>88</v>
      </c>
      <c r="S342" s="66" t="s">
        <v>151</v>
      </c>
      <c r="T342" s="66" t="s">
        <v>132</v>
      </c>
      <c r="U342" s="69" t="s">
        <v>1535</v>
      </c>
      <c r="V342" s="66" t="s">
        <v>69</v>
      </c>
      <c r="X342" t="str">
        <f>PROPER(Sales_Data!X342)</f>
        <v/>
      </c>
    </row>
    <row r="343" spans="1:24" x14ac:dyDescent="0.3">
      <c r="A343" s="65" t="s">
        <v>1536</v>
      </c>
      <c r="B343" s="66" t="s">
        <v>168</v>
      </c>
      <c r="C343" s="66" t="s">
        <v>118</v>
      </c>
      <c r="D343" s="67">
        <v>45820</v>
      </c>
      <c r="E343" s="68" t="s">
        <v>1214</v>
      </c>
      <c r="F343" s="66" t="str">
        <f>TRIM(PROPER(Sales_Data!F343))</f>
        <v>Anita Gupta</v>
      </c>
      <c r="G343" s="66" t="s">
        <v>28</v>
      </c>
      <c r="H343" s="66" t="s">
        <v>1538</v>
      </c>
      <c r="I343" s="66" t="s">
        <v>44</v>
      </c>
      <c r="J343" s="66" t="str">
        <f>PROPER(Sales_Data!J343)</f>
        <v>North</v>
      </c>
      <c r="K343" s="66" t="str">
        <f>PROPER(Sales_Data!K343)</f>
        <v>Stationery</v>
      </c>
      <c r="L343" s="66" t="s">
        <v>123</v>
      </c>
      <c r="M343" s="66">
        <v>13</v>
      </c>
      <c r="N343" s="66">
        <v>60</v>
      </c>
      <c r="O343" s="66">
        <v>15</v>
      </c>
      <c r="P343" s="66">
        <v>663</v>
      </c>
      <c r="Q343" s="66">
        <v>2</v>
      </c>
      <c r="R343" s="66" t="s">
        <v>48</v>
      </c>
      <c r="S343" s="66" t="s">
        <v>61</v>
      </c>
      <c r="T343" s="66" t="s">
        <v>175</v>
      </c>
      <c r="U343" s="69" t="s">
        <v>1539</v>
      </c>
      <c r="V343" s="66" t="s">
        <v>69</v>
      </c>
      <c r="X343" t="str">
        <f>PROPER(Sales_Data!X343)</f>
        <v/>
      </c>
    </row>
    <row r="344" spans="1:24" x14ac:dyDescent="0.3">
      <c r="A344" s="65" t="s">
        <v>1540</v>
      </c>
      <c r="B344" s="66" t="s">
        <v>83</v>
      </c>
      <c r="C344" s="66" t="s">
        <v>40</v>
      </c>
      <c r="D344" s="67" t="s">
        <v>1086</v>
      </c>
      <c r="E344" s="68" t="s">
        <v>236</v>
      </c>
      <c r="F344" s="66" t="str">
        <f>TRIM(PROPER(Sales_Data!F344))</f>
        <v>Arjun Rao</v>
      </c>
      <c r="G344" s="66" t="s">
        <v>76</v>
      </c>
      <c r="H344" s="66" t="s">
        <v>1541</v>
      </c>
      <c r="I344" s="66" t="s">
        <v>44</v>
      </c>
      <c r="J344" s="66" t="str">
        <f>PROPER(Sales_Data!J344)</f>
        <v>North</v>
      </c>
      <c r="K344" s="66" t="str">
        <f>PROPER(Sales_Data!K344)</f>
        <v>Electronics</v>
      </c>
      <c r="L344" s="66" t="s">
        <v>47</v>
      </c>
      <c r="M344" s="66">
        <v>15</v>
      </c>
      <c r="N344" s="66">
        <v>12000</v>
      </c>
      <c r="O344" s="66">
        <v>20</v>
      </c>
      <c r="P344" s="66">
        <v>144000</v>
      </c>
      <c r="Q344" s="66">
        <v>3</v>
      </c>
      <c r="R344" s="66" t="s">
        <v>79</v>
      </c>
      <c r="S344" s="66" t="s">
        <v>35</v>
      </c>
      <c r="T344" s="66" t="s">
        <v>89</v>
      </c>
      <c r="U344" s="69" t="s">
        <v>1542</v>
      </c>
      <c r="V344" s="66" t="s">
        <v>69</v>
      </c>
      <c r="X344" t="str">
        <f>PROPER(Sales_Data!X344)</f>
        <v/>
      </c>
    </row>
    <row r="345" spans="1:24" x14ac:dyDescent="0.3">
      <c r="A345" s="65" t="s">
        <v>1543</v>
      </c>
      <c r="B345" s="66" t="s">
        <v>327</v>
      </c>
      <c r="C345" s="66" t="s">
        <v>222</v>
      </c>
      <c r="D345" s="67" t="s">
        <v>755</v>
      </c>
      <c r="E345" s="68" t="s">
        <v>1544</v>
      </c>
      <c r="F345" s="66" t="str">
        <f>TRIM(PROPER(Sales_Data!F345))</f>
        <v>Amit Sharma</v>
      </c>
      <c r="G345" s="66" t="s">
        <v>76</v>
      </c>
      <c r="H345" s="66" t="s">
        <v>1545</v>
      </c>
      <c r="I345" s="66" t="s">
        <v>44</v>
      </c>
      <c r="J345" s="66" t="str">
        <f>PROPER(Sales_Data!J345)</f>
        <v>North</v>
      </c>
      <c r="K345" s="66" t="str">
        <f>PROPER(Sales_Data!K345)</f>
        <v>Stationery</v>
      </c>
      <c r="L345" s="66" t="s">
        <v>227</v>
      </c>
      <c r="M345" s="66">
        <v>2</v>
      </c>
      <c r="N345" s="66">
        <v>20</v>
      </c>
      <c r="O345" s="66">
        <v>20</v>
      </c>
      <c r="P345" s="66">
        <v>32</v>
      </c>
      <c r="Q345" s="66">
        <v>4</v>
      </c>
      <c r="R345" s="66" t="s">
        <v>34</v>
      </c>
      <c r="S345" s="66" t="s">
        <v>35</v>
      </c>
      <c r="T345" s="66" t="s">
        <v>332</v>
      </c>
      <c r="U345" s="69" t="s">
        <v>1546</v>
      </c>
      <c r="V345" s="66" t="s">
        <v>64</v>
      </c>
      <c r="X345" t="str">
        <f>PROPER(Sales_Data!X345)</f>
        <v/>
      </c>
    </row>
    <row r="346" spans="1:24" x14ac:dyDescent="0.3">
      <c r="A346" s="65" t="s">
        <v>1547</v>
      </c>
      <c r="B346" s="66" t="s">
        <v>127</v>
      </c>
      <c r="C346" s="66" t="s">
        <v>92</v>
      </c>
      <c r="D346" s="67">
        <v>45785</v>
      </c>
      <c r="E346" s="68" t="s">
        <v>1548</v>
      </c>
      <c r="F346" s="66" t="str">
        <f>TRIM(PROPER(Sales_Data!F346))</f>
        <v>Rohit Singh</v>
      </c>
      <c r="G346" s="66" t="s">
        <v>76</v>
      </c>
      <c r="H346" s="66" t="s">
        <v>1549</v>
      </c>
      <c r="I346" s="66" t="s">
        <v>59</v>
      </c>
      <c r="J346" s="66" t="str">
        <f>PROPER(Sales_Data!J346)</f>
        <v>South</v>
      </c>
      <c r="K346" s="66" t="str">
        <f>PROPER(Sales_Data!K346)</f>
        <v>Home Appliances</v>
      </c>
      <c r="L346" s="66" t="s">
        <v>97</v>
      </c>
      <c r="M346" s="66">
        <v>16</v>
      </c>
      <c r="N346" s="66">
        <v>3500</v>
      </c>
      <c r="O346" s="66">
        <v>0</v>
      </c>
      <c r="P346" s="66">
        <v>56000</v>
      </c>
      <c r="Q346" s="66">
        <v>4</v>
      </c>
      <c r="R346" s="66" t="s">
        <v>34</v>
      </c>
      <c r="S346" s="66" t="s">
        <v>115</v>
      </c>
      <c r="T346" s="66" t="s">
        <v>132</v>
      </c>
      <c r="U346" s="69" t="s">
        <v>1550</v>
      </c>
      <c r="V346" s="66" t="s">
        <v>38</v>
      </c>
      <c r="X346" t="str">
        <f>PROPER(Sales_Data!X346)</f>
        <v/>
      </c>
    </row>
    <row r="347" spans="1:24" x14ac:dyDescent="0.3">
      <c r="A347" s="65" t="s">
        <v>1551</v>
      </c>
      <c r="B347" s="66" t="s">
        <v>53</v>
      </c>
      <c r="C347" s="66" t="s">
        <v>92</v>
      </c>
      <c r="D347" s="67" t="s">
        <v>1302</v>
      </c>
      <c r="E347" s="68" t="s">
        <v>94</v>
      </c>
      <c r="F347" s="66" t="str">
        <f>TRIM(PROPER(Sales_Data!F347))</f>
        <v>Pooja Shah</v>
      </c>
      <c r="G347" s="66" t="s">
        <v>28</v>
      </c>
      <c r="H347" s="66" t="s">
        <v>1552</v>
      </c>
      <c r="I347" s="66" t="s">
        <v>138</v>
      </c>
      <c r="J347" s="66" t="str">
        <f>PROPER(Sales_Data!J347)</f>
        <v>West</v>
      </c>
      <c r="K347" s="66" t="str">
        <f>PROPER(Sales_Data!K347)</f>
        <v>Home Appliances</v>
      </c>
      <c r="L347" s="66" t="s">
        <v>97</v>
      </c>
      <c r="M347" s="66">
        <v>18</v>
      </c>
      <c r="N347" s="66">
        <v>3500</v>
      </c>
      <c r="O347" s="66">
        <v>15</v>
      </c>
      <c r="P347" s="66">
        <v>53550</v>
      </c>
      <c r="Q347" s="66">
        <v>5</v>
      </c>
      <c r="R347" s="66" t="s">
        <v>34</v>
      </c>
      <c r="S347" s="66" t="s">
        <v>151</v>
      </c>
      <c r="T347" s="66" t="s">
        <v>62</v>
      </c>
      <c r="U347" s="69" t="s">
        <v>1553</v>
      </c>
      <c r="V347" s="66" t="s">
        <v>69</v>
      </c>
      <c r="X347" t="str">
        <f>PROPER(Sales_Data!X347)</f>
        <v/>
      </c>
    </row>
    <row r="348" spans="1:24" x14ac:dyDescent="0.3">
      <c r="A348" s="65" t="s">
        <v>1554</v>
      </c>
      <c r="B348" s="66" t="s">
        <v>23</v>
      </c>
      <c r="C348" s="66" t="s">
        <v>259</v>
      </c>
      <c r="D348" s="67" t="s">
        <v>65</v>
      </c>
      <c r="E348" s="68" t="s">
        <v>544</v>
      </c>
      <c r="F348" s="66" t="str">
        <f>TRIM(PROPER(Sales_Data!F348))</f>
        <v>Kavya Nair</v>
      </c>
      <c r="G348" s="66" t="s">
        <v>28</v>
      </c>
      <c r="H348" s="66" t="s">
        <v>1555</v>
      </c>
      <c r="I348" s="66" t="s">
        <v>138</v>
      </c>
      <c r="J348" s="66" t="str">
        <f>PROPER(Sales_Data!J348)</f>
        <v>West</v>
      </c>
      <c r="K348" s="66" t="str">
        <f>PROPER(Sales_Data!K348)</f>
        <v>Stationery</v>
      </c>
      <c r="L348" s="66" t="s">
        <v>263</v>
      </c>
      <c r="M348" s="66">
        <v>20</v>
      </c>
      <c r="N348" s="66">
        <v>45</v>
      </c>
      <c r="O348" s="66">
        <v>15</v>
      </c>
      <c r="P348" s="66">
        <v>765</v>
      </c>
      <c r="Q348" s="66">
        <v>4</v>
      </c>
      <c r="R348" s="66" t="s">
        <v>34</v>
      </c>
      <c r="S348" s="66" t="s">
        <v>151</v>
      </c>
      <c r="T348" s="66" t="s">
        <v>50</v>
      </c>
      <c r="U348" s="69" t="s">
        <v>1556</v>
      </c>
      <c r="V348" s="66" t="s">
        <v>69</v>
      </c>
      <c r="X348" t="str">
        <f>PROPER(Sales_Data!X348)</f>
        <v/>
      </c>
    </row>
    <row r="349" spans="1:24" x14ac:dyDescent="0.3">
      <c r="A349" s="65" t="s">
        <v>1557</v>
      </c>
      <c r="B349" s="66" t="s">
        <v>251</v>
      </c>
      <c r="C349" s="66" t="s">
        <v>24</v>
      </c>
      <c r="D349" s="67" t="s">
        <v>1286</v>
      </c>
      <c r="E349" s="68" t="s">
        <v>356</v>
      </c>
      <c r="F349" s="66" t="str">
        <f>TRIM(PROPER(Sales_Data!F349))</f>
        <v>Sneha Joshi</v>
      </c>
      <c r="G349" s="66" t="s">
        <v>28</v>
      </c>
      <c r="H349" s="66" t="s">
        <v>1558</v>
      </c>
      <c r="I349" s="66" t="s">
        <v>44</v>
      </c>
      <c r="J349" s="66" t="str">
        <f>PROPER(Sales_Data!J349)</f>
        <v>North</v>
      </c>
      <c r="K349" s="66" t="str">
        <f>PROPER(Sales_Data!K349)</f>
        <v>Home Appliances</v>
      </c>
      <c r="L349" s="66" t="s">
        <v>33</v>
      </c>
      <c r="M349" s="66">
        <v>13</v>
      </c>
      <c r="N349" s="66">
        <v>2200</v>
      </c>
      <c r="O349" s="66">
        <v>15</v>
      </c>
      <c r="P349" s="66">
        <v>24310</v>
      </c>
      <c r="Q349" s="66">
        <v>2</v>
      </c>
      <c r="R349" s="66" t="s">
        <v>48</v>
      </c>
      <c r="S349" s="66" t="s">
        <v>115</v>
      </c>
      <c r="T349" s="66" t="s">
        <v>256</v>
      </c>
      <c r="U349" s="69" t="s">
        <v>1559</v>
      </c>
      <c r="V349" s="66" t="s">
        <v>64</v>
      </c>
      <c r="X349" t="str">
        <f>PROPER(Sales_Data!X349)</f>
        <v/>
      </c>
    </row>
    <row r="350" spans="1:24" x14ac:dyDescent="0.3">
      <c r="A350" s="65" t="s">
        <v>1560</v>
      </c>
      <c r="B350" s="66" t="s">
        <v>53</v>
      </c>
      <c r="C350" s="66" t="s">
        <v>1561</v>
      </c>
      <c r="D350" s="67" t="s">
        <v>340</v>
      </c>
      <c r="E350" s="68" t="s">
        <v>346</v>
      </c>
      <c r="F350" s="66" t="str">
        <f>TRIM(PROPER(Sales_Data!F350))</f>
        <v>Pooja Shah</v>
      </c>
      <c r="G350" s="66" t="s">
        <v>28</v>
      </c>
      <c r="H350" s="66" t="s">
        <v>1562</v>
      </c>
      <c r="I350" s="66" t="s">
        <v>294</v>
      </c>
      <c r="J350" s="66" t="str">
        <f>PROPER(Sales_Data!J350)</f>
        <v>East</v>
      </c>
      <c r="K350" s="66" t="str">
        <f>PROPER(Sales_Data!K350)</f>
        <v>Home Appliances</v>
      </c>
      <c r="L350" s="66" t="s">
        <v>174</v>
      </c>
      <c r="M350" s="66">
        <v>11</v>
      </c>
      <c r="N350" s="66">
        <v>8500</v>
      </c>
      <c r="O350" s="66">
        <v>5</v>
      </c>
      <c r="P350" s="66">
        <v>88825</v>
      </c>
      <c r="Q350" s="66">
        <v>1</v>
      </c>
      <c r="R350" s="66" t="s">
        <v>88</v>
      </c>
      <c r="S350" s="66" t="s">
        <v>115</v>
      </c>
      <c r="T350" s="66" t="s">
        <v>62</v>
      </c>
      <c r="U350" s="69" t="s">
        <v>1563</v>
      </c>
      <c r="V350" s="66" t="s">
        <v>69</v>
      </c>
      <c r="X350" t="str">
        <f>PROPER(Sales_Data!X350)</f>
        <v/>
      </c>
    </row>
    <row r="351" spans="1:24" x14ac:dyDescent="0.3">
      <c r="A351" s="65" t="s">
        <v>1564</v>
      </c>
      <c r="B351" s="66" t="s">
        <v>53</v>
      </c>
      <c r="C351" s="66" t="s">
        <v>24</v>
      </c>
      <c r="D351" s="67">
        <v>45789</v>
      </c>
      <c r="E351" s="68" t="s">
        <v>1475</v>
      </c>
      <c r="F351" s="66" t="str">
        <f>TRIM(PROPER(Sales_Data!F351))</f>
        <v>Pooja Shah</v>
      </c>
      <c r="G351" s="66" t="s">
        <v>28</v>
      </c>
      <c r="H351" s="66" t="s">
        <v>1566</v>
      </c>
      <c r="I351" s="66" t="s">
        <v>212</v>
      </c>
      <c r="J351" s="66" t="str">
        <f>PROPER(Sales_Data!J351)</f>
        <v>North</v>
      </c>
      <c r="K351" s="66" t="str">
        <f>PROPER(Sales_Data!K351)</f>
        <v>Home Appliances</v>
      </c>
      <c r="L351" s="66" t="s">
        <v>33</v>
      </c>
      <c r="M351" s="66">
        <v>2</v>
      </c>
      <c r="N351" s="66">
        <v>2200</v>
      </c>
      <c r="O351" s="66">
        <v>0</v>
      </c>
      <c r="P351" s="66">
        <v>4400</v>
      </c>
      <c r="Q351" s="66">
        <v>4</v>
      </c>
      <c r="R351" s="66" t="s">
        <v>88</v>
      </c>
      <c r="S351" s="66" t="s">
        <v>151</v>
      </c>
      <c r="T351" s="66" t="s">
        <v>62</v>
      </c>
      <c r="U351" s="69" t="s">
        <v>1567</v>
      </c>
      <c r="V351" s="66" t="s">
        <v>64</v>
      </c>
      <c r="X351" t="str">
        <f>PROPER(Sales_Data!X351)</f>
        <v/>
      </c>
    </row>
    <row r="352" spans="1:24" x14ac:dyDescent="0.3">
      <c r="A352" s="65" t="s">
        <v>1568</v>
      </c>
      <c r="B352" s="66" t="s">
        <v>83</v>
      </c>
      <c r="C352" s="66" t="s">
        <v>184</v>
      </c>
      <c r="D352" s="67" t="s">
        <v>1242</v>
      </c>
      <c r="E352" s="68" t="s">
        <v>720</v>
      </c>
      <c r="F352" s="66" t="str">
        <f>TRIM(PROPER(Sales_Data!F352))</f>
        <v>Arjun Rao</v>
      </c>
      <c r="G352" s="66" t="s">
        <v>76</v>
      </c>
      <c r="H352" s="66" t="s">
        <v>1569</v>
      </c>
      <c r="I352" s="66" t="s">
        <v>105</v>
      </c>
      <c r="J352" s="66" t="str">
        <f>PROPER(Sales_Data!J352)</f>
        <v>West</v>
      </c>
      <c r="K352" s="66" t="str">
        <f>PROPER(Sales_Data!K352)</f>
        <v>Electronics</v>
      </c>
      <c r="L352" s="66" t="s">
        <v>189</v>
      </c>
      <c r="M352" s="66">
        <v>15</v>
      </c>
      <c r="N352" s="66">
        <v>700</v>
      </c>
      <c r="O352" s="66">
        <v>15</v>
      </c>
      <c r="P352" s="66">
        <v>8925</v>
      </c>
      <c r="Q352" s="66">
        <v>3</v>
      </c>
      <c r="R352" s="66" t="s">
        <v>48</v>
      </c>
      <c r="S352" s="66" t="s">
        <v>115</v>
      </c>
      <c r="T352" s="66" t="s">
        <v>89</v>
      </c>
      <c r="U352" s="69" t="s">
        <v>1570</v>
      </c>
      <c r="V352" s="66" t="s">
        <v>38</v>
      </c>
      <c r="X352" t="str">
        <f>PROPER(Sales_Data!X352)</f>
        <v/>
      </c>
    </row>
    <row r="353" spans="1:24" x14ac:dyDescent="0.3">
      <c r="A353" s="65" t="s">
        <v>1571</v>
      </c>
      <c r="B353" s="66" t="s">
        <v>127</v>
      </c>
      <c r="C353" s="66" t="s">
        <v>24</v>
      </c>
      <c r="D353" s="67" t="s">
        <v>1572</v>
      </c>
      <c r="E353" s="68" t="s">
        <v>835</v>
      </c>
      <c r="F353" s="66" t="str">
        <f>TRIM(PROPER(Sales_Data!F353))</f>
        <v>Rohit Singh</v>
      </c>
      <c r="G353" s="66" t="s">
        <v>76</v>
      </c>
      <c r="H353" s="66" t="s">
        <v>1573</v>
      </c>
      <c r="I353" s="66" t="s">
        <v>138</v>
      </c>
      <c r="J353" s="66" t="str">
        <f>PROPER(Sales_Data!J353)</f>
        <v>West</v>
      </c>
      <c r="K353" s="66" t="str">
        <f>PROPER(Sales_Data!K353)</f>
        <v>Home Appliances</v>
      </c>
      <c r="L353" s="66" t="s">
        <v>33</v>
      </c>
      <c r="M353" s="66">
        <v>5</v>
      </c>
      <c r="N353" s="66">
        <v>2200</v>
      </c>
      <c r="O353" s="66">
        <v>15</v>
      </c>
      <c r="P353" s="66">
        <v>9350</v>
      </c>
      <c r="Q353" s="66">
        <v>1</v>
      </c>
      <c r="R353" s="66" t="s">
        <v>48</v>
      </c>
      <c r="S353" s="66" t="s">
        <v>115</v>
      </c>
      <c r="T353" s="66" t="s">
        <v>132</v>
      </c>
      <c r="U353" s="69" t="s">
        <v>1574</v>
      </c>
      <c r="V353" s="66" t="s">
        <v>64</v>
      </c>
      <c r="X353" t="str">
        <f>PROPER(Sales_Data!X353)</f>
        <v/>
      </c>
    </row>
    <row r="354" spans="1:24" x14ac:dyDescent="0.3">
      <c r="A354" s="65" t="s">
        <v>1575</v>
      </c>
      <c r="B354" s="66" t="s">
        <v>83</v>
      </c>
      <c r="C354" s="66" t="s">
        <v>72</v>
      </c>
      <c r="D354" s="67">
        <v>46329</v>
      </c>
      <c r="E354" s="68" t="s">
        <v>1480</v>
      </c>
      <c r="F354" s="66" t="str">
        <f>TRIM(PROPER(Sales_Data!F354))</f>
        <v>Arjun Rao</v>
      </c>
      <c r="G354" s="66" t="s">
        <v>76</v>
      </c>
      <c r="H354" s="66" t="s">
        <v>1576</v>
      </c>
      <c r="I354" s="66" t="s">
        <v>138</v>
      </c>
      <c r="J354" s="66" t="str">
        <f>PROPER(Sales_Data!J354)</f>
        <v>West</v>
      </c>
      <c r="K354" s="66" t="str">
        <f>PROPER(Sales_Data!K354)</f>
        <v>Electronics</v>
      </c>
      <c r="L354" s="66" t="s">
        <v>78</v>
      </c>
      <c r="M354" s="66">
        <v>15</v>
      </c>
      <c r="N354" s="66">
        <v>1200</v>
      </c>
      <c r="O354" s="66">
        <v>0</v>
      </c>
      <c r="P354" s="66">
        <v>18000</v>
      </c>
      <c r="Q354" s="66">
        <v>3</v>
      </c>
      <c r="R354" s="66" t="s">
        <v>48</v>
      </c>
      <c r="S354" s="66" t="s">
        <v>61</v>
      </c>
      <c r="T354" s="66" t="s">
        <v>89</v>
      </c>
      <c r="U354" s="69" t="s">
        <v>1577</v>
      </c>
      <c r="V354" s="66" t="s">
        <v>69</v>
      </c>
      <c r="X354" t="str">
        <f>PROPER(Sales_Data!X354)</f>
        <v/>
      </c>
    </row>
    <row r="355" spans="1:24" x14ac:dyDescent="0.3">
      <c r="A355" s="65" t="s">
        <v>1578</v>
      </c>
      <c r="B355" s="66" t="s">
        <v>251</v>
      </c>
      <c r="C355" s="66" t="s">
        <v>72</v>
      </c>
      <c r="D355" s="67">
        <v>46238</v>
      </c>
      <c r="E355" s="68" t="s">
        <v>657</v>
      </c>
      <c r="F355" s="66" t="str">
        <f>TRIM(PROPER(Sales_Data!F355))</f>
        <v>Sneha Joshi</v>
      </c>
      <c r="G355" s="66" t="s">
        <v>28</v>
      </c>
      <c r="H355" s="66" t="s">
        <v>1579</v>
      </c>
      <c r="I355" s="66" t="s">
        <v>105</v>
      </c>
      <c r="J355" s="66" t="str">
        <f>PROPER(Sales_Data!J355)</f>
        <v>West</v>
      </c>
      <c r="K355" s="66" t="str">
        <f>PROPER(Sales_Data!K355)</f>
        <v>Electronics</v>
      </c>
      <c r="L355" s="66" t="s">
        <v>78</v>
      </c>
      <c r="M355" s="66">
        <v>19</v>
      </c>
      <c r="N355" s="66">
        <v>1200</v>
      </c>
      <c r="O355" s="66">
        <v>0</v>
      </c>
      <c r="P355" s="66">
        <v>22800</v>
      </c>
      <c r="Q355" s="66">
        <v>1</v>
      </c>
      <c r="R355" s="66" t="s">
        <v>34</v>
      </c>
      <c r="S355" s="66" t="s">
        <v>49</v>
      </c>
      <c r="T355" s="66" t="s">
        <v>256</v>
      </c>
      <c r="U355" s="69" t="s">
        <v>1580</v>
      </c>
      <c r="V355" s="66" t="s">
        <v>69</v>
      </c>
      <c r="X355" t="str">
        <f>PROPER(Sales_Data!X355)</f>
        <v/>
      </c>
    </row>
    <row r="356" spans="1:24" x14ac:dyDescent="0.3">
      <c r="A356" s="65" t="s">
        <v>1581</v>
      </c>
      <c r="B356" s="66" t="s">
        <v>168</v>
      </c>
      <c r="C356" s="66" t="s">
        <v>40</v>
      </c>
      <c r="D356" s="67" t="s">
        <v>25</v>
      </c>
      <c r="E356" s="68" t="s">
        <v>1582</v>
      </c>
      <c r="F356" s="66" t="str">
        <f>TRIM(PROPER(Sales_Data!F356))</f>
        <v>Anita Gupta</v>
      </c>
      <c r="G356" s="66" t="s">
        <v>28</v>
      </c>
      <c r="H356" s="66" t="s">
        <v>1583</v>
      </c>
      <c r="I356" s="66" t="s">
        <v>105</v>
      </c>
      <c r="J356" s="66" t="str">
        <f>PROPER(Sales_Data!J356)</f>
        <v>West</v>
      </c>
      <c r="K356" s="66" t="str">
        <f>PROPER(Sales_Data!K356)</f>
        <v>Electronics</v>
      </c>
      <c r="L356" s="66" t="s">
        <v>47</v>
      </c>
      <c r="M356" s="66">
        <v>9</v>
      </c>
      <c r="N356" s="66">
        <v>12000</v>
      </c>
      <c r="O356" s="66">
        <v>15</v>
      </c>
      <c r="P356" s="66">
        <v>91800</v>
      </c>
      <c r="Q356" s="66">
        <v>3</v>
      </c>
      <c r="R356" s="66" t="s">
        <v>88</v>
      </c>
      <c r="S356" s="66" t="s">
        <v>49</v>
      </c>
      <c r="T356" s="66" t="s">
        <v>175</v>
      </c>
      <c r="U356" s="69" t="s">
        <v>1584</v>
      </c>
      <c r="V356" s="66" t="s">
        <v>69</v>
      </c>
      <c r="X356" t="str">
        <f>PROPER(Sales_Data!X356)</f>
        <v/>
      </c>
    </row>
    <row r="357" spans="1:24" x14ac:dyDescent="0.3">
      <c r="A357" s="65" t="s">
        <v>1585</v>
      </c>
      <c r="B357" s="66" t="s">
        <v>23</v>
      </c>
      <c r="C357" s="66" t="s">
        <v>259</v>
      </c>
      <c r="D357" s="67">
        <v>45971</v>
      </c>
      <c r="E357" s="68" t="s">
        <v>793</v>
      </c>
      <c r="F357" s="66" t="str">
        <f>TRIM(PROPER(Sales_Data!F357))</f>
        <v>Kavya Nair</v>
      </c>
      <c r="G357" s="66" t="s">
        <v>28</v>
      </c>
      <c r="H357" s="66" t="s">
        <v>1586</v>
      </c>
      <c r="I357" s="66" t="s">
        <v>212</v>
      </c>
      <c r="J357" s="66" t="str">
        <f>PROPER(Sales_Data!J357)</f>
        <v>North</v>
      </c>
      <c r="K357" s="66" t="str">
        <f>PROPER(Sales_Data!K357)</f>
        <v>Stationery</v>
      </c>
      <c r="L357" s="66" t="s">
        <v>263</v>
      </c>
      <c r="M357" s="66">
        <v>5</v>
      </c>
      <c r="N357" s="66">
        <v>45</v>
      </c>
      <c r="O357" s="66">
        <v>5</v>
      </c>
      <c r="P357" s="66">
        <v>213.75</v>
      </c>
      <c r="Q357" s="66">
        <v>1</v>
      </c>
      <c r="R357" s="66" t="s">
        <v>79</v>
      </c>
      <c r="S357" s="66" t="s">
        <v>115</v>
      </c>
      <c r="T357" s="66" t="s">
        <v>50</v>
      </c>
      <c r="U357" s="69" t="s">
        <v>1587</v>
      </c>
      <c r="V357" s="66" t="s">
        <v>38</v>
      </c>
      <c r="X357" t="str">
        <f>PROPER(Sales_Data!X357)</f>
        <v/>
      </c>
    </row>
    <row r="358" spans="1:24" x14ac:dyDescent="0.3">
      <c r="A358" s="65" t="s">
        <v>1588</v>
      </c>
      <c r="B358" s="66" t="s">
        <v>251</v>
      </c>
      <c r="C358" s="66" t="s">
        <v>184</v>
      </c>
      <c r="D358" s="67" t="s">
        <v>64</v>
      </c>
      <c r="E358" s="68" t="s">
        <v>1373</v>
      </c>
      <c r="F358" s="66" t="str">
        <f>TRIM(PROPER(Sales_Data!F358))</f>
        <v>Sneha Joshi</v>
      </c>
      <c r="G358" s="66" t="s">
        <v>28</v>
      </c>
      <c r="H358" s="66" t="s">
        <v>1590</v>
      </c>
      <c r="I358" s="66" t="s">
        <v>105</v>
      </c>
      <c r="J358" s="66" t="str">
        <f>PROPER(Sales_Data!J358)</f>
        <v>West</v>
      </c>
      <c r="K358" s="66" t="str">
        <f>PROPER(Sales_Data!K358)</f>
        <v>Electronics</v>
      </c>
      <c r="L358" s="66" t="s">
        <v>189</v>
      </c>
      <c r="M358" s="66">
        <v>3</v>
      </c>
      <c r="N358" s="66">
        <v>700</v>
      </c>
      <c r="O358" s="66">
        <v>15</v>
      </c>
      <c r="P358" s="66">
        <v>1785</v>
      </c>
      <c r="Q358" s="66">
        <v>4</v>
      </c>
      <c r="R358" s="66" t="s">
        <v>34</v>
      </c>
      <c r="S358" s="66" t="s">
        <v>151</v>
      </c>
      <c r="T358" s="66" t="s">
        <v>256</v>
      </c>
      <c r="U358" s="69" t="s">
        <v>1591</v>
      </c>
      <c r="V358" s="66" t="s">
        <v>38</v>
      </c>
      <c r="X358" t="str">
        <f>PROPER(Sales_Data!X358)</f>
        <v/>
      </c>
    </row>
    <row r="359" spans="1:24" x14ac:dyDescent="0.3">
      <c r="A359" s="65" t="s">
        <v>1592</v>
      </c>
      <c r="B359" s="66" t="s">
        <v>71</v>
      </c>
      <c r="C359" s="66" t="s">
        <v>169</v>
      </c>
      <c r="D359" s="67" t="s">
        <v>454</v>
      </c>
      <c r="E359" s="68" t="s">
        <v>961</v>
      </c>
      <c r="F359" s="66" t="str">
        <f>TRIM(PROPER(Sales_Data!F359))</f>
        <v>Mohit Verma</v>
      </c>
      <c r="G359" s="66" t="s">
        <v>76</v>
      </c>
      <c r="H359" s="66" t="s">
        <v>1593</v>
      </c>
      <c r="I359" s="66" t="s">
        <v>212</v>
      </c>
      <c r="J359" s="66" t="str">
        <f>PROPER(Sales_Data!J359)</f>
        <v>North</v>
      </c>
      <c r="K359" s="66" t="str">
        <f>PROPER(Sales_Data!K359)</f>
        <v>Home Appliances</v>
      </c>
      <c r="L359" s="66" t="s">
        <v>174</v>
      </c>
      <c r="M359" s="66">
        <v>12</v>
      </c>
      <c r="N359" s="66">
        <v>8500</v>
      </c>
      <c r="O359" s="66">
        <v>5</v>
      </c>
      <c r="P359" s="66">
        <v>96900</v>
      </c>
      <c r="Q359" s="66">
        <v>3</v>
      </c>
      <c r="R359" s="66" t="s">
        <v>79</v>
      </c>
      <c r="S359" s="66" t="s">
        <v>61</v>
      </c>
      <c r="T359" s="66" t="s">
        <v>80</v>
      </c>
      <c r="U359" s="69" t="s">
        <v>1594</v>
      </c>
      <c r="V359" s="66" t="s">
        <v>64</v>
      </c>
      <c r="X359" t="str">
        <f>PROPER(Sales_Data!X359)</f>
        <v/>
      </c>
    </row>
    <row r="360" spans="1:24" x14ac:dyDescent="0.3">
      <c r="A360" s="65" t="s">
        <v>1595</v>
      </c>
      <c r="B360" s="66" t="s">
        <v>251</v>
      </c>
      <c r="C360" s="66" t="s">
        <v>169</v>
      </c>
      <c r="D360" s="67">
        <v>46330</v>
      </c>
      <c r="E360" s="68" t="s">
        <v>356</v>
      </c>
      <c r="F360" s="66" t="str">
        <f>TRIM(PROPER(Sales_Data!F360))</f>
        <v>Sneha Joshi</v>
      </c>
      <c r="G360" s="66" t="s">
        <v>28</v>
      </c>
      <c r="H360" s="66" t="s">
        <v>1596</v>
      </c>
      <c r="I360" s="66" t="s">
        <v>114</v>
      </c>
      <c r="J360" s="66" t="str">
        <f>PROPER(Sales_Data!J360)</f>
        <v>West</v>
      </c>
      <c r="K360" s="66" t="str">
        <f>PROPER(Sales_Data!K360)</f>
        <v>Home Appliances</v>
      </c>
      <c r="L360" s="66" t="s">
        <v>174</v>
      </c>
      <c r="M360" s="66">
        <v>4</v>
      </c>
      <c r="N360" s="66">
        <v>8500</v>
      </c>
      <c r="O360" s="66">
        <v>15</v>
      </c>
      <c r="P360" s="66">
        <v>28900</v>
      </c>
      <c r="Q360" s="66">
        <v>4</v>
      </c>
      <c r="R360" s="66" t="s">
        <v>48</v>
      </c>
      <c r="S360" s="66" t="s">
        <v>61</v>
      </c>
      <c r="T360" s="66" t="s">
        <v>256</v>
      </c>
      <c r="U360" s="69" t="s">
        <v>1597</v>
      </c>
      <c r="V360" s="66" t="s">
        <v>64</v>
      </c>
      <c r="X360" t="str">
        <f>PROPER(Sales_Data!X360)</f>
        <v/>
      </c>
    </row>
    <row r="361" spans="1:24" x14ac:dyDescent="0.3">
      <c r="A361" s="65" t="s">
        <v>1598</v>
      </c>
      <c r="B361" s="66" t="s">
        <v>127</v>
      </c>
      <c r="C361" s="66" t="s">
        <v>222</v>
      </c>
      <c r="D361" s="67" t="s">
        <v>102</v>
      </c>
      <c r="E361" s="68" t="s">
        <v>953</v>
      </c>
      <c r="F361" s="66" t="str">
        <f>TRIM(PROPER(Sales_Data!F361))</f>
        <v>Rohit Singh</v>
      </c>
      <c r="G361" s="66" t="s">
        <v>76</v>
      </c>
      <c r="H361" s="66" t="s">
        <v>1599</v>
      </c>
      <c r="I361" s="66" t="s">
        <v>212</v>
      </c>
      <c r="J361" s="66" t="str">
        <f>PROPER(Sales_Data!J361)</f>
        <v>North</v>
      </c>
      <c r="K361" s="66" t="str">
        <f>PROPER(Sales_Data!K361)</f>
        <v>Stationery</v>
      </c>
      <c r="L361" s="66" t="s">
        <v>227</v>
      </c>
      <c r="M361" s="66">
        <v>16</v>
      </c>
      <c r="N361" s="66">
        <v>20</v>
      </c>
      <c r="O361" s="66">
        <v>10</v>
      </c>
      <c r="P361" s="66">
        <v>288</v>
      </c>
      <c r="Q361" s="66">
        <v>4</v>
      </c>
      <c r="R361" s="66" t="s">
        <v>34</v>
      </c>
      <c r="S361" s="66" t="s">
        <v>115</v>
      </c>
      <c r="T361" s="66" t="s">
        <v>132</v>
      </c>
      <c r="U361" s="69" t="s">
        <v>1600</v>
      </c>
      <c r="V361" s="66" t="s">
        <v>69</v>
      </c>
      <c r="X361" t="str">
        <f>PROPER(Sales_Data!X361)</f>
        <v/>
      </c>
    </row>
    <row r="362" spans="1:24" x14ac:dyDescent="0.3">
      <c r="A362" s="65" t="s">
        <v>1601</v>
      </c>
      <c r="B362" s="66" t="s">
        <v>127</v>
      </c>
      <c r="C362" s="66" t="s">
        <v>118</v>
      </c>
      <c r="D362" s="67">
        <v>46300</v>
      </c>
      <c r="E362" s="68" t="s">
        <v>1602</v>
      </c>
      <c r="F362" s="66" t="str">
        <f>TRIM(PROPER(Sales_Data!F362))</f>
        <v>Rohit Singh</v>
      </c>
      <c r="G362" s="66" t="s">
        <v>76</v>
      </c>
      <c r="H362" s="66" t="s">
        <v>1603</v>
      </c>
      <c r="I362" s="66" t="s">
        <v>105</v>
      </c>
      <c r="J362" s="66" t="str">
        <f>PROPER(Sales_Data!J362)</f>
        <v>West</v>
      </c>
      <c r="K362" s="66" t="str">
        <f>PROPER(Sales_Data!K362)</f>
        <v>Stationery</v>
      </c>
      <c r="L362" s="66" t="s">
        <v>123</v>
      </c>
      <c r="M362" s="66">
        <v>3</v>
      </c>
      <c r="N362" s="66">
        <v>60</v>
      </c>
      <c r="O362" s="66">
        <v>20</v>
      </c>
      <c r="P362" s="66">
        <v>144</v>
      </c>
      <c r="Q362" s="66">
        <v>4</v>
      </c>
      <c r="R362" s="66" t="s">
        <v>88</v>
      </c>
      <c r="S362" s="66" t="s">
        <v>151</v>
      </c>
      <c r="T362" s="66" t="s">
        <v>132</v>
      </c>
      <c r="U362" s="69" t="s">
        <v>1604</v>
      </c>
      <c r="V362" s="66" t="s">
        <v>64</v>
      </c>
      <c r="X362" t="str">
        <f>PROPER(Sales_Data!X362)</f>
        <v/>
      </c>
    </row>
    <row r="363" spans="1:24" x14ac:dyDescent="0.3">
      <c r="A363" s="65" t="s">
        <v>1605</v>
      </c>
      <c r="B363" s="66" t="s">
        <v>71</v>
      </c>
      <c r="C363" s="66" t="s">
        <v>24</v>
      </c>
      <c r="D363" s="67" t="s">
        <v>1106</v>
      </c>
      <c r="E363" s="68" t="s">
        <v>155</v>
      </c>
      <c r="F363" s="66" t="str">
        <f>TRIM(PROPER(Sales_Data!F363))</f>
        <v>Mohit Verma</v>
      </c>
      <c r="G363" s="66" t="s">
        <v>76</v>
      </c>
      <c r="H363" s="66" t="s">
        <v>1606</v>
      </c>
      <c r="I363" s="66" t="s">
        <v>105</v>
      </c>
      <c r="J363" s="66" t="str">
        <f>PROPER(Sales_Data!J363)</f>
        <v>West</v>
      </c>
      <c r="K363" s="66" t="str">
        <f>PROPER(Sales_Data!K363)</f>
        <v>Home Appliances</v>
      </c>
      <c r="L363" s="66" t="s">
        <v>33</v>
      </c>
      <c r="M363" s="66">
        <v>19</v>
      </c>
      <c r="N363" s="66">
        <v>2200</v>
      </c>
      <c r="O363" s="66">
        <v>10</v>
      </c>
      <c r="P363" s="66">
        <v>37620</v>
      </c>
      <c r="Q363" s="66">
        <v>2</v>
      </c>
      <c r="R363" s="66" t="s">
        <v>34</v>
      </c>
      <c r="S363" s="66" t="s">
        <v>151</v>
      </c>
      <c r="T363" s="66" t="s">
        <v>80</v>
      </c>
      <c r="U363" s="69" t="s">
        <v>1607</v>
      </c>
      <c r="V363" s="66" t="s">
        <v>64</v>
      </c>
      <c r="X363" t="str">
        <f>PROPER(Sales_Data!X363)</f>
        <v/>
      </c>
    </row>
    <row r="364" spans="1:24" x14ac:dyDescent="0.3">
      <c r="A364" s="65" t="s">
        <v>1608</v>
      </c>
      <c r="B364" s="66" t="s">
        <v>71</v>
      </c>
      <c r="C364" s="66" t="s">
        <v>72</v>
      </c>
      <c r="D364" s="67" t="s">
        <v>1609</v>
      </c>
      <c r="E364" s="68" t="s">
        <v>588</v>
      </c>
      <c r="F364" s="66" t="str">
        <f>TRIM(PROPER(Sales_Data!F364))</f>
        <v>Mohit Verma</v>
      </c>
      <c r="G364" s="66" t="s">
        <v>76</v>
      </c>
      <c r="H364" s="66" t="s">
        <v>1610</v>
      </c>
      <c r="I364" s="66" t="s">
        <v>30</v>
      </c>
      <c r="J364" s="66" t="str">
        <f>PROPER(Sales_Data!J364)</f>
        <v>South</v>
      </c>
      <c r="K364" s="66" t="str">
        <f>PROPER(Sales_Data!K364)</f>
        <v>Electronics</v>
      </c>
      <c r="L364" s="66" t="s">
        <v>78</v>
      </c>
      <c r="M364" s="66">
        <v>7</v>
      </c>
      <c r="N364" s="66">
        <v>1200</v>
      </c>
      <c r="O364" s="66">
        <v>20</v>
      </c>
      <c r="P364" s="66">
        <v>6720</v>
      </c>
      <c r="Q364" s="66">
        <v>3</v>
      </c>
      <c r="R364" s="66" t="s">
        <v>79</v>
      </c>
      <c r="S364" s="66" t="s">
        <v>115</v>
      </c>
      <c r="T364" s="66" t="s">
        <v>80</v>
      </c>
      <c r="U364" s="69" t="s">
        <v>1611</v>
      </c>
      <c r="V364" s="66" t="s">
        <v>69</v>
      </c>
      <c r="X364" t="str">
        <f>PROPER(Sales_Data!X364)</f>
        <v/>
      </c>
    </row>
    <row r="365" spans="1:24" x14ac:dyDescent="0.3">
      <c r="A365" s="65" t="s">
        <v>1612</v>
      </c>
      <c r="B365" s="66" t="s">
        <v>53</v>
      </c>
      <c r="C365" s="66" t="s">
        <v>222</v>
      </c>
      <c r="D365" s="67" t="s">
        <v>543</v>
      </c>
      <c r="E365" s="68" t="s">
        <v>65</v>
      </c>
      <c r="F365" s="66" t="str">
        <f>TRIM(PROPER(Sales_Data!F365))</f>
        <v>Pooja Shah</v>
      </c>
      <c r="G365" s="66" t="s">
        <v>28</v>
      </c>
      <c r="H365" s="66" t="s">
        <v>1613</v>
      </c>
      <c r="I365" s="66" t="s">
        <v>59</v>
      </c>
      <c r="J365" s="66" t="str">
        <f>PROPER(Sales_Data!J365)</f>
        <v>South</v>
      </c>
      <c r="K365" s="66" t="str">
        <f>PROPER(Sales_Data!K365)</f>
        <v>Stationery</v>
      </c>
      <c r="L365" s="66" t="s">
        <v>227</v>
      </c>
      <c r="M365" s="66">
        <v>20</v>
      </c>
      <c r="N365" s="66">
        <v>20</v>
      </c>
      <c r="O365" s="66">
        <v>20</v>
      </c>
      <c r="P365" s="66">
        <v>320</v>
      </c>
      <c r="Q365" s="66">
        <v>5</v>
      </c>
      <c r="R365" s="66" t="s">
        <v>79</v>
      </c>
      <c r="S365" s="66" t="s">
        <v>115</v>
      </c>
      <c r="T365" s="66" t="s">
        <v>62</v>
      </c>
      <c r="U365" s="69" t="s">
        <v>1614</v>
      </c>
      <c r="V365" s="66" t="s">
        <v>64</v>
      </c>
      <c r="X365" t="str">
        <f>PROPER(Sales_Data!X365)</f>
        <v/>
      </c>
    </row>
    <row r="366" spans="1:24" x14ac:dyDescent="0.3">
      <c r="A366" s="65" t="s">
        <v>1615</v>
      </c>
      <c r="B366" s="66" t="s">
        <v>100</v>
      </c>
      <c r="C366" s="66" t="s">
        <v>72</v>
      </c>
      <c r="D366" s="67" t="s">
        <v>210</v>
      </c>
      <c r="E366" s="68" t="s">
        <v>1616</v>
      </c>
      <c r="F366" s="66" t="str">
        <f>TRIM(PROPER(Sales_Data!F366))</f>
        <v>Priya Patel</v>
      </c>
      <c r="G366" s="66" t="s">
        <v>28</v>
      </c>
      <c r="H366" s="66" t="s">
        <v>1617</v>
      </c>
      <c r="I366" s="66" t="s">
        <v>30</v>
      </c>
      <c r="J366" s="66" t="str">
        <f>PROPER(Sales_Data!J366)</f>
        <v>South</v>
      </c>
      <c r="K366" s="66" t="str">
        <f>PROPER(Sales_Data!K366)</f>
        <v>Electronics</v>
      </c>
      <c r="L366" s="66" t="s">
        <v>78</v>
      </c>
      <c r="M366" s="66">
        <v>19</v>
      </c>
      <c r="N366" s="66">
        <v>1200</v>
      </c>
      <c r="O366" s="66">
        <v>5</v>
      </c>
      <c r="P366" s="66">
        <v>21660</v>
      </c>
      <c r="Q366" s="66">
        <v>3</v>
      </c>
      <c r="R366" s="66" t="s">
        <v>79</v>
      </c>
      <c r="S366" s="66" t="s">
        <v>35</v>
      </c>
      <c r="T366" s="66" t="s">
        <v>144</v>
      </c>
      <c r="U366" s="69" t="s">
        <v>1618</v>
      </c>
      <c r="V366" s="66" t="s">
        <v>64</v>
      </c>
      <c r="X366" t="str">
        <f>PROPER(Sales_Data!X366)</f>
        <v/>
      </c>
    </row>
    <row r="367" spans="1:24" x14ac:dyDescent="0.3">
      <c r="A367" s="65" t="s">
        <v>1619</v>
      </c>
      <c r="B367" s="66" t="s">
        <v>53</v>
      </c>
      <c r="C367" s="66" t="s">
        <v>222</v>
      </c>
      <c r="D367" s="67">
        <v>45718</v>
      </c>
      <c r="E367" s="68" t="s">
        <v>302</v>
      </c>
      <c r="F367" s="66" t="str">
        <f>TRIM(PROPER(Sales_Data!F367))</f>
        <v>Pooja Shah</v>
      </c>
      <c r="G367" s="66" t="s">
        <v>28</v>
      </c>
      <c r="H367" s="66" t="s">
        <v>1621</v>
      </c>
      <c r="I367" s="66" t="s">
        <v>30</v>
      </c>
      <c r="J367" s="66" t="str">
        <f>PROPER(Sales_Data!J367)</f>
        <v>South</v>
      </c>
      <c r="K367" s="66" t="str">
        <f>PROPER(Sales_Data!K367)</f>
        <v>Stationery</v>
      </c>
      <c r="L367" s="66" t="s">
        <v>227</v>
      </c>
      <c r="M367" s="66">
        <v>5</v>
      </c>
      <c r="N367" s="66">
        <v>20</v>
      </c>
      <c r="O367" s="66">
        <v>0</v>
      </c>
      <c r="P367" s="66">
        <v>100</v>
      </c>
      <c r="Q367" s="66">
        <v>2</v>
      </c>
      <c r="R367" s="66" t="s">
        <v>88</v>
      </c>
      <c r="S367" s="66" t="s">
        <v>49</v>
      </c>
      <c r="T367" s="66" t="s">
        <v>62</v>
      </c>
      <c r="U367" s="69" t="s">
        <v>1622</v>
      </c>
      <c r="V367" s="66" t="s">
        <v>64</v>
      </c>
      <c r="X367" t="str">
        <f>PROPER(Sales_Data!X367)</f>
        <v/>
      </c>
    </row>
    <row r="368" spans="1:24" x14ac:dyDescent="0.3">
      <c r="A368" s="65" t="s">
        <v>1623</v>
      </c>
      <c r="B368" s="66" t="s">
        <v>100</v>
      </c>
      <c r="C368" s="66" t="s">
        <v>259</v>
      </c>
      <c r="D368" s="67">
        <v>46206</v>
      </c>
      <c r="E368" s="68" t="s">
        <v>543</v>
      </c>
      <c r="F368" s="66" t="str">
        <f>TRIM(PROPER(Sales_Data!F368))</f>
        <v>Priya Patel</v>
      </c>
      <c r="G368" s="66" t="s">
        <v>28</v>
      </c>
      <c r="H368" s="66" t="s">
        <v>1624</v>
      </c>
      <c r="I368" s="66" t="s">
        <v>212</v>
      </c>
      <c r="J368" s="66" t="str">
        <f>PROPER(Sales_Data!J368)</f>
        <v>North</v>
      </c>
      <c r="K368" s="66" t="str">
        <f>PROPER(Sales_Data!K368)</f>
        <v>Stationery</v>
      </c>
      <c r="L368" s="66" t="s">
        <v>263</v>
      </c>
      <c r="M368" s="66">
        <v>16</v>
      </c>
      <c r="N368" s="66">
        <v>45</v>
      </c>
      <c r="O368" s="66">
        <v>15</v>
      </c>
      <c r="P368" s="66">
        <v>612</v>
      </c>
      <c r="Q368" s="66">
        <v>5</v>
      </c>
      <c r="R368" s="66" t="s">
        <v>34</v>
      </c>
      <c r="S368" s="66" t="s">
        <v>61</v>
      </c>
      <c r="T368" s="66" t="s">
        <v>144</v>
      </c>
      <c r="U368" s="69" t="s">
        <v>1625</v>
      </c>
      <c r="V368" s="66" t="s">
        <v>69</v>
      </c>
      <c r="X368" t="str">
        <f>PROPER(Sales_Data!X368)</f>
        <v/>
      </c>
    </row>
    <row r="369" spans="1:24" x14ac:dyDescent="0.3">
      <c r="A369" s="65" t="s">
        <v>1626</v>
      </c>
      <c r="B369" s="66" t="s">
        <v>23</v>
      </c>
      <c r="C369" s="66" t="s">
        <v>24</v>
      </c>
      <c r="D369" s="67">
        <v>45721</v>
      </c>
      <c r="E369" s="68" t="s">
        <v>944</v>
      </c>
      <c r="F369" s="66" t="str">
        <f>TRIM(PROPER(Sales_Data!F369))</f>
        <v>Kavya Nair</v>
      </c>
      <c r="G369" s="66" t="s">
        <v>28</v>
      </c>
      <c r="H369" s="66" t="s">
        <v>1627</v>
      </c>
      <c r="I369" s="66" t="s">
        <v>212</v>
      </c>
      <c r="J369" s="66" t="str">
        <f>PROPER(Sales_Data!J369)</f>
        <v>North</v>
      </c>
      <c r="K369" s="66" t="str">
        <f>PROPER(Sales_Data!K369)</f>
        <v>Home Appliances</v>
      </c>
      <c r="L369" s="66" t="s">
        <v>33</v>
      </c>
      <c r="M369" s="66">
        <v>1</v>
      </c>
      <c r="N369" s="66">
        <v>2200</v>
      </c>
      <c r="O369" s="66">
        <v>10</v>
      </c>
      <c r="P369" s="66">
        <v>1980</v>
      </c>
      <c r="Q369" s="66">
        <v>5</v>
      </c>
      <c r="R369" s="66" t="s">
        <v>79</v>
      </c>
      <c r="S369" s="66" t="s">
        <v>49</v>
      </c>
      <c r="T369" s="66" t="s">
        <v>50</v>
      </c>
      <c r="U369" s="69" t="s">
        <v>1628</v>
      </c>
      <c r="V369" s="66" t="s">
        <v>38</v>
      </c>
      <c r="X369" t="str">
        <f>PROPER(Sales_Data!X369)</f>
        <v/>
      </c>
    </row>
    <row r="370" spans="1:24" x14ac:dyDescent="0.3">
      <c r="A370" s="65" t="s">
        <v>1629</v>
      </c>
      <c r="B370" s="66" t="s">
        <v>53</v>
      </c>
      <c r="C370" s="66" t="s">
        <v>118</v>
      </c>
      <c r="D370" s="67">
        <v>46026</v>
      </c>
      <c r="E370" s="68" t="s">
        <v>1630</v>
      </c>
      <c r="F370" s="66" t="str">
        <f>TRIM(PROPER(Sales_Data!F370))</f>
        <v>Pooja Shah</v>
      </c>
      <c r="G370" s="66" t="s">
        <v>28</v>
      </c>
      <c r="H370" s="66" t="s">
        <v>1631</v>
      </c>
      <c r="I370" s="66" t="s">
        <v>30</v>
      </c>
      <c r="J370" s="66" t="str">
        <f>PROPER(Sales_Data!J370)</f>
        <v>South</v>
      </c>
      <c r="K370" s="66" t="str">
        <f>PROPER(Sales_Data!K370)</f>
        <v>Stationery</v>
      </c>
      <c r="L370" s="66" t="s">
        <v>123</v>
      </c>
      <c r="M370" s="66">
        <v>19</v>
      </c>
      <c r="N370" s="66">
        <v>60</v>
      </c>
      <c r="O370" s="66">
        <v>15</v>
      </c>
      <c r="P370" s="66">
        <v>969</v>
      </c>
      <c r="Q370" s="66">
        <v>4</v>
      </c>
      <c r="R370" s="66" t="s">
        <v>48</v>
      </c>
      <c r="S370" s="66" t="s">
        <v>115</v>
      </c>
      <c r="T370" s="66" t="s">
        <v>62</v>
      </c>
      <c r="U370" s="69" t="s">
        <v>1632</v>
      </c>
      <c r="V370" s="66" t="s">
        <v>69</v>
      </c>
      <c r="X370" t="str">
        <f>PROPER(Sales_Data!X370)</f>
        <v/>
      </c>
    </row>
    <row r="371" spans="1:24" x14ac:dyDescent="0.3">
      <c r="A371" s="65" t="s">
        <v>1633</v>
      </c>
      <c r="B371" s="66" t="s">
        <v>327</v>
      </c>
      <c r="C371" s="66" t="s">
        <v>54</v>
      </c>
      <c r="D371" s="67" t="s">
        <v>64</v>
      </c>
      <c r="E371" s="68" t="s">
        <v>1634</v>
      </c>
      <c r="F371" s="66" t="str">
        <f>TRIM(PROPER(Sales_Data!F371))</f>
        <v>Amit Sharma</v>
      </c>
      <c r="G371" s="66" t="s">
        <v>76</v>
      </c>
      <c r="H371" s="66" t="s">
        <v>1635</v>
      </c>
      <c r="I371" s="66" t="s">
        <v>44</v>
      </c>
      <c r="J371" s="66" t="str">
        <f>PROPER(Sales_Data!J371)</f>
        <v>North</v>
      </c>
      <c r="K371" s="66" t="str">
        <f>PROPER(Sales_Data!K371)</f>
        <v>Electronics</v>
      </c>
      <c r="L371" s="66" t="s">
        <v>60</v>
      </c>
      <c r="M371" s="66">
        <v>15</v>
      </c>
      <c r="N371" s="66">
        <v>55000</v>
      </c>
      <c r="O371" s="66">
        <v>0</v>
      </c>
      <c r="P371" s="66">
        <v>825000</v>
      </c>
      <c r="Q371" s="66">
        <v>5</v>
      </c>
      <c r="R371" s="66" t="s">
        <v>79</v>
      </c>
      <c r="S371" s="66" t="s">
        <v>115</v>
      </c>
      <c r="T371" s="66" t="s">
        <v>332</v>
      </c>
      <c r="U371" s="69" t="s">
        <v>1636</v>
      </c>
      <c r="V371" s="66" t="s">
        <v>69</v>
      </c>
      <c r="X371" t="str">
        <f>PROPER(Sales_Data!X371)</f>
        <v/>
      </c>
    </row>
    <row r="372" spans="1:24" x14ac:dyDescent="0.3">
      <c r="A372" s="65" t="s">
        <v>1637</v>
      </c>
      <c r="B372" s="66" t="s">
        <v>71</v>
      </c>
      <c r="C372" s="66" t="s">
        <v>259</v>
      </c>
      <c r="D372" s="67">
        <v>45818</v>
      </c>
      <c r="E372" s="68" t="s">
        <v>1638</v>
      </c>
      <c r="F372" s="66" t="str">
        <f>TRIM(PROPER(Sales_Data!F372))</f>
        <v>Mohit Verma</v>
      </c>
      <c r="G372" s="66" t="s">
        <v>76</v>
      </c>
      <c r="H372" s="66" t="s">
        <v>1639</v>
      </c>
      <c r="I372" s="66" t="s">
        <v>59</v>
      </c>
      <c r="J372" s="66" t="str">
        <f>PROPER(Sales_Data!J372)</f>
        <v>South</v>
      </c>
      <c r="K372" s="66" t="str">
        <f>PROPER(Sales_Data!K372)</f>
        <v>Stationery</v>
      </c>
      <c r="L372" s="66" t="s">
        <v>263</v>
      </c>
      <c r="M372" s="66">
        <v>11</v>
      </c>
      <c r="N372" s="66">
        <v>45</v>
      </c>
      <c r="O372" s="66">
        <v>5</v>
      </c>
      <c r="P372" s="66">
        <v>470.25</v>
      </c>
      <c r="Q372" s="66">
        <v>5</v>
      </c>
      <c r="R372" s="66" t="s">
        <v>48</v>
      </c>
      <c r="S372" s="66" t="s">
        <v>151</v>
      </c>
      <c r="T372" s="66" t="s">
        <v>80</v>
      </c>
      <c r="U372" s="69" t="s">
        <v>1640</v>
      </c>
      <c r="V372" s="66" t="s">
        <v>38</v>
      </c>
      <c r="X372" t="str">
        <f>PROPER(Sales_Data!X372)</f>
        <v/>
      </c>
    </row>
    <row r="373" spans="1:24" x14ac:dyDescent="0.3">
      <c r="A373" s="65" t="s">
        <v>1641</v>
      </c>
      <c r="B373" s="66" t="s">
        <v>251</v>
      </c>
      <c r="C373" s="66" t="s">
        <v>222</v>
      </c>
      <c r="D373" s="67">
        <v>45997</v>
      </c>
      <c r="E373" s="68" t="s">
        <v>1643</v>
      </c>
      <c r="F373" s="66" t="str">
        <f>TRIM(PROPER(Sales_Data!F373))</f>
        <v>Sneha Joshi</v>
      </c>
      <c r="G373" s="66" t="s">
        <v>28</v>
      </c>
      <c r="H373" s="66" t="s">
        <v>1644</v>
      </c>
      <c r="I373" s="66" t="s">
        <v>212</v>
      </c>
      <c r="J373" s="66" t="str">
        <f>PROPER(Sales_Data!J373)</f>
        <v>North</v>
      </c>
      <c r="K373" s="66" t="str">
        <f>PROPER(Sales_Data!K373)</f>
        <v>Stationery</v>
      </c>
      <c r="L373" s="66" t="s">
        <v>227</v>
      </c>
      <c r="M373" s="66">
        <v>9</v>
      </c>
      <c r="N373" s="66">
        <v>20</v>
      </c>
      <c r="O373" s="66">
        <v>10</v>
      </c>
      <c r="P373" s="66">
        <v>162</v>
      </c>
      <c r="Q373" s="66">
        <v>1</v>
      </c>
      <c r="R373" s="66" t="s">
        <v>79</v>
      </c>
      <c r="S373" s="66" t="s">
        <v>49</v>
      </c>
      <c r="T373" s="66" t="s">
        <v>256</v>
      </c>
      <c r="U373" s="69" t="s">
        <v>1645</v>
      </c>
      <c r="V373" s="66" t="s">
        <v>69</v>
      </c>
      <c r="X373" t="str">
        <f>PROPER(Sales_Data!X373)</f>
        <v/>
      </c>
    </row>
    <row r="374" spans="1:24" x14ac:dyDescent="0.3">
      <c r="A374" s="65" t="s">
        <v>1646</v>
      </c>
      <c r="B374" s="66" t="s">
        <v>168</v>
      </c>
      <c r="C374" s="66" t="s">
        <v>259</v>
      </c>
      <c r="D374" s="67" t="s">
        <v>645</v>
      </c>
      <c r="E374" s="68" t="s">
        <v>980</v>
      </c>
      <c r="F374" s="66" t="str">
        <f>TRIM(PROPER(Sales_Data!F374))</f>
        <v>Anita Gupta</v>
      </c>
      <c r="G374" s="66" t="s">
        <v>28</v>
      </c>
      <c r="H374" s="66" t="s">
        <v>1647</v>
      </c>
      <c r="I374" s="66" t="s">
        <v>59</v>
      </c>
      <c r="J374" s="66" t="str">
        <f>PROPER(Sales_Data!J374)</f>
        <v>South</v>
      </c>
      <c r="K374" s="66" t="str">
        <f>PROPER(Sales_Data!K374)</f>
        <v>Stationery</v>
      </c>
      <c r="L374" s="66" t="s">
        <v>263</v>
      </c>
      <c r="M374" s="66">
        <v>5</v>
      </c>
      <c r="N374" s="66">
        <v>45</v>
      </c>
      <c r="O374" s="66">
        <v>5</v>
      </c>
      <c r="P374" s="66">
        <v>213.75</v>
      </c>
      <c r="Q374" s="66">
        <v>3</v>
      </c>
      <c r="R374" s="66" t="s">
        <v>79</v>
      </c>
      <c r="S374" s="66" t="s">
        <v>115</v>
      </c>
      <c r="T374" s="66" t="s">
        <v>175</v>
      </c>
      <c r="U374" s="69" t="s">
        <v>1648</v>
      </c>
      <c r="V374" s="66" t="s">
        <v>64</v>
      </c>
      <c r="X374" t="str">
        <f>PROPER(Sales_Data!X374)</f>
        <v/>
      </c>
    </row>
    <row r="375" spans="1:24" x14ac:dyDescent="0.3">
      <c r="A375" s="65" t="s">
        <v>1649</v>
      </c>
      <c r="B375" s="66" t="s">
        <v>83</v>
      </c>
      <c r="C375" s="66" t="s">
        <v>184</v>
      </c>
      <c r="D375" s="67">
        <v>45668</v>
      </c>
      <c r="E375" s="68" t="s">
        <v>1102</v>
      </c>
      <c r="F375" s="66" t="str">
        <f>TRIM(PROPER(Sales_Data!F375))</f>
        <v>Arjun Rao</v>
      </c>
      <c r="G375" s="66" t="s">
        <v>76</v>
      </c>
      <c r="H375" s="66" t="s">
        <v>1651</v>
      </c>
      <c r="I375" s="66" t="s">
        <v>30</v>
      </c>
      <c r="J375" s="66" t="str">
        <f>PROPER(Sales_Data!J375)</f>
        <v>South</v>
      </c>
      <c r="K375" s="66" t="str">
        <f>PROPER(Sales_Data!K375)</f>
        <v>Electronics</v>
      </c>
      <c r="L375" s="66" t="s">
        <v>189</v>
      </c>
      <c r="M375" s="66">
        <v>5</v>
      </c>
      <c r="N375" s="66">
        <v>700</v>
      </c>
      <c r="O375" s="66">
        <v>10</v>
      </c>
      <c r="P375" s="66">
        <v>3150</v>
      </c>
      <c r="Q375" s="66">
        <v>2</v>
      </c>
      <c r="R375" s="66" t="s">
        <v>88</v>
      </c>
      <c r="S375" s="66" t="s">
        <v>49</v>
      </c>
      <c r="T375" s="66" t="s">
        <v>89</v>
      </c>
      <c r="U375" s="69" t="s">
        <v>1652</v>
      </c>
      <c r="V375" s="66" t="s">
        <v>38</v>
      </c>
      <c r="X375" t="str">
        <f>PROPER(Sales_Data!X375)</f>
        <v/>
      </c>
    </row>
    <row r="376" spans="1:24" x14ac:dyDescent="0.3">
      <c r="A376" s="65" t="s">
        <v>1653</v>
      </c>
      <c r="B376" s="66" t="s">
        <v>221</v>
      </c>
      <c r="C376" s="66" t="s">
        <v>184</v>
      </c>
      <c r="D376" s="67" t="s">
        <v>957</v>
      </c>
      <c r="E376" s="68" t="s">
        <v>1654</v>
      </c>
      <c r="F376" s="66" t="str">
        <f>TRIM(PROPER(Sales_Data!F376))</f>
        <v>Vikas Mehta</v>
      </c>
      <c r="G376" s="66" t="s">
        <v>76</v>
      </c>
      <c r="H376" s="66" t="s">
        <v>1655</v>
      </c>
      <c r="I376" s="66" t="s">
        <v>294</v>
      </c>
      <c r="J376" s="66" t="str">
        <f>PROPER(Sales_Data!J376)</f>
        <v>East</v>
      </c>
      <c r="K376" s="66" t="str">
        <f>PROPER(Sales_Data!K376)</f>
        <v>Electronics</v>
      </c>
      <c r="L376" s="66" t="s">
        <v>189</v>
      </c>
      <c r="M376" s="66">
        <v>1</v>
      </c>
      <c r="N376" s="66">
        <v>700</v>
      </c>
      <c r="O376" s="66">
        <v>0</v>
      </c>
      <c r="P376" s="66">
        <v>700</v>
      </c>
      <c r="Q376" s="66">
        <v>1</v>
      </c>
      <c r="R376" s="66" t="s">
        <v>88</v>
      </c>
      <c r="S376" s="66" t="s">
        <v>151</v>
      </c>
      <c r="T376" s="66" t="s">
        <v>228</v>
      </c>
      <c r="U376" s="69" t="s">
        <v>1656</v>
      </c>
      <c r="V376" s="66" t="s">
        <v>38</v>
      </c>
      <c r="X376" t="str">
        <f>PROPER(Sales_Data!X376)</f>
        <v/>
      </c>
    </row>
    <row r="377" spans="1:24" x14ac:dyDescent="0.3">
      <c r="A377" s="65" t="s">
        <v>1657</v>
      </c>
      <c r="B377" s="66" t="s">
        <v>23</v>
      </c>
      <c r="C377" s="66" t="s">
        <v>184</v>
      </c>
      <c r="D377" s="67" t="s">
        <v>1368</v>
      </c>
      <c r="E377" s="68" t="s">
        <v>923</v>
      </c>
      <c r="F377" s="66" t="str">
        <f>TRIM(PROPER(Sales_Data!F377))</f>
        <v>Kavya Nair</v>
      </c>
      <c r="G377" s="66" t="s">
        <v>28</v>
      </c>
      <c r="H377" s="66" t="s">
        <v>1658</v>
      </c>
      <c r="I377" s="66" t="s">
        <v>105</v>
      </c>
      <c r="J377" s="66" t="str">
        <f>PROPER(Sales_Data!J377)</f>
        <v>West</v>
      </c>
      <c r="K377" s="66" t="str">
        <f>PROPER(Sales_Data!K377)</f>
        <v>Electronics</v>
      </c>
      <c r="L377" s="66" t="s">
        <v>189</v>
      </c>
      <c r="M377" s="66">
        <v>13</v>
      </c>
      <c r="N377" s="66">
        <v>700</v>
      </c>
      <c r="O377" s="66">
        <v>20</v>
      </c>
      <c r="P377" s="66">
        <v>7280</v>
      </c>
      <c r="Q377" s="66">
        <v>2</v>
      </c>
      <c r="R377" s="66" t="s">
        <v>79</v>
      </c>
      <c r="S377" s="66" t="s">
        <v>35</v>
      </c>
      <c r="T377" s="66" t="s">
        <v>50</v>
      </c>
      <c r="U377" s="69" t="s">
        <v>1659</v>
      </c>
      <c r="V377" s="66" t="s">
        <v>38</v>
      </c>
      <c r="X377" t="str">
        <f>PROPER(Sales_Data!X377)</f>
        <v/>
      </c>
    </row>
    <row r="378" spans="1:24" x14ac:dyDescent="0.3">
      <c r="A378" s="65" t="s">
        <v>1660</v>
      </c>
      <c r="B378" s="66" t="s">
        <v>71</v>
      </c>
      <c r="C378" s="66" t="s">
        <v>40</v>
      </c>
      <c r="D378" s="67">
        <v>45871</v>
      </c>
      <c r="E378" s="68" t="s">
        <v>303</v>
      </c>
      <c r="F378" s="66" t="str">
        <f>TRIM(PROPER(Sales_Data!F378))</f>
        <v>Mohit Verma</v>
      </c>
      <c r="G378" s="66" t="s">
        <v>76</v>
      </c>
      <c r="H378" s="66" t="s">
        <v>1661</v>
      </c>
      <c r="I378" s="66" t="s">
        <v>114</v>
      </c>
      <c r="J378" s="66" t="str">
        <f>PROPER(Sales_Data!J378)</f>
        <v>West</v>
      </c>
      <c r="K378" s="66" t="str">
        <f>PROPER(Sales_Data!K378)</f>
        <v>Electronics</v>
      </c>
      <c r="L378" s="66" t="s">
        <v>47</v>
      </c>
      <c r="M378" s="66">
        <v>20</v>
      </c>
      <c r="N378" s="66">
        <v>12000</v>
      </c>
      <c r="O378" s="66">
        <v>0</v>
      </c>
      <c r="P378" s="66">
        <v>240000</v>
      </c>
      <c r="Q378" s="66">
        <v>2</v>
      </c>
      <c r="R378" s="66" t="s">
        <v>79</v>
      </c>
      <c r="S378" s="66" t="s">
        <v>115</v>
      </c>
      <c r="T378" s="66" t="s">
        <v>80</v>
      </c>
      <c r="U378" s="69" t="s">
        <v>1662</v>
      </c>
      <c r="V378" s="66" t="s">
        <v>38</v>
      </c>
      <c r="X378" t="str">
        <f>PROPER(Sales_Data!X378)</f>
        <v/>
      </c>
    </row>
    <row r="379" spans="1:24" x14ac:dyDescent="0.3">
      <c r="A379" s="65" t="s">
        <v>1663</v>
      </c>
      <c r="B379" s="66" t="s">
        <v>83</v>
      </c>
      <c r="C379" s="66" t="s">
        <v>72</v>
      </c>
      <c r="D379" s="67" t="s">
        <v>1198</v>
      </c>
      <c r="E379" s="68" t="s">
        <v>712</v>
      </c>
      <c r="F379" s="66" t="str">
        <f>TRIM(PROPER(Sales_Data!F379))</f>
        <v>Arjun Rao</v>
      </c>
      <c r="G379" s="66" t="s">
        <v>76</v>
      </c>
      <c r="H379" s="66" t="s">
        <v>1664</v>
      </c>
      <c r="I379" s="66" t="s">
        <v>294</v>
      </c>
      <c r="J379" s="66" t="str">
        <f>PROPER(Sales_Data!J379)</f>
        <v>East</v>
      </c>
      <c r="K379" s="66" t="str">
        <f>PROPER(Sales_Data!K379)</f>
        <v>Electronics</v>
      </c>
      <c r="L379" s="66" t="s">
        <v>78</v>
      </c>
      <c r="M379" s="66">
        <v>9</v>
      </c>
      <c r="N379" s="66">
        <v>1200</v>
      </c>
      <c r="O379" s="66">
        <v>15</v>
      </c>
      <c r="P379" s="66">
        <v>9180</v>
      </c>
      <c r="Q379" s="66">
        <v>1</v>
      </c>
      <c r="R379" s="66" t="s">
        <v>88</v>
      </c>
      <c r="S379" s="66" t="s">
        <v>35</v>
      </c>
      <c r="T379" s="66" t="s">
        <v>89</v>
      </c>
      <c r="U379" s="69" t="s">
        <v>1665</v>
      </c>
      <c r="V379" s="66" t="s">
        <v>64</v>
      </c>
      <c r="X379" t="str">
        <f>PROPER(Sales_Data!X379)</f>
        <v/>
      </c>
    </row>
    <row r="380" spans="1:24" x14ac:dyDescent="0.3">
      <c r="A380" s="65" t="s">
        <v>1666</v>
      </c>
      <c r="B380" s="66" t="s">
        <v>83</v>
      </c>
      <c r="C380" s="66" t="s">
        <v>222</v>
      </c>
      <c r="D380" s="67">
        <v>45667</v>
      </c>
      <c r="E380" s="68" t="s">
        <v>1667</v>
      </c>
      <c r="F380" s="66" t="str">
        <f>TRIM(PROPER(Sales_Data!F380))</f>
        <v>Arjun Rao</v>
      </c>
      <c r="G380" s="66" t="s">
        <v>76</v>
      </c>
      <c r="H380" s="66" t="s">
        <v>1668</v>
      </c>
      <c r="I380" s="66" t="s">
        <v>212</v>
      </c>
      <c r="J380" s="66" t="str">
        <f>PROPER(Sales_Data!J380)</f>
        <v>North</v>
      </c>
      <c r="K380" s="66" t="str">
        <f>PROPER(Sales_Data!K380)</f>
        <v>Stationery</v>
      </c>
      <c r="L380" s="66" t="s">
        <v>227</v>
      </c>
      <c r="M380" s="66">
        <v>3</v>
      </c>
      <c r="N380" s="66">
        <v>20</v>
      </c>
      <c r="O380" s="66">
        <v>15</v>
      </c>
      <c r="P380" s="66">
        <v>51</v>
      </c>
      <c r="Q380" s="66">
        <v>3</v>
      </c>
      <c r="R380" s="66" t="s">
        <v>34</v>
      </c>
      <c r="S380" s="66" t="s">
        <v>115</v>
      </c>
      <c r="T380" s="66" t="s">
        <v>89</v>
      </c>
      <c r="U380" s="69" t="s">
        <v>1669</v>
      </c>
      <c r="V380" s="66" t="s">
        <v>64</v>
      </c>
      <c r="X380" t="str">
        <f>PROPER(Sales_Data!X380)</f>
        <v/>
      </c>
    </row>
    <row r="381" spans="1:24" x14ac:dyDescent="0.3">
      <c r="A381" s="65" t="s">
        <v>1670</v>
      </c>
      <c r="B381" s="66" t="s">
        <v>251</v>
      </c>
      <c r="C381" s="66" t="s">
        <v>54</v>
      </c>
      <c r="D381" s="67" t="s">
        <v>788</v>
      </c>
      <c r="E381" s="68" t="s">
        <v>455</v>
      </c>
      <c r="F381" s="66" t="str">
        <f>TRIM(PROPER(Sales_Data!F381))</f>
        <v>Sneha Joshi</v>
      </c>
      <c r="G381" s="66" t="s">
        <v>28</v>
      </c>
      <c r="H381" s="66" t="s">
        <v>1671</v>
      </c>
      <c r="I381" s="66" t="s">
        <v>44</v>
      </c>
      <c r="J381" s="66" t="str">
        <f>PROPER(Sales_Data!J381)</f>
        <v>North</v>
      </c>
      <c r="K381" s="66" t="str">
        <f>PROPER(Sales_Data!K381)</f>
        <v>Electronics</v>
      </c>
      <c r="L381" s="66" t="s">
        <v>60</v>
      </c>
      <c r="M381" s="66">
        <v>8</v>
      </c>
      <c r="N381" s="66">
        <v>55000</v>
      </c>
      <c r="O381" s="66">
        <v>20</v>
      </c>
      <c r="P381" s="66">
        <v>352000</v>
      </c>
      <c r="Q381" s="66">
        <v>5</v>
      </c>
      <c r="R381" s="66" t="s">
        <v>79</v>
      </c>
      <c r="S381" s="66" t="s">
        <v>151</v>
      </c>
      <c r="T381" s="66" t="s">
        <v>256</v>
      </c>
      <c r="U381" s="69" t="s">
        <v>1672</v>
      </c>
      <c r="V381" s="66" t="s">
        <v>64</v>
      </c>
      <c r="X381" t="str">
        <f>PROPER(Sales_Data!X381)</f>
        <v/>
      </c>
    </row>
    <row r="382" spans="1:24" x14ac:dyDescent="0.3">
      <c r="A382" s="65" t="s">
        <v>1673</v>
      </c>
      <c r="B382" s="66" t="s">
        <v>251</v>
      </c>
      <c r="C382" s="66" t="s">
        <v>118</v>
      </c>
      <c r="D382" s="67" t="s">
        <v>1311</v>
      </c>
      <c r="E382" s="68" t="s">
        <v>74</v>
      </c>
      <c r="F382" s="66" t="str">
        <f>TRIM(PROPER(Sales_Data!F382))</f>
        <v>Sneha Joshi</v>
      </c>
      <c r="G382" s="66" t="s">
        <v>28</v>
      </c>
      <c r="H382" s="66" t="s">
        <v>1674</v>
      </c>
      <c r="I382" s="66" t="s">
        <v>44</v>
      </c>
      <c r="J382" s="66" t="str">
        <f>PROPER(Sales_Data!J382)</f>
        <v>North</v>
      </c>
      <c r="K382" s="66" t="str">
        <f>PROPER(Sales_Data!K382)</f>
        <v>Stationery</v>
      </c>
      <c r="L382" s="66" t="s">
        <v>123</v>
      </c>
      <c r="M382" s="66">
        <v>17</v>
      </c>
      <c r="N382" s="66">
        <v>60</v>
      </c>
      <c r="O382" s="66">
        <v>20</v>
      </c>
      <c r="P382" s="66">
        <v>816</v>
      </c>
      <c r="Q382" s="66">
        <v>1</v>
      </c>
      <c r="R382" s="66" t="s">
        <v>88</v>
      </c>
      <c r="S382" s="66" t="s">
        <v>35</v>
      </c>
      <c r="T382" s="66" t="s">
        <v>256</v>
      </c>
      <c r="U382" s="69" t="s">
        <v>1675</v>
      </c>
      <c r="V382" s="66" t="s">
        <v>64</v>
      </c>
      <c r="X382" t="str">
        <f>PROPER(Sales_Data!X382)</f>
        <v/>
      </c>
    </row>
    <row r="383" spans="1:24" x14ac:dyDescent="0.3">
      <c r="A383" s="65" t="s">
        <v>1676</v>
      </c>
      <c r="B383" s="66" t="s">
        <v>127</v>
      </c>
      <c r="C383" s="66" t="s">
        <v>222</v>
      </c>
      <c r="D383" s="67" t="s">
        <v>1677</v>
      </c>
      <c r="E383" s="68" t="s">
        <v>236</v>
      </c>
      <c r="F383" s="66" t="str">
        <f>TRIM(PROPER(Sales_Data!F383))</f>
        <v>Rohit Singh</v>
      </c>
      <c r="G383" s="66" t="s">
        <v>76</v>
      </c>
      <c r="H383" s="66" t="s">
        <v>1678</v>
      </c>
      <c r="I383" s="66" t="s">
        <v>59</v>
      </c>
      <c r="J383" s="66" t="str">
        <f>PROPER(Sales_Data!J383)</f>
        <v>South</v>
      </c>
      <c r="K383" s="66" t="str">
        <f>PROPER(Sales_Data!K383)</f>
        <v>Stationery</v>
      </c>
      <c r="L383" s="66" t="s">
        <v>227</v>
      </c>
      <c r="M383" s="66">
        <v>4</v>
      </c>
      <c r="N383" s="66">
        <v>20</v>
      </c>
      <c r="O383" s="66">
        <v>15</v>
      </c>
      <c r="P383" s="66">
        <v>68</v>
      </c>
      <c r="Q383" s="66">
        <v>3</v>
      </c>
      <c r="R383" s="66" t="s">
        <v>48</v>
      </c>
      <c r="S383" s="66" t="s">
        <v>61</v>
      </c>
      <c r="T383" s="66" t="s">
        <v>132</v>
      </c>
      <c r="U383" s="69" t="s">
        <v>1679</v>
      </c>
      <c r="V383" s="66" t="s">
        <v>64</v>
      </c>
      <c r="X383" t="str">
        <f>PROPER(Sales_Data!X383)</f>
        <v/>
      </c>
    </row>
    <row r="384" spans="1:24" x14ac:dyDescent="0.3">
      <c r="A384" s="65" t="s">
        <v>1680</v>
      </c>
      <c r="B384" s="66" t="s">
        <v>127</v>
      </c>
      <c r="C384" s="66" t="s">
        <v>24</v>
      </c>
      <c r="D384" s="67">
        <v>45661</v>
      </c>
      <c r="E384" s="68" t="s">
        <v>775</v>
      </c>
      <c r="F384" s="66" t="str">
        <f>TRIM(PROPER(Sales_Data!F384))</f>
        <v>Rohit Singh</v>
      </c>
      <c r="G384" s="66" t="s">
        <v>76</v>
      </c>
      <c r="H384" s="66" t="s">
        <v>1682</v>
      </c>
      <c r="I384" s="66" t="s">
        <v>294</v>
      </c>
      <c r="J384" s="66" t="str">
        <f>PROPER(Sales_Data!J384)</f>
        <v>East</v>
      </c>
      <c r="K384" s="66" t="str">
        <f>PROPER(Sales_Data!K384)</f>
        <v>Home Appliances</v>
      </c>
      <c r="L384" s="66" t="s">
        <v>33</v>
      </c>
      <c r="M384" s="66">
        <v>2</v>
      </c>
      <c r="N384" s="66">
        <v>2200</v>
      </c>
      <c r="O384" s="66">
        <v>10</v>
      </c>
      <c r="P384" s="66">
        <v>3960</v>
      </c>
      <c r="Q384" s="66">
        <v>2</v>
      </c>
      <c r="R384" s="66" t="s">
        <v>88</v>
      </c>
      <c r="S384" s="66" t="s">
        <v>49</v>
      </c>
      <c r="T384" s="66" t="s">
        <v>132</v>
      </c>
      <c r="U384" s="69" t="s">
        <v>1683</v>
      </c>
      <c r="V384" s="66" t="s">
        <v>64</v>
      </c>
      <c r="X384" t="str">
        <f>PROPER(Sales_Data!X384)</f>
        <v/>
      </c>
    </row>
    <row r="385" spans="1:24" x14ac:dyDescent="0.3">
      <c r="A385" s="65" t="s">
        <v>1684</v>
      </c>
      <c r="B385" s="66" t="s">
        <v>221</v>
      </c>
      <c r="C385" s="66" t="s">
        <v>118</v>
      </c>
      <c r="D385" s="67">
        <v>45842</v>
      </c>
      <c r="E385" s="68" t="s">
        <v>539</v>
      </c>
      <c r="F385" s="66" t="str">
        <f>TRIM(PROPER(Sales_Data!F385))</f>
        <v>Vikas Mehta</v>
      </c>
      <c r="G385" s="66" t="s">
        <v>76</v>
      </c>
      <c r="H385" s="66" t="s">
        <v>1685</v>
      </c>
      <c r="I385" s="66" t="s">
        <v>59</v>
      </c>
      <c r="J385" s="66" t="str">
        <f>PROPER(Sales_Data!J385)</f>
        <v>South</v>
      </c>
      <c r="K385" s="66" t="str">
        <f>PROPER(Sales_Data!K385)</f>
        <v>Stationery</v>
      </c>
      <c r="L385" s="66" t="s">
        <v>123</v>
      </c>
      <c r="M385" s="66">
        <v>5</v>
      </c>
      <c r="N385" s="66">
        <v>60</v>
      </c>
      <c r="O385" s="66">
        <v>5</v>
      </c>
      <c r="P385" s="66">
        <v>285</v>
      </c>
      <c r="Q385" s="66">
        <v>1</v>
      </c>
      <c r="R385" s="66" t="s">
        <v>88</v>
      </c>
      <c r="S385" s="66" t="s">
        <v>35</v>
      </c>
      <c r="T385" s="66" t="s">
        <v>228</v>
      </c>
      <c r="U385" s="69" t="s">
        <v>1686</v>
      </c>
      <c r="V385" s="66" t="s">
        <v>69</v>
      </c>
      <c r="X385" t="str">
        <f>PROPER(Sales_Data!X385)</f>
        <v/>
      </c>
    </row>
    <row r="386" spans="1:24" x14ac:dyDescent="0.3">
      <c r="A386" s="65" t="s">
        <v>1687</v>
      </c>
      <c r="B386" s="66" t="s">
        <v>127</v>
      </c>
      <c r="C386" s="66" t="s">
        <v>24</v>
      </c>
      <c r="D386" s="67" t="s">
        <v>1688</v>
      </c>
      <c r="E386" s="68" t="s">
        <v>1689</v>
      </c>
      <c r="F386" s="66" t="str">
        <f>TRIM(PROPER(Sales_Data!F386))</f>
        <v>Rohit Singh</v>
      </c>
      <c r="G386" s="66" t="s">
        <v>76</v>
      </c>
      <c r="H386" s="66" t="s">
        <v>1690</v>
      </c>
      <c r="I386" s="66" t="s">
        <v>44</v>
      </c>
      <c r="J386" s="66" t="str">
        <f>PROPER(Sales_Data!J386)</f>
        <v>North</v>
      </c>
      <c r="K386" s="66" t="str">
        <f>PROPER(Sales_Data!K386)</f>
        <v>Home Appliances</v>
      </c>
      <c r="L386" s="66" t="s">
        <v>33</v>
      </c>
      <c r="M386" s="66">
        <v>17</v>
      </c>
      <c r="N386" s="66">
        <v>2200</v>
      </c>
      <c r="O386" s="66">
        <v>0</v>
      </c>
      <c r="P386" s="66">
        <v>37400</v>
      </c>
      <c r="Q386" s="66">
        <v>2</v>
      </c>
      <c r="R386" s="66" t="s">
        <v>88</v>
      </c>
      <c r="S386" s="66" t="s">
        <v>151</v>
      </c>
      <c r="T386" s="66" t="s">
        <v>132</v>
      </c>
      <c r="U386" s="69" t="s">
        <v>1691</v>
      </c>
      <c r="V386" s="66" t="s">
        <v>69</v>
      </c>
      <c r="X386" t="str">
        <f>PROPER(Sales_Data!X386)</f>
        <v/>
      </c>
    </row>
    <row r="387" spans="1:24" x14ac:dyDescent="0.3">
      <c r="A387" s="65" t="s">
        <v>1692</v>
      </c>
      <c r="B387" s="66" t="s">
        <v>168</v>
      </c>
      <c r="C387" s="66" t="s">
        <v>118</v>
      </c>
      <c r="D387" s="67">
        <v>45759</v>
      </c>
      <c r="E387" s="68" t="s">
        <v>610</v>
      </c>
      <c r="F387" s="66" t="str">
        <f>TRIM(PROPER(Sales_Data!F387))</f>
        <v>Anita Gupta</v>
      </c>
      <c r="G387" s="66" t="s">
        <v>28</v>
      </c>
      <c r="H387" s="66" t="s">
        <v>1693</v>
      </c>
      <c r="I387" s="66" t="s">
        <v>138</v>
      </c>
      <c r="J387" s="66" t="str">
        <f>PROPER(Sales_Data!J387)</f>
        <v>West</v>
      </c>
      <c r="K387" s="66" t="str">
        <f>PROPER(Sales_Data!K387)</f>
        <v>Stationery</v>
      </c>
      <c r="L387" s="66" t="s">
        <v>123</v>
      </c>
      <c r="M387" s="66">
        <v>7</v>
      </c>
      <c r="N387" s="66">
        <v>60</v>
      </c>
      <c r="O387" s="66">
        <v>0</v>
      </c>
      <c r="P387" s="66">
        <v>420</v>
      </c>
      <c r="Q387" s="66">
        <v>2</v>
      </c>
      <c r="R387" s="66" t="s">
        <v>88</v>
      </c>
      <c r="S387" s="66" t="s">
        <v>61</v>
      </c>
      <c r="T387" s="66" t="s">
        <v>175</v>
      </c>
      <c r="U387" s="69" t="s">
        <v>1694</v>
      </c>
      <c r="V387" s="66" t="s">
        <v>64</v>
      </c>
      <c r="X387" t="str">
        <f>PROPER(Sales_Data!X387)</f>
        <v/>
      </c>
    </row>
    <row r="388" spans="1:24" x14ac:dyDescent="0.3">
      <c r="A388" s="65" t="s">
        <v>1695</v>
      </c>
      <c r="B388" s="66" t="s">
        <v>221</v>
      </c>
      <c r="C388" s="66" t="s">
        <v>54</v>
      </c>
      <c r="D388" s="67" t="s">
        <v>702</v>
      </c>
      <c r="E388" s="68" t="s">
        <v>1696</v>
      </c>
      <c r="F388" s="66" t="str">
        <f>TRIM(PROPER(Sales_Data!F388))</f>
        <v>Vikas Mehta</v>
      </c>
      <c r="G388" s="66" t="s">
        <v>76</v>
      </c>
      <c r="H388" s="66" t="s">
        <v>1697</v>
      </c>
      <c r="I388" s="66" t="s">
        <v>30</v>
      </c>
      <c r="J388" s="66" t="str">
        <f>PROPER(Sales_Data!J388)</f>
        <v>South</v>
      </c>
      <c r="K388" s="66" t="str">
        <f>PROPER(Sales_Data!K388)</f>
        <v>Electronics</v>
      </c>
      <c r="L388" s="66" t="s">
        <v>60</v>
      </c>
      <c r="M388" s="66">
        <v>6</v>
      </c>
      <c r="N388" s="66">
        <v>55000</v>
      </c>
      <c r="O388" s="66">
        <v>5</v>
      </c>
      <c r="P388" s="66">
        <v>313500</v>
      </c>
      <c r="Q388" s="66">
        <v>4</v>
      </c>
      <c r="R388" s="66" t="s">
        <v>79</v>
      </c>
      <c r="S388" s="66" t="s">
        <v>61</v>
      </c>
      <c r="T388" s="66" t="s">
        <v>228</v>
      </c>
      <c r="U388" s="69" t="s">
        <v>1698</v>
      </c>
      <c r="V388" s="66" t="s">
        <v>38</v>
      </c>
      <c r="X388" t="str">
        <f>PROPER(Sales_Data!X388)</f>
        <v/>
      </c>
    </row>
    <row r="389" spans="1:24" x14ac:dyDescent="0.3">
      <c r="A389" s="65" t="s">
        <v>1699</v>
      </c>
      <c r="B389" s="66" t="s">
        <v>71</v>
      </c>
      <c r="C389" s="66" t="s">
        <v>222</v>
      </c>
      <c r="D389" s="67" t="s">
        <v>1306</v>
      </c>
      <c r="E389" s="68" t="s">
        <v>1700</v>
      </c>
      <c r="F389" s="66" t="str">
        <f>TRIM(PROPER(Sales_Data!F389))</f>
        <v>Mohit Verma</v>
      </c>
      <c r="G389" s="66" t="s">
        <v>76</v>
      </c>
      <c r="H389" s="66" t="s">
        <v>1701</v>
      </c>
      <c r="I389" s="66" t="s">
        <v>30</v>
      </c>
      <c r="J389" s="66" t="str">
        <f>PROPER(Sales_Data!J389)</f>
        <v>South</v>
      </c>
      <c r="K389" s="66" t="str">
        <f>PROPER(Sales_Data!K389)</f>
        <v>Stationery</v>
      </c>
      <c r="L389" s="66" t="s">
        <v>227</v>
      </c>
      <c r="M389" s="66">
        <v>16</v>
      </c>
      <c r="N389" s="66">
        <v>20</v>
      </c>
      <c r="O389" s="66">
        <v>5</v>
      </c>
      <c r="P389" s="66">
        <v>304</v>
      </c>
      <c r="Q389" s="66">
        <v>1</v>
      </c>
      <c r="R389" s="66" t="s">
        <v>79</v>
      </c>
      <c r="S389" s="66" t="s">
        <v>49</v>
      </c>
      <c r="T389" s="66" t="s">
        <v>80</v>
      </c>
      <c r="U389" s="69" t="s">
        <v>1702</v>
      </c>
      <c r="V389" s="66" t="s">
        <v>38</v>
      </c>
      <c r="X389" t="str">
        <f>PROPER(Sales_Data!X389)</f>
        <v/>
      </c>
    </row>
    <row r="390" spans="1:24" x14ac:dyDescent="0.3">
      <c r="A390" s="65" t="s">
        <v>1703</v>
      </c>
      <c r="B390" s="66" t="s">
        <v>23</v>
      </c>
      <c r="C390" s="66" t="s">
        <v>24</v>
      </c>
      <c r="D390" s="67" t="s">
        <v>1704</v>
      </c>
      <c r="E390" s="68" t="s">
        <v>1705</v>
      </c>
      <c r="F390" s="66" t="str">
        <f>TRIM(PROPER(Sales_Data!F390))</f>
        <v>Kavya Nair</v>
      </c>
      <c r="G390" s="66" t="s">
        <v>28</v>
      </c>
      <c r="H390" s="66" t="s">
        <v>1706</v>
      </c>
      <c r="I390" s="66" t="s">
        <v>294</v>
      </c>
      <c r="J390" s="66" t="str">
        <f>PROPER(Sales_Data!J390)</f>
        <v>East</v>
      </c>
      <c r="K390" s="66" t="str">
        <f>PROPER(Sales_Data!K390)</f>
        <v>Home Appliances</v>
      </c>
      <c r="L390" s="66" t="s">
        <v>33</v>
      </c>
      <c r="M390" s="66">
        <v>11</v>
      </c>
      <c r="N390" s="66">
        <v>2200</v>
      </c>
      <c r="O390" s="66">
        <v>15</v>
      </c>
      <c r="P390" s="66">
        <v>20570</v>
      </c>
      <c r="Q390" s="66">
        <v>1</v>
      </c>
      <c r="R390" s="66" t="s">
        <v>48</v>
      </c>
      <c r="S390" s="66" t="s">
        <v>115</v>
      </c>
      <c r="T390" s="66" t="s">
        <v>50</v>
      </c>
      <c r="U390" s="69" t="s">
        <v>1707</v>
      </c>
      <c r="V390" s="66" t="s">
        <v>69</v>
      </c>
      <c r="X390" t="str">
        <f>PROPER(Sales_Data!X390)</f>
        <v/>
      </c>
    </row>
    <row r="391" spans="1:24" x14ac:dyDescent="0.3">
      <c r="A391" s="65" t="s">
        <v>1708</v>
      </c>
      <c r="B391" s="66" t="s">
        <v>100</v>
      </c>
      <c r="C391" s="66" t="s">
        <v>222</v>
      </c>
      <c r="D391" s="67" t="s">
        <v>1069</v>
      </c>
      <c r="E391" s="68" t="s">
        <v>1409</v>
      </c>
      <c r="F391" s="66" t="str">
        <f>TRIM(PROPER(Sales_Data!F391))</f>
        <v>Priya Patel</v>
      </c>
      <c r="G391" s="66" t="s">
        <v>28</v>
      </c>
      <c r="H391" s="66" t="s">
        <v>1709</v>
      </c>
      <c r="I391" s="66" t="s">
        <v>114</v>
      </c>
      <c r="J391" s="66" t="str">
        <f>PROPER(Sales_Data!J391)</f>
        <v>West</v>
      </c>
      <c r="K391" s="66" t="str">
        <f>PROPER(Sales_Data!K391)</f>
        <v>Stationery</v>
      </c>
      <c r="L391" s="66" t="s">
        <v>227</v>
      </c>
      <c r="M391" s="66">
        <v>19</v>
      </c>
      <c r="N391" s="66">
        <v>20</v>
      </c>
      <c r="O391" s="66">
        <v>5</v>
      </c>
      <c r="P391" s="66">
        <v>361</v>
      </c>
      <c r="Q391" s="66">
        <v>4</v>
      </c>
      <c r="R391" s="66" t="s">
        <v>88</v>
      </c>
      <c r="S391" s="66" t="s">
        <v>35</v>
      </c>
      <c r="T391" s="66" t="s">
        <v>144</v>
      </c>
      <c r="U391" s="69" t="s">
        <v>1710</v>
      </c>
      <c r="V391" s="66" t="s">
        <v>64</v>
      </c>
      <c r="X391" t="str">
        <f>PROPER(Sales_Data!X391)</f>
        <v/>
      </c>
    </row>
    <row r="392" spans="1:24" x14ac:dyDescent="0.3">
      <c r="A392" s="65" t="s">
        <v>1711</v>
      </c>
      <c r="B392" s="66" t="s">
        <v>100</v>
      </c>
      <c r="C392" s="66" t="s">
        <v>72</v>
      </c>
      <c r="D392" s="67" t="s">
        <v>1712</v>
      </c>
      <c r="E392" s="68" t="s">
        <v>1713</v>
      </c>
      <c r="F392" s="66" t="str">
        <f>TRIM(PROPER(Sales_Data!F392))</f>
        <v>Priya Patel</v>
      </c>
      <c r="G392" s="66" t="s">
        <v>28</v>
      </c>
      <c r="H392" s="66" t="s">
        <v>1714</v>
      </c>
      <c r="I392" s="66" t="s">
        <v>114</v>
      </c>
      <c r="J392" s="66" t="str">
        <f>PROPER(Sales_Data!J392)</f>
        <v>West</v>
      </c>
      <c r="K392" s="66" t="str">
        <f>PROPER(Sales_Data!K392)</f>
        <v>Electronics</v>
      </c>
      <c r="L392" s="66" t="s">
        <v>78</v>
      </c>
      <c r="M392" s="66">
        <v>20</v>
      </c>
      <c r="N392" s="66">
        <v>1200</v>
      </c>
      <c r="O392" s="66">
        <v>15</v>
      </c>
      <c r="P392" s="66">
        <v>20400</v>
      </c>
      <c r="Q392" s="66">
        <v>4</v>
      </c>
      <c r="R392" s="66" t="s">
        <v>79</v>
      </c>
      <c r="S392" s="66" t="s">
        <v>35</v>
      </c>
      <c r="T392" s="66" t="s">
        <v>144</v>
      </c>
      <c r="U392" s="69" t="s">
        <v>1715</v>
      </c>
      <c r="V392" s="66" t="s">
        <v>64</v>
      </c>
      <c r="X392" t="str">
        <f>PROPER(Sales_Data!X392)</f>
        <v/>
      </c>
    </row>
    <row r="393" spans="1:24" x14ac:dyDescent="0.3">
      <c r="A393" s="65" t="s">
        <v>1716</v>
      </c>
      <c r="B393" s="66" t="s">
        <v>53</v>
      </c>
      <c r="C393" s="66" t="s">
        <v>222</v>
      </c>
      <c r="D393" s="67" t="s">
        <v>1717</v>
      </c>
      <c r="E393" s="68" t="s">
        <v>1718</v>
      </c>
      <c r="F393" s="66" t="str">
        <f>TRIM(PROPER(Sales_Data!F393))</f>
        <v>Pooja Shah</v>
      </c>
      <c r="G393" s="66" t="s">
        <v>28</v>
      </c>
      <c r="H393" s="66" t="s">
        <v>1719</v>
      </c>
      <c r="I393" s="66" t="s">
        <v>30</v>
      </c>
      <c r="J393" s="66" t="str">
        <f>PROPER(Sales_Data!J393)</f>
        <v>South</v>
      </c>
      <c r="K393" s="66" t="str">
        <f>PROPER(Sales_Data!K393)</f>
        <v>Stationery</v>
      </c>
      <c r="L393" s="66" t="s">
        <v>227</v>
      </c>
      <c r="M393" s="66">
        <v>13</v>
      </c>
      <c r="N393" s="66">
        <v>20</v>
      </c>
      <c r="O393" s="66">
        <v>15</v>
      </c>
      <c r="P393" s="66">
        <v>221</v>
      </c>
      <c r="Q393" s="66">
        <v>4</v>
      </c>
      <c r="R393" s="66" t="s">
        <v>34</v>
      </c>
      <c r="S393" s="66" t="s">
        <v>35</v>
      </c>
      <c r="T393" s="66" t="s">
        <v>62</v>
      </c>
      <c r="U393" s="69" t="s">
        <v>1720</v>
      </c>
      <c r="V393" s="66" t="s">
        <v>64</v>
      </c>
      <c r="X393" t="str">
        <f>PROPER(Sales_Data!X393)</f>
        <v/>
      </c>
    </row>
    <row r="394" spans="1:24" x14ac:dyDescent="0.3">
      <c r="A394" s="65" t="s">
        <v>1721</v>
      </c>
      <c r="B394" s="66" t="s">
        <v>251</v>
      </c>
      <c r="C394" s="66" t="s">
        <v>72</v>
      </c>
      <c r="D394" s="67">
        <v>45717</v>
      </c>
      <c r="E394" s="68" t="s">
        <v>206</v>
      </c>
      <c r="F394" s="66" t="str">
        <f>TRIM(PROPER(Sales_Data!F394))</f>
        <v>Sneha Joshi</v>
      </c>
      <c r="G394" s="66" t="s">
        <v>28</v>
      </c>
      <c r="H394" s="66" t="s">
        <v>1722</v>
      </c>
      <c r="I394" s="66" t="s">
        <v>44</v>
      </c>
      <c r="J394" s="66" t="str">
        <f>PROPER(Sales_Data!J394)</f>
        <v>North</v>
      </c>
      <c r="K394" s="66" t="str">
        <f>PROPER(Sales_Data!K394)</f>
        <v>Electronics</v>
      </c>
      <c r="L394" s="66" t="s">
        <v>78</v>
      </c>
      <c r="M394" s="66">
        <v>12</v>
      </c>
      <c r="N394" s="66">
        <v>1200</v>
      </c>
      <c r="O394" s="66">
        <v>10</v>
      </c>
      <c r="P394" s="66">
        <v>12960</v>
      </c>
      <c r="Q394" s="66">
        <v>3</v>
      </c>
      <c r="R394" s="66" t="s">
        <v>48</v>
      </c>
      <c r="S394" s="66" t="s">
        <v>35</v>
      </c>
      <c r="T394" s="66" t="s">
        <v>256</v>
      </c>
      <c r="U394" s="69" t="s">
        <v>1723</v>
      </c>
      <c r="V394" s="66" t="s">
        <v>64</v>
      </c>
      <c r="X394" t="str">
        <f>PROPER(Sales_Data!X394)</f>
        <v/>
      </c>
    </row>
    <row r="395" spans="1:24" x14ac:dyDescent="0.3">
      <c r="A395" s="65" t="s">
        <v>1724</v>
      </c>
      <c r="B395" s="66" t="s">
        <v>100</v>
      </c>
      <c r="C395" s="66" t="s">
        <v>169</v>
      </c>
      <c r="D395" s="67" t="s">
        <v>1705</v>
      </c>
      <c r="E395" s="68" t="s">
        <v>783</v>
      </c>
      <c r="F395" s="66" t="str">
        <f>TRIM(PROPER(Sales_Data!F395))</f>
        <v>Priya Patel</v>
      </c>
      <c r="G395" s="66" t="s">
        <v>28</v>
      </c>
      <c r="H395" s="66" t="s">
        <v>1725</v>
      </c>
      <c r="I395" s="66" t="s">
        <v>294</v>
      </c>
      <c r="J395" s="66" t="str">
        <f>PROPER(Sales_Data!J395)</f>
        <v>East</v>
      </c>
      <c r="K395" s="66" t="str">
        <f>PROPER(Sales_Data!K395)</f>
        <v>Home Appliances</v>
      </c>
      <c r="L395" s="66" t="s">
        <v>174</v>
      </c>
      <c r="M395" s="66">
        <v>6</v>
      </c>
      <c r="N395" s="66">
        <v>8500</v>
      </c>
      <c r="O395" s="66">
        <v>5</v>
      </c>
      <c r="P395" s="66">
        <v>48450</v>
      </c>
      <c r="Q395" s="66">
        <v>5</v>
      </c>
      <c r="R395" s="66" t="s">
        <v>34</v>
      </c>
      <c r="S395" s="66" t="s">
        <v>115</v>
      </c>
      <c r="T395" s="66" t="s">
        <v>144</v>
      </c>
      <c r="U395" s="69" t="s">
        <v>1726</v>
      </c>
      <c r="V395" s="66" t="s">
        <v>69</v>
      </c>
      <c r="X395" t="str">
        <f>PROPER(Sales_Data!X395)</f>
        <v/>
      </c>
    </row>
    <row r="396" spans="1:24" x14ac:dyDescent="0.3">
      <c r="A396" s="65" t="s">
        <v>1727</v>
      </c>
      <c r="B396" s="66" t="s">
        <v>23</v>
      </c>
      <c r="C396" s="66" t="s">
        <v>169</v>
      </c>
      <c r="D396" s="67" t="s">
        <v>1302</v>
      </c>
      <c r="E396" s="68" t="s">
        <v>1728</v>
      </c>
      <c r="F396" s="66" t="str">
        <f>TRIM(PROPER(Sales_Data!F396))</f>
        <v>Kavya Nair</v>
      </c>
      <c r="G396" s="66" t="s">
        <v>28</v>
      </c>
      <c r="H396" s="66" t="s">
        <v>1729</v>
      </c>
      <c r="I396" s="66" t="s">
        <v>138</v>
      </c>
      <c r="J396" s="66" t="str">
        <f>PROPER(Sales_Data!J396)</f>
        <v>West</v>
      </c>
      <c r="K396" s="66" t="str">
        <f>PROPER(Sales_Data!K396)</f>
        <v>Home Appliances</v>
      </c>
      <c r="L396" s="66" t="s">
        <v>174</v>
      </c>
      <c r="M396" s="66">
        <v>15</v>
      </c>
      <c r="N396" s="66">
        <v>8500</v>
      </c>
      <c r="O396" s="66">
        <v>10</v>
      </c>
      <c r="P396" s="66">
        <v>114750</v>
      </c>
      <c r="Q396" s="66">
        <v>1</v>
      </c>
      <c r="R396" s="66" t="s">
        <v>34</v>
      </c>
      <c r="S396" s="66" t="s">
        <v>115</v>
      </c>
      <c r="T396" s="66" t="s">
        <v>50</v>
      </c>
      <c r="U396" s="69" t="s">
        <v>1730</v>
      </c>
      <c r="V396" s="66" t="s">
        <v>38</v>
      </c>
      <c r="X396" t="str">
        <f>PROPER(Sales_Data!X396)</f>
        <v/>
      </c>
    </row>
    <row r="397" spans="1:24" x14ac:dyDescent="0.3">
      <c r="A397" s="65" t="s">
        <v>1731</v>
      </c>
      <c r="B397" s="66" t="s">
        <v>127</v>
      </c>
      <c r="C397" s="66" t="s">
        <v>40</v>
      </c>
      <c r="D397" s="67">
        <v>45724</v>
      </c>
      <c r="E397" s="68" t="s">
        <v>1733</v>
      </c>
      <c r="F397" s="66" t="str">
        <f>TRIM(PROPER(Sales_Data!F397))</f>
        <v>Rohit Singh</v>
      </c>
      <c r="G397" s="66" t="s">
        <v>76</v>
      </c>
      <c r="H397" s="66" t="s">
        <v>1734</v>
      </c>
      <c r="I397" s="66" t="s">
        <v>30</v>
      </c>
      <c r="J397" s="66" t="str">
        <f>PROPER(Sales_Data!J397)</f>
        <v>South</v>
      </c>
      <c r="K397" s="66" t="str">
        <f>PROPER(Sales_Data!K397)</f>
        <v>Electronics</v>
      </c>
      <c r="L397" s="66" t="s">
        <v>47</v>
      </c>
      <c r="M397" s="66">
        <v>19</v>
      </c>
      <c r="N397" s="66">
        <v>12000</v>
      </c>
      <c r="O397" s="66">
        <v>20</v>
      </c>
      <c r="P397" s="66">
        <v>182400</v>
      </c>
      <c r="Q397" s="66">
        <v>5</v>
      </c>
      <c r="R397" s="66" t="s">
        <v>34</v>
      </c>
      <c r="S397" s="66" t="s">
        <v>115</v>
      </c>
      <c r="T397" s="66" t="s">
        <v>132</v>
      </c>
      <c r="U397" s="69" t="s">
        <v>1735</v>
      </c>
      <c r="V397" s="66" t="s">
        <v>38</v>
      </c>
      <c r="X397" t="str">
        <f>PROPER(Sales_Data!X397)</f>
        <v/>
      </c>
    </row>
    <row r="398" spans="1:24" x14ac:dyDescent="0.3">
      <c r="A398" s="65" t="s">
        <v>1736</v>
      </c>
      <c r="B398" s="66" t="s">
        <v>83</v>
      </c>
      <c r="C398" s="66" t="s">
        <v>184</v>
      </c>
      <c r="D398" s="67" t="s">
        <v>142</v>
      </c>
      <c r="E398" s="68" t="s">
        <v>1737</v>
      </c>
      <c r="F398" s="66" t="str">
        <f>TRIM(PROPER(Sales_Data!F398))</f>
        <v>Arjun Rao</v>
      </c>
      <c r="G398" s="66" t="s">
        <v>76</v>
      </c>
      <c r="H398" s="66" t="s">
        <v>1738</v>
      </c>
      <c r="I398" s="66" t="s">
        <v>44</v>
      </c>
      <c r="J398" s="66" t="str">
        <f>PROPER(Sales_Data!J398)</f>
        <v>North</v>
      </c>
      <c r="K398" s="66" t="str">
        <f>PROPER(Sales_Data!K398)</f>
        <v>Electronics</v>
      </c>
      <c r="L398" s="66" t="s">
        <v>189</v>
      </c>
      <c r="M398" s="66">
        <v>5</v>
      </c>
      <c r="N398" s="66">
        <v>700</v>
      </c>
      <c r="O398" s="66">
        <v>0</v>
      </c>
      <c r="P398" s="66">
        <v>3500</v>
      </c>
      <c r="Q398" s="66">
        <v>2</v>
      </c>
      <c r="R398" s="66" t="s">
        <v>79</v>
      </c>
      <c r="S398" s="66" t="s">
        <v>61</v>
      </c>
      <c r="T398" s="66" t="s">
        <v>89</v>
      </c>
      <c r="U398" s="69" t="s">
        <v>1739</v>
      </c>
      <c r="V398" s="66" t="s">
        <v>69</v>
      </c>
      <c r="X398" t="str">
        <f>PROPER(Sales_Data!X398)</f>
        <v/>
      </c>
    </row>
    <row r="399" spans="1:24" x14ac:dyDescent="0.3">
      <c r="A399" s="65" t="s">
        <v>1740</v>
      </c>
      <c r="B399" s="66" t="s">
        <v>83</v>
      </c>
      <c r="C399" s="66" t="s">
        <v>40</v>
      </c>
      <c r="D399" s="67" t="s">
        <v>1654</v>
      </c>
      <c r="E399" s="68" t="s">
        <v>765</v>
      </c>
      <c r="F399" s="66" t="str">
        <f>TRIM(PROPER(Sales_Data!F399))</f>
        <v>Arjun Rao</v>
      </c>
      <c r="G399" s="66" t="s">
        <v>76</v>
      </c>
      <c r="H399" s="66" t="s">
        <v>1741</v>
      </c>
      <c r="I399" s="66" t="s">
        <v>294</v>
      </c>
      <c r="J399" s="66" t="str">
        <f>PROPER(Sales_Data!J399)</f>
        <v>East</v>
      </c>
      <c r="K399" s="66" t="str">
        <f>PROPER(Sales_Data!K399)</f>
        <v>Electronics</v>
      </c>
      <c r="L399" s="66" t="s">
        <v>47</v>
      </c>
      <c r="M399" s="66">
        <v>19</v>
      </c>
      <c r="N399" s="66">
        <v>12000</v>
      </c>
      <c r="O399" s="66">
        <v>0</v>
      </c>
      <c r="P399" s="66">
        <v>228000</v>
      </c>
      <c r="Q399" s="66">
        <v>4</v>
      </c>
      <c r="R399" s="66" t="s">
        <v>88</v>
      </c>
      <c r="S399" s="66" t="s">
        <v>61</v>
      </c>
      <c r="T399" s="66" t="s">
        <v>89</v>
      </c>
      <c r="U399" s="69" t="s">
        <v>1742</v>
      </c>
      <c r="V399" s="66" t="s">
        <v>64</v>
      </c>
      <c r="X399" t="str">
        <f>PROPER(Sales_Data!X399)</f>
        <v/>
      </c>
    </row>
    <row r="400" spans="1:24" x14ac:dyDescent="0.3">
      <c r="A400" s="65" t="s">
        <v>1743</v>
      </c>
      <c r="B400" s="66" t="s">
        <v>327</v>
      </c>
      <c r="C400" s="66" t="s">
        <v>184</v>
      </c>
      <c r="D400" s="67" t="s">
        <v>64</v>
      </c>
      <c r="E400" s="68" t="s">
        <v>1225</v>
      </c>
      <c r="F400" s="66" t="str">
        <f>TRIM(PROPER(Sales_Data!F400))</f>
        <v>Amit Sharma</v>
      </c>
      <c r="G400" s="66" t="s">
        <v>76</v>
      </c>
      <c r="H400" s="66" t="s">
        <v>1744</v>
      </c>
      <c r="I400" s="66" t="s">
        <v>59</v>
      </c>
      <c r="J400" s="66" t="str">
        <f>PROPER(Sales_Data!J400)</f>
        <v>South</v>
      </c>
      <c r="K400" s="66" t="str">
        <f>PROPER(Sales_Data!K400)</f>
        <v>Electronics</v>
      </c>
      <c r="L400" s="66" t="s">
        <v>189</v>
      </c>
      <c r="M400" s="66">
        <v>12</v>
      </c>
      <c r="N400" s="66">
        <v>700</v>
      </c>
      <c r="O400" s="66">
        <v>15</v>
      </c>
      <c r="P400" s="66">
        <v>7140</v>
      </c>
      <c r="Q400" s="66">
        <v>3</v>
      </c>
      <c r="R400" s="66" t="s">
        <v>79</v>
      </c>
      <c r="S400" s="66" t="s">
        <v>35</v>
      </c>
      <c r="T400" s="66" t="s">
        <v>332</v>
      </c>
      <c r="U400" s="69" t="s">
        <v>1745</v>
      </c>
      <c r="V400" s="66" t="s">
        <v>38</v>
      </c>
      <c r="X400" t="str">
        <f>PROPER(Sales_Data!X400)</f>
        <v/>
      </c>
    </row>
    <row r="401" spans="1:24" x14ac:dyDescent="0.3">
      <c r="A401" s="65" t="s">
        <v>1746</v>
      </c>
      <c r="B401" s="66" t="s">
        <v>23</v>
      </c>
      <c r="C401" s="66" t="s">
        <v>72</v>
      </c>
      <c r="D401" s="67" t="s">
        <v>1747</v>
      </c>
      <c r="E401" s="68" t="s">
        <v>707</v>
      </c>
      <c r="F401" s="66" t="str">
        <f>TRIM(PROPER(Sales_Data!F401))</f>
        <v>Kavya Nair</v>
      </c>
      <c r="G401" s="66" t="s">
        <v>28</v>
      </c>
      <c r="H401" s="66" t="s">
        <v>1748</v>
      </c>
      <c r="I401" s="66" t="s">
        <v>44</v>
      </c>
      <c r="J401" s="66" t="str">
        <f>PROPER(Sales_Data!J401)</f>
        <v>North</v>
      </c>
      <c r="K401" s="66" t="str">
        <f>PROPER(Sales_Data!K401)</f>
        <v>Electronics</v>
      </c>
      <c r="L401" s="66" t="s">
        <v>78</v>
      </c>
      <c r="M401" s="66">
        <v>16</v>
      </c>
      <c r="N401" s="66">
        <v>1200</v>
      </c>
      <c r="O401" s="66">
        <v>20</v>
      </c>
      <c r="P401" s="66">
        <v>15360</v>
      </c>
      <c r="Q401" s="66">
        <v>1</v>
      </c>
      <c r="R401" s="66" t="s">
        <v>34</v>
      </c>
      <c r="S401" s="66" t="s">
        <v>49</v>
      </c>
      <c r="T401" s="66" t="s">
        <v>50</v>
      </c>
      <c r="U401" s="69" t="s">
        <v>1749</v>
      </c>
      <c r="V401" s="66" t="s">
        <v>64</v>
      </c>
      <c r="X401" t="str">
        <f>PROPER(Sales_Data!X401)</f>
        <v/>
      </c>
    </row>
    <row r="402" spans="1:24" x14ac:dyDescent="0.3">
      <c r="A402" s="65" t="s">
        <v>1750</v>
      </c>
      <c r="B402" s="66" t="s">
        <v>71</v>
      </c>
      <c r="C402" s="66" t="s">
        <v>169</v>
      </c>
      <c r="D402" s="67" t="s">
        <v>1052</v>
      </c>
      <c r="E402" s="68" t="s">
        <v>84</v>
      </c>
      <c r="F402" s="66" t="str">
        <f>TRIM(PROPER(Sales_Data!F402))</f>
        <v>Mohit Verma</v>
      </c>
      <c r="G402" s="66" t="s">
        <v>76</v>
      </c>
      <c r="H402" s="66" t="s">
        <v>1751</v>
      </c>
      <c r="I402" s="66" t="s">
        <v>30</v>
      </c>
      <c r="J402" s="66" t="str">
        <f>PROPER(Sales_Data!J402)</f>
        <v>South</v>
      </c>
      <c r="K402" s="66" t="str">
        <f>PROPER(Sales_Data!K402)</f>
        <v>Home Appliances</v>
      </c>
      <c r="L402" s="66" t="s">
        <v>174</v>
      </c>
      <c r="M402" s="66">
        <v>10</v>
      </c>
      <c r="N402" s="66">
        <v>8500</v>
      </c>
      <c r="O402" s="66">
        <v>5</v>
      </c>
      <c r="P402" s="66">
        <v>80750</v>
      </c>
      <c r="Q402" s="66">
        <v>5</v>
      </c>
      <c r="R402" s="66" t="s">
        <v>48</v>
      </c>
      <c r="S402" s="66" t="s">
        <v>35</v>
      </c>
      <c r="T402" s="66" t="s">
        <v>80</v>
      </c>
      <c r="U402" s="69" t="s">
        <v>1752</v>
      </c>
      <c r="V402" s="66" t="s">
        <v>38</v>
      </c>
      <c r="X402" t="str">
        <f>PROPER(Sales_Data!X402)</f>
        <v/>
      </c>
    </row>
    <row r="403" spans="1:24" x14ac:dyDescent="0.3">
      <c r="A403" s="65" t="s">
        <v>1753</v>
      </c>
      <c r="B403" s="66" t="s">
        <v>23</v>
      </c>
      <c r="C403" s="66" t="s">
        <v>222</v>
      </c>
      <c r="D403" s="67">
        <v>45963</v>
      </c>
      <c r="E403" s="68" t="s">
        <v>386</v>
      </c>
      <c r="F403" s="66" t="str">
        <f>TRIM(PROPER(Sales_Data!F403))</f>
        <v>Kavya Nair</v>
      </c>
      <c r="G403" s="66" t="s">
        <v>28</v>
      </c>
      <c r="H403" s="66" t="s">
        <v>1754</v>
      </c>
      <c r="I403" s="66" t="s">
        <v>138</v>
      </c>
      <c r="J403" s="66" t="str">
        <f>PROPER(Sales_Data!J403)</f>
        <v>West</v>
      </c>
      <c r="K403" s="66" t="str">
        <f>PROPER(Sales_Data!K403)</f>
        <v>Stationery</v>
      </c>
      <c r="L403" s="66" t="s">
        <v>227</v>
      </c>
      <c r="M403" s="66">
        <v>18</v>
      </c>
      <c r="N403" s="66">
        <v>20</v>
      </c>
      <c r="O403" s="66">
        <v>20</v>
      </c>
      <c r="P403" s="66">
        <v>288</v>
      </c>
      <c r="Q403" s="66">
        <v>1</v>
      </c>
      <c r="R403" s="66" t="s">
        <v>88</v>
      </c>
      <c r="S403" s="66" t="s">
        <v>35</v>
      </c>
      <c r="T403" s="66" t="s">
        <v>50</v>
      </c>
      <c r="U403" s="69" t="s">
        <v>1755</v>
      </c>
      <c r="V403" s="66" t="s">
        <v>64</v>
      </c>
      <c r="X403" t="str">
        <f>PROPER(Sales_Data!X403)</f>
        <v/>
      </c>
    </row>
    <row r="404" spans="1:24" x14ac:dyDescent="0.3">
      <c r="A404" s="65" t="s">
        <v>1756</v>
      </c>
      <c r="B404" s="66" t="s">
        <v>71</v>
      </c>
      <c r="C404" s="66" t="s">
        <v>169</v>
      </c>
      <c r="D404" s="67" t="s">
        <v>241</v>
      </c>
      <c r="E404" s="68" t="s">
        <v>404</v>
      </c>
      <c r="F404" s="66" t="str">
        <f>TRIM(PROPER(Sales_Data!F404))</f>
        <v>Mohit Verma</v>
      </c>
      <c r="G404" s="66" t="s">
        <v>76</v>
      </c>
      <c r="H404" s="66" t="s">
        <v>1757</v>
      </c>
      <c r="I404" s="66" t="s">
        <v>105</v>
      </c>
      <c r="J404" s="66" t="str">
        <f>PROPER(Sales_Data!J404)</f>
        <v>West</v>
      </c>
      <c r="K404" s="66" t="str">
        <f>PROPER(Sales_Data!K404)</f>
        <v>Home Appliances</v>
      </c>
      <c r="L404" s="66" t="s">
        <v>174</v>
      </c>
      <c r="M404" s="66">
        <v>9</v>
      </c>
      <c r="N404" s="66">
        <v>8500</v>
      </c>
      <c r="O404" s="66">
        <v>0</v>
      </c>
      <c r="P404" s="66">
        <v>76500</v>
      </c>
      <c r="Q404" s="66">
        <v>2</v>
      </c>
      <c r="R404" s="66" t="s">
        <v>79</v>
      </c>
      <c r="S404" s="66" t="s">
        <v>35</v>
      </c>
      <c r="T404" s="66" t="s">
        <v>80</v>
      </c>
      <c r="U404" s="69" t="s">
        <v>1758</v>
      </c>
      <c r="V404" s="66" t="s">
        <v>64</v>
      </c>
      <c r="X404" t="str">
        <f>PROPER(Sales_Data!X404)</f>
        <v/>
      </c>
    </row>
    <row r="405" spans="1:24" x14ac:dyDescent="0.3">
      <c r="A405" s="65" t="s">
        <v>1759</v>
      </c>
      <c r="B405" s="66" t="s">
        <v>23</v>
      </c>
      <c r="C405" s="66" t="s">
        <v>169</v>
      </c>
      <c r="D405" s="67">
        <v>45667</v>
      </c>
      <c r="E405" s="68" t="s">
        <v>1760</v>
      </c>
      <c r="F405" s="66" t="str">
        <f>TRIM(PROPER(Sales_Data!F405))</f>
        <v>Kavya Nair</v>
      </c>
      <c r="G405" s="66" t="s">
        <v>28</v>
      </c>
      <c r="H405" s="66" t="s">
        <v>1761</v>
      </c>
      <c r="I405" s="66" t="s">
        <v>105</v>
      </c>
      <c r="J405" s="66" t="str">
        <f>PROPER(Sales_Data!J405)</f>
        <v>West</v>
      </c>
      <c r="K405" s="66" t="str">
        <f>PROPER(Sales_Data!K405)</f>
        <v>Home Appliances</v>
      </c>
      <c r="L405" s="66" t="s">
        <v>174</v>
      </c>
      <c r="M405" s="66">
        <v>8</v>
      </c>
      <c r="N405" s="66">
        <v>8500</v>
      </c>
      <c r="O405" s="66">
        <v>10</v>
      </c>
      <c r="P405" s="66">
        <v>61200</v>
      </c>
      <c r="Q405" s="66">
        <v>4</v>
      </c>
      <c r="R405" s="66" t="s">
        <v>34</v>
      </c>
      <c r="S405" s="66" t="s">
        <v>115</v>
      </c>
      <c r="T405" s="66" t="s">
        <v>50</v>
      </c>
      <c r="U405" s="69" t="s">
        <v>1762</v>
      </c>
      <c r="V405" s="66" t="s">
        <v>69</v>
      </c>
      <c r="X405" t="str">
        <f>PROPER(Sales_Data!X405)</f>
        <v/>
      </c>
    </row>
    <row r="406" spans="1:24" x14ac:dyDescent="0.3">
      <c r="A406" s="65" t="s">
        <v>1763</v>
      </c>
      <c r="B406" s="66" t="s">
        <v>53</v>
      </c>
      <c r="C406" s="66" t="s">
        <v>222</v>
      </c>
      <c r="D406" s="67" t="s">
        <v>483</v>
      </c>
      <c r="E406" s="68" t="s">
        <v>1764</v>
      </c>
      <c r="F406" s="66" t="str">
        <f>TRIM(PROPER(Sales_Data!F406))</f>
        <v>Pooja Shah</v>
      </c>
      <c r="G406" s="66" t="s">
        <v>28</v>
      </c>
      <c r="H406" s="66" t="s">
        <v>1765</v>
      </c>
      <c r="I406" s="66" t="s">
        <v>114</v>
      </c>
      <c r="J406" s="66" t="str">
        <f>PROPER(Sales_Data!J406)</f>
        <v>West</v>
      </c>
      <c r="K406" s="66" t="str">
        <f>PROPER(Sales_Data!K406)</f>
        <v>Stationery</v>
      </c>
      <c r="L406" s="66" t="s">
        <v>227</v>
      </c>
      <c r="M406" s="66">
        <v>3</v>
      </c>
      <c r="N406" s="66">
        <v>20</v>
      </c>
      <c r="O406" s="66">
        <v>10</v>
      </c>
      <c r="P406" s="66">
        <v>54</v>
      </c>
      <c r="Q406" s="66">
        <v>3</v>
      </c>
      <c r="R406" s="66" t="s">
        <v>79</v>
      </c>
      <c r="S406" s="66" t="s">
        <v>151</v>
      </c>
      <c r="T406" s="66" t="s">
        <v>62</v>
      </c>
      <c r="U406" s="69" t="s">
        <v>1766</v>
      </c>
      <c r="V406" s="66" t="s">
        <v>64</v>
      </c>
      <c r="X406" t="str">
        <f>PROPER(Sales_Data!X406)</f>
        <v/>
      </c>
    </row>
    <row r="407" spans="1:24" x14ac:dyDescent="0.3">
      <c r="A407" s="65" t="s">
        <v>1767</v>
      </c>
      <c r="B407" s="66" t="s">
        <v>168</v>
      </c>
      <c r="C407" s="66" t="s">
        <v>169</v>
      </c>
      <c r="D407" s="67">
        <v>45695</v>
      </c>
      <c r="E407" s="68" t="s">
        <v>641</v>
      </c>
      <c r="F407" s="66" t="str">
        <f>TRIM(PROPER(Sales_Data!F407))</f>
        <v>Anita Gupta</v>
      </c>
      <c r="G407" s="66" t="s">
        <v>28</v>
      </c>
      <c r="H407" s="66" t="s">
        <v>1768</v>
      </c>
      <c r="I407" s="66" t="s">
        <v>294</v>
      </c>
      <c r="J407" s="66" t="str">
        <f>PROPER(Sales_Data!J407)</f>
        <v>East</v>
      </c>
      <c r="K407" s="66" t="str">
        <f>PROPER(Sales_Data!K407)</f>
        <v>Home Appliances</v>
      </c>
      <c r="L407" s="66" t="s">
        <v>174</v>
      </c>
      <c r="M407" s="66">
        <v>18</v>
      </c>
      <c r="N407" s="66">
        <v>8500</v>
      </c>
      <c r="O407" s="66">
        <v>10</v>
      </c>
      <c r="P407" s="66">
        <v>137700</v>
      </c>
      <c r="Q407" s="66">
        <v>4</v>
      </c>
      <c r="R407" s="66" t="s">
        <v>34</v>
      </c>
      <c r="S407" s="66" t="s">
        <v>49</v>
      </c>
      <c r="T407" s="66" t="s">
        <v>175</v>
      </c>
      <c r="U407" s="69" t="s">
        <v>1769</v>
      </c>
      <c r="V407" s="66" t="s">
        <v>69</v>
      </c>
      <c r="X407" t="str">
        <f>PROPER(Sales_Data!X407)</f>
        <v/>
      </c>
    </row>
    <row r="408" spans="1:24" x14ac:dyDescent="0.3">
      <c r="A408" s="65" t="s">
        <v>1770</v>
      </c>
      <c r="B408" s="66" t="s">
        <v>53</v>
      </c>
      <c r="C408" s="66" t="s">
        <v>259</v>
      </c>
      <c r="D408" s="67">
        <v>45787</v>
      </c>
      <c r="E408" s="68" t="s">
        <v>281</v>
      </c>
      <c r="F408" s="66" t="str">
        <f>TRIM(PROPER(Sales_Data!F408))</f>
        <v>Pooja Shah</v>
      </c>
      <c r="G408" s="66" t="s">
        <v>28</v>
      </c>
      <c r="H408" s="66" t="s">
        <v>1771</v>
      </c>
      <c r="I408" s="66" t="s">
        <v>114</v>
      </c>
      <c r="J408" s="66" t="str">
        <f>PROPER(Sales_Data!J408)</f>
        <v>West</v>
      </c>
      <c r="K408" s="66" t="str">
        <f>PROPER(Sales_Data!K408)</f>
        <v>Stationery</v>
      </c>
      <c r="L408" s="66" t="s">
        <v>263</v>
      </c>
      <c r="M408" s="66">
        <v>5</v>
      </c>
      <c r="N408" s="66">
        <v>45</v>
      </c>
      <c r="O408" s="66">
        <v>10</v>
      </c>
      <c r="P408" s="66">
        <v>202.5</v>
      </c>
      <c r="Q408" s="66">
        <v>3</v>
      </c>
      <c r="R408" s="66" t="s">
        <v>34</v>
      </c>
      <c r="S408" s="66" t="s">
        <v>115</v>
      </c>
      <c r="T408" s="66" t="s">
        <v>62</v>
      </c>
      <c r="U408" s="69" t="s">
        <v>1772</v>
      </c>
      <c r="V408" s="66" t="s">
        <v>64</v>
      </c>
      <c r="X408" t="str">
        <f>PROPER(Sales_Data!X408)</f>
        <v/>
      </c>
    </row>
    <row r="409" spans="1:24" x14ac:dyDescent="0.3">
      <c r="A409" s="65" t="s">
        <v>1773</v>
      </c>
      <c r="B409" s="66" t="s">
        <v>71</v>
      </c>
      <c r="C409" s="66" t="s">
        <v>259</v>
      </c>
      <c r="D409" s="67" t="s">
        <v>683</v>
      </c>
      <c r="E409" s="68" t="s">
        <v>684</v>
      </c>
      <c r="F409" s="66" t="str">
        <f>TRIM(PROPER(Sales_Data!F409))</f>
        <v>Mohit Verma</v>
      </c>
      <c r="G409" s="66" t="s">
        <v>76</v>
      </c>
      <c r="H409" s="66" t="s">
        <v>1774</v>
      </c>
      <c r="I409" s="66" t="s">
        <v>105</v>
      </c>
      <c r="J409" s="66" t="str">
        <f>PROPER(Sales_Data!J409)</f>
        <v>West</v>
      </c>
      <c r="K409" s="66" t="str">
        <f>PROPER(Sales_Data!K409)</f>
        <v>Stationery</v>
      </c>
      <c r="L409" s="66" t="s">
        <v>263</v>
      </c>
      <c r="M409" s="66">
        <v>2</v>
      </c>
      <c r="N409" s="66">
        <v>45</v>
      </c>
      <c r="O409" s="66">
        <v>20</v>
      </c>
      <c r="P409" s="66">
        <v>72</v>
      </c>
      <c r="Q409" s="66">
        <v>5</v>
      </c>
      <c r="R409" s="66" t="s">
        <v>88</v>
      </c>
      <c r="S409" s="66" t="s">
        <v>61</v>
      </c>
      <c r="T409" s="66" t="s">
        <v>80</v>
      </c>
      <c r="U409" s="69" t="s">
        <v>1775</v>
      </c>
      <c r="V409" s="66" t="s">
        <v>69</v>
      </c>
      <c r="X409" t="str">
        <f>PROPER(Sales_Data!X409)</f>
        <v/>
      </c>
    </row>
    <row r="410" spans="1:24" x14ac:dyDescent="0.3">
      <c r="A410" s="65" t="s">
        <v>1776</v>
      </c>
      <c r="B410" s="66" t="s">
        <v>100</v>
      </c>
      <c r="C410" s="66" t="s">
        <v>259</v>
      </c>
      <c r="D410" s="67" t="s">
        <v>1379</v>
      </c>
      <c r="E410" s="68" t="s">
        <v>900</v>
      </c>
      <c r="F410" s="66" t="str">
        <f>TRIM(PROPER(Sales_Data!F410))</f>
        <v>Priya Patel</v>
      </c>
      <c r="G410" s="66" t="s">
        <v>28</v>
      </c>
      <c r="H410" s="66" t="s">
        <v>1777</v>
      </c>
      <c r="I410" s="66" t="s">
        <v>30</v>
      </c>
      <c r="J410" s="66" t="str">
        <f>PROPER(Sales_Data!J410)</f>
        <v>South</v>
      </c>
      <c r="K410" s="66" t="str">
        <f>PROPER(Sales_Data!K410)</f>
        <v>Stationery</v>
      </c>
      <c r="L410" s="66" t="s">
        <v>263</v>
      </c>
      <c r="M410" s="66">
        <v>18</v>
      </c>
      <c r="N410" s="66">
        <v>45</v>
      </c>
      <c r="O410" s="66">
        <v>10</v>
      </c>
      <c r="P410" s="66">
        <v>729</v>
      </c>
      <c r="Q410" s="66">
        <v>2</v>
      </c>
      <c r="R410" s="66" t="s">
        <v>48</v>
      </c>
      <c r="S410" s="66" t="s">
        <v>115</v>
      </c>
      <c r="T410" s="66" t="s">
        <v>144</v>
      </c>
      <c r="U410" s="69" t="s">
        <v>1778</v>
      </c>
      <c r="V410" s="66" t="s">
        <v>64</v>
      </c>
      <c r="X410" t="str">
        <f>PROPER(Sales_Data!X410)</f>
        <v/>
      </c>
    </row>
    <row r="411" spans="1:24" x14ac:dyDescent="0.3">
      <c r="A411" s="65" t="s">
        <v>1779</v>
      </c>
      <c r="B411" s="66" t="s">
        <v>127</v>
      </c>
      <c r="C411" s="66" t="s">
        <v>72</v>
      </c>
      <c r="D411" s="67" t="s">
        <v>463</v>
      </c>
      <c r="E411" s="68" t="s">
        <v>216</v>
      </c>
      <c r="F411" s="66" t="str">
        <f>TRIM(PROPER(Sales_Data!F411))</f>
        <v>Rohit Singh</v>
      </c>
      <c r="G411" s="66" t="s">
        <v>76</v>
      </c>
      <c r="H411" s="66" t="s">
        <v>1780</v>
      </c>
      <c r="I411" s="66" t="s">
        <v>294</v>
      </c>
      <c r="J411" s="66" t="str">
        <f>PROPER(Sales_Data!J411)</f>
        <v>East</v>
      </c>
      <c r="K411" s="66" t="str">
        <f>PROPER(Sales_Data!K411)</f>
        <v>Electronics</v>
      </c>
      <c r="L411" s="66" t="s">
        <v>78</v>
      </c>
      <c r="M411" s="66">
        <v>13</v>
      </c>
      <c r="N411" s="66">
        <v>1200</v>
      </c>
      <c r="O411" s="66">
        <v>5</v>
      </c>
      <c r="P411" s="66">
        <v>14820</v>
      </c>
      <c r="Q411" s="66">
        <v>4</v>
      </c>
      <c r="R411" s="66" t="s">
        <v>79</v>
      </c>
      <c r="S411" s="66" t="s">
        <v>115</v>
      </c>
      <c r="T411" s="66" t="s">
        <v>132</v>
      </c>
      <c r="U411" s="69" t="s">
        <v>1781</v>
      </c>
      <c r="V411" s="66" t="s">
        <v>38</v>
      </c>
      <c r="X411" t="str">
        <f>PROPER(Sales_Data!X411)</f>
        <v/>
      </c>
    </row>
    <row r="412" spans="1:24" x14ac:dyDescent="0.3">
      <c r="A412" s="65" t="s">
        <v>1782</v>
      </c>
      <c r="B412" s="66" t="s">
        <v>23</v>
      </c>
      <c r="C412" s="66" t="s">
        <v>222</v>
      </c>
      <c r="D412" s="67">
        <v>46331</v>
      </c>
      <c r="E412" s="68" t="s">
        <v>1783</v>
      </c>
      <c r="F412" s="66" t="str">
        <f>TRIM(PROPER(Sales_Data!F412))</f>
        <v>Kavya Nair</v>
      </c>
      <c r="G412" s="66" t="s">
        <v>28</v>
      </c>
      <c r="H412" s="66" t="s">
        <v>1784</v>
      </c>
      <c r="I412" s="66" t="s">
        <v>30</v>
      </c>
      <c r="J412" s="66" t="str">
        <f>PROPER(Sales_Data!J412)</f>
        <v>South</v>
      </c>
      <c r="K412" s="66" t="str">
        <f>PROPER(Sales_Data!K412)</f>
        <v>Stationery</v>
      </c>
      <c r="L412" s="66" t="s">
        <v>227</v>
      </c>
      <c r="M412" s="66">
        <v>14</v>
      </c>
      <c r="N412" s="66">
        <v>20</v>
      </c>
      <c r="O412" s="66">
        <v>20</v>
      </c>
      <c r="P412" s="66">
        <v>224</v>
      </c>
      <c r="Q412" s="66">
        <v>5</v>
      </c>
      <c r="R412" s="66" t="s">
        <v>88</v>
      </c>
      <c r="S412" s="66" t="s">
        <v>49</v>
      </c>
      <c r="T412" s="66" t="s">
        <v>50</v>
      </c>
      <c r="U412" s="69" t="s">
        <v>1785</v>
      </c>
      <c r="V412" s="66" t="s">
        <v>64</v>
      </c>
      <c r="X412" t="str">
        <f>PROPER(Sales_Data!X412)</f>
        <v/>
      </c>
    </row>
    <row r="413" spans="1:24" x14ac:dyDescent="0.3">
      <c r="A413" s="65" t="s">
        <v>1786</v>
      </c>
      <c r="B413" s="66" t="s">
        <v>100</v>
      </c>
      <c r="C413" s="66" t="s">
        <v>92</v>
      </c>
      <c r="D413" s="67">
        <v>46328</v>
      </c>
      <c r="E413" s="68" t="s">
        <v>1689</v>
      </c>
      <c r="F413" s="66" t="str">
        <f>TRIM(PROPER(Sales_Data!F413))</f>
        <v>Priya Patel</v>
      </c>
      <c r="G413" s="66" t="s">
        <v>28</v>
      </c>
      <c r="H413" s="66" t="s">
        <v>1788</v>
      </c>
      <c r="I413" s="66" t="s">
        <v>30</v>
      </c>
      <c r="J413" s="66" t="str">
        <f>PROPER(Sales_Data!J413)</f>
        <v>South</v>
      </c>
      <c r="K413" s="66" t="str">
        <f>PROPER(Sales_Data!K413)</f>
        <v>Home Appliances</v>
      </c>
      <c r="L413" s="66" t="s">
        <v>97</v>
      </c>
      <c r="M413" s="66">
        <v>16</v>
      </c>
      <c r="N413" s="66">
        <v>3500</v>
      </c>
      <c r="O413" s="66">
        <v>15</v>
      </c>
      <c r="P413" s="66">
        <v>47600</v>
      </c>
      <c r="Q413" s="66">
        <v>3</v>
      </c>
      <c r="R413" s="66" t="s">
        <v>88</v>
      </c>
      <c r="S413" s="66" t="s">
        <v>61</v>
      </c>
      <c r="T413" s="66" t="s">
        <v>144</v>
      </c>
      <c r="U413" s="69" t="s">
        <v>1789</v>
      </c>
      <c r="V413" s="66" t="s">
        <v>69</v>
      </c>
      <c r="X413" t="str">
        <f>PROPER(Sales_Data!X413)</f>
        <v/>
      </c>
    </row>
    <row r="414" spans="1:24" x14ac:dyDescent="0.3">
      <c r="A414" s="65" t="s">
        <v>1790</v>
      </c>
      <c r="B414" s="66" t="s">
        <v>251</v>
      </c>
      <c r="C414" s="66" t="s">
        <v>222</v>
      </c>
      <c r="D414" s="67" t="s">
        <v>987</v>
      </c>
      <c r="E414" s="68" t="s">
        <v>1110</v>
      </c>
      <c r="F414" s="66" t="str">
        <f>TRIM(PROPER(Sales_Data!F414))</f>
        <v>Sneha Joshi</v>
      </c>
      <c r="G414" s="66" t="s">
        <v>28</v>
      </c>
      <c r="H414" s="66" t="s">
        <v>1791</v>
      </c>
      <c r="I414" s="66" t="s">
        <v>59</v>
      </c>
      <c r="J414" s="66" t="str">
        <f>PROPER(Sales_Data!J414)</f>
        <v>South</v>
      </c>
      <c r="K414" s="66" t="str">
        <f>PROPER(Sales_Data!K414)</f>
        <v>Stationery</v>
      </c>
      <c r="L414" s="66" t="s">
        <v>227</v>
      </c>
      <c r="M414" s="66">
        <v>20</v>
      </c>
      <c r="N414" s="66">
        <v>20</v>
      </c>
      <c r="O414" s="66">
        <v>15</v>
      </c>
      <c r="P414" s="66">
        <v>340</v>
      </c>
      <c r="Q414" s="66">
        <v>1</v>
      </c>
      <c r="R414" s="66" t="s">
        <v>48</v>
      </c>
      <c r="S414" s="66" t="s">
        <v>61</v>
      </c>
      <c r="T414" s="66" t="s">
        <v>256</v>
      </c>
      <c r="U414" s="69" t="s">
        <v>1792</v>
      </c>
      <c r="V414" s="66" t="s">
        <v>69</v>
      </c>
      <c r="X414" t="str">
        <f>PROPER(Sales_Data!X414)</f>
        <v/>
      </c>
    </row>
    <row r="415" spans="1:24" x14ac:dyDescent="0.3">
      <c r="A415" s="65" t="s">
        <v>1793</v>
      </c>
      <c r="B415" s="66" t="s">
        <v>168</v>
      </c>
      <c r="C415" s="66" t="s">
        <v>54</v>
      </c>
      <c r="D415" s="67">
        <v>45904</v>
      </c>
      <c r="E415" s="68" t="s">
        <v>666</v>
      </c>
      <c r="F415" s="66" t="str">
        <f>TRIM(PROPER(Sales_Data!F415))</f>
        <v>Anita Gupta</v>
      </c>
      <c r="G415" s="66" t="s">
        <v>28</v>
      </c>
      <c r="H415" s="66" t="s">
        <v>1794</v>
      </c>
      <c r="I415" s="66" t="s">
        <v>138</v>
      </c>
      <c r="J415" s="66" t="str">
        <f>PROPER(Sales_Data!J415)</f>
        <v>West</v>
      </c>
      <c r="K415" s="66" t="str">
        <f>PROPER(Sales_Data!K415)</f>
        <v>Electronics</v>
      </c>
      <c r="L415" s="66" t="s">
        <v>60</v>
      </c>
      <c r="M415" s="66">
        <v>1</v>
      </c>
      <c r="N415" s="66">
        <v>55000</v>
      </c>
      <c r="O415" s="66">
        <v>15</v>
      </c>
      <c r="P415" s="66">
        <v>46750</v>
      </c>
      <c r="Q415" s="66">
        <v>2</v>
      </c>
      <c r="R415" s="66" t="s">
        <v>88</v>
      </c>
      <c r="S415" s="66" t="s">
        <v>115</v>
      </c>
      <c r="T415" s="66" t="s">
        <v>175</v>
      </c>
      <c r="U415" s="69" t="s">
        <v>1795</v>
      </c>
      <c r="V415" s="66" t="s">
        <v>69</v>
      </c>
      <c r="X415" t="str">
        <f>PROPER(Sales_Data!X415)</f>
        <v/>
      </c>
    </row>
    <row r="416" spans="1:24" x14ac:dyDescent="0.3">
      <c r="A416" s="65" t="s">
        <v>1796</v>
      </c>
      <c r="B416" s="66" t="s">
        <v>100</v>
      </c>
      <c r="C416" s="66" t="s">
        <v>118</v>
      </c>
      <c r="D416" s="67" t="s">
        <v>142</v>
      </c>
      <c r="E416" s="68" t="s">
        <v>620</v>
      </c>
      <c r="F416" s="66" t="str">
        <f>TRIM(PROPER(Sales_Data!F416))</f>
        <v>Priya Patel</v>
      </c>
      <c r="G416" s="66" t="s">
        <v>28</v>
      </c>
      <c r="H416" s="66" t="s">
        <v>1797</v>
      </c>
      <c r="I416" s="66" t="s">
        <v>138</v>
      </c>
      <c r="J416" s="66" t="str">
        <f>PROPER(Sales_Data!J416)</f>
        <v>West</v>
      </c>
      <c r="K416" s="66" t="str">
        <f>PROPER(Sales_Data!K416)</f>
        <v>Stationery</v>
      </c>
      <c r="L416" s="66" t="s">
        <v>123</v>
      </c>
      <c r="M416" s="66">
        <v>15</v>
      </c>
      <c r="N416" s="66">
        <v>60</v>
      </c>
      <c r="O416" s="66">
        <v>5</v>
      </c>
      <c r="P416" s="66">
        <v>855</v>
      </c>
      <c r="Q416" s="66">
        <v>4</v>
      </c>
      <c r="R416" s="66" t="s">
        <v>48</v>
      </c>
      <c r="S416" s="66" t="s">
        <v>61</v>
      </c>
      <c r="T416" s="66" t="s">
        <v>144</v>
      </c>
      <c r="U416" s="69" t="s">
        <v>1798</v>
      </c>
      <c r="V416" s="66" t="s">
        <v>38</v>
      </c>
      <c r="X416" t="str">
        <f>PROPER(Sales_Data!X416)</f>
        <v/>
      </c>
    </row>
    <row r="417" spans="1:24" x14ac:dyDescent="0.3">
      <c r="A417" s="65" t="s">
        <v>1799</v>
      </c>
      <c r="B417" s="66" t="s">
        <v>83</v>
      </c>
      <c r="C417" s="66" t="s">
        <v>184</v>
      </c>
      <c r="D417" s="67" t="s">
        <v>1800</v>
      </c>
      <c r="E417" s="68" t="s">
        <v>66</v>
      </c>
      <c r="F417" s="66" t="str">
        <f>TRIM(PROPER(Sales_Data!F417))</f>
        <v>Arjun Rao</v>
      </c>
      <c r="G417" s="66" t="s">
        <v>76</v>
      </c>
      <c r="H417" s="66" t="s">
        <v>1801</v>
      </c>
      <c r="I417" s="66" t="s">
        <v>105</v>
      </c>
      <c r="J417" s="66" t="str">
        <f>PROPER(Sales_Data!J417)</f>
        <v>West</v>
      </c>
      <c r="K417" s="66" t="str">
        <f>PROPER(Sales_Data!K417)</f>
        <v>Electronics</v>
      </c>
      <c r="L417" s="66" t="s">
        <v>189</v>
      </c>
      <c r="M417" s="66">
        <v>15</v>
      </c>
      <c r="N417" s="66">
        <v>700</v>
      </c>
      <c r="O417" s="66">
        <v>0</v>
      </c>
      <c r="P417" s="66">
        <v>10500</v>
      </c>
      <c r="Q417" s="66">
        <v>5</v>
      </c>
      <c r="R417" s="66" t="s">
        <v>48</v>
      </c>
      <c r="S417" s="66" t="s">
        <v>115</v>
      </c>
      <c r="T417" s="66" t="s">
        <v>89</v>
      </c>
      <c r="U417" s="69" t="s">
        <v>1802</v>
      </c>
      <c r="V417" s="66" t="s">
        <v>38</v>
      </c>
      <c r="X417" t="str">
        <f>PROPER(Sales_Data!X417)</f>
        <v/>
      </c>
    </row>
    <row r="418" spans="1:24" x14ac:dyDescent="0.3">
      <c r="A418" s="65" t="s">
        <v>1803</v>
      </c>
      <c r="B418" s="66" t="s">
        <v>221</v>
      </c>
      <c r="C418" s="66" t="s">
        <v>40</v>
      </c>
      <c r="D418" s="67">
        <v>46143</v>
      </c>
      <c r="E418" s="68" t="s">
        <v>440</v>
      </c>
      <c r="F418" s="66" t="str">
        <f>TRIM(PROPER(Sales_Data!F418))</f>
        <v>Vikas Mehta</v>
      </c>
      <c r="G418" s="66" t="s">
        <v>76</v>
      </c>
      <c r="H418" s="66" t="s">
        <v>1804</v>
      </c>
      <c r="I418" s="66" t="s">
        <v>294</v>
      </c>
      <c r="J418" s="66" t="str">
        <f>PROPER(Sales_Data!J418)</f>
        <v>East</v>
      </c>
      <c r="K418" s="66" t="str">
        <f>PROPER(Sales_Data!K418)</f>
        <v>Electronics</v>
      </c>
      <c r="L418" s="66" t="s">
        <v>47</v>
      </c>
      <c r="M418" s="66">
        <v>13</v>
      </c>
      <c r="N418" s="66">
        <v>12000</v>
      </c>
      <c r="O418" s="66">
        <v>10</v>
      </c>
      <c r="P418" s="66">
        <v>140400</v>
      </c>
      <c r="Q418" s="66">
        <v>1</v>
      </c>
      <c r="R418" s="66" t="s">
        <v>34</v>
      </c>
      <c r="S418" s="66" t="s">
        <v>151</v>
      </c>
      <c r="T418" s="66" t="s">
        <v>228</v>
      </c>
      <c r="U418" s="69" t="s">
        <v>1805</v>
      </c>
      <c r="V418" s="66" t="s">
        <v>69</v>
      </c>
      <c r="X418" t="str">
        <f>PROPER(Sales_Data!X418)</f>
        <v/>
      </c>
    </row>
    <row r="419" spans="1:24" x14ac:dyDescent="0.3">
      <c r="A419" s="65" t="s">
        <v>1806</v>
      </c>
      <c r="B419" s="66" t="s">
        <v>83</v>
      </c>
      <c r="C419" s="66" t="s">
        <v>40</v>
      </c>
      <c r="D419" s="67" t="s">
        <v>1807</v>
      </c>
      <c r="E419" s="68" t="s">
        <v>1081</v>
      </c>
      <c r="F419" s="66" t="str">
        <f>TRIM(PROPER(Sales_Data!F419))</f>
        <v>Arjun Rao</v>
      </c>
      <c r="G419" s="66" t="s">
        <v>76</v>
      </c>
      <c r="H419" s="66" t="s">
        <v>1808</v>
      </c>
      <c r="I419" s="66" t="s">
        <v>30</v>
      </c>
      <c r="J419" s="66" t="str">
        <f>PROPER(Sales_Data!J419)</f>
        <v>South</v>
      </c>
      <c r="K419" s="66" t="str">
        <f>PROPER(Sales_Data!K419)</f>
        <v>Electronics</v>
      </c>
      <c r="L419" s="66" t="s">
        <v>47</v>
      </c>
      <c r="M419" s="66">
        <v>12</v>
      </c>
      <c r="N419" s="66">
        <v>12000</v>
      </c>
      <c r="O419" s="66">
        <v>20</v>
      </c>
      <c r="P419" s="66">
        <v>115200</v>
      </c>
      <c r="Q419" s="66">
        <v>2</v>
      </c>
      <c r="R419" s="66" t="s">
        <v>34</v>
      </c>
      <c r="S419" s="66" t="s">
        <v>35</v>
      </c>
      <c r="T419" s="66" t="s">
        <v>89</v>
      </c>
      <c r="U419" s="69" t="s">
        <v>1809</v>
      </c>
      <c r="V419" s="66" t="s">
        <v>38</v>
      </c>
      <c r="X419" t="str">
        <f>PROPER(Sales_Data!X419)</f>
        <v/>
      </c>
    </row>
    <row r="420" spans="1:24" x14ac:dyDescent="0.3">
      <c r="A420" s="65" t="s">
        <v>1810</v>
      </c>
      <c r="B420" s="66" t="s">
        <v>83</v>
      </c>
      <c r="C420" s="66" t="s">
        <v>259</v>
      </c>
      <c r="D420" s="67" t="s">
        <v>119</v>
      </c>
      <c r="E420" s="68" t="s">
        <v>1298</v>
      </c>
      <c r="F420" s="66" t="str">
        <f>TRIM(PROPER(Sales_Data!F420))</f>
        <v>Arjun Rao</v>
      </c>
      <c r="G420" s="66" t="s">
        <v>76</v>
      </c>
      <c r="H420" s="66" t="s">
        <v>1811</v>
      </c>
      <c r="I420" s="66" t="s">
        <v>105</v>
      </c>
      <c r="J420" s="66" t="str">
        <f>PROPER(Sales_Data!J420)</f>
        <v>West</v>
      </c>
      <c r="K420" s="66" t="str">
        <f>PROPER(Sales_Data!K420)</f>
        <v>Stationery</v>
      </c>
      <c r="L420" s="66" t="s">
        <v>263</v>
      </c>
      <c r="M420" s="66">
        <v>10</v>
      </c>
      <c r="N420" s="66">
        <v>45</v>
      </c>
      <c r="O420" s="66">
        <v>0</v>
      </c>
      <c r="P420" s="66">
        <v>450</v>
      </c>
      <c r="Q420" s="66">
        <v>5</v>
      </c>
      <c r="R420" s="66" t="s">
        <v>79</v>
      </c>
      <c r="S420" s="66" t="s">
        <v>115</v>
      </c>
      <c r="T420" s="66" t="s">
        <v>89</v>
      </c>
      <c r="U420" s="69" t="s">
        <v>1812</v>
      </c>
      <c r="V420" s="66" t="s">
        <v>69</v>
      </c>
      <c r="X420" t="str">
        <f>PROPER(Sales_Data!X420)</f>
        <v/>
      </c>
    </row>
    <row r="421" spans="1:24" x14ac:dyDescent="0.3">
      <c r="A421" s="65" t="s">
        <v>1813</v>
      </c>
      <c r="B421" s="66" t="s">
        <v>127</v>
      </c>
      <c r="C421" s="66" t="s">
        <v>72</v>
      </c>
      <c r="D421" s="67" t="s">
        <v>41</v>
      </c>
      <c r="E421" s="68" t="s">
        <v>596</v>
      </c>
      <c r="F421" s="66" t="str">
        <f>TRIM(PROPER(Sales_Data!F421))</f>
        <v>Rohit Singh</v>
      </c>
      <c r="G421" s="66" t="s">
        <v>76</v>
      </c>
      <c r="H421" s="66" t="s">
        <v>1814</v>
      </c>
      <c r="I421" s="66" t="s">
        <v>105</v>
      </c>
      <c r="J421" s="66" t="str">
        <f>PROPER(Sales_Data!J421)</f>
        <v>West</v>
      </c>
      <c r="K421" s="66" t="str">
        <f>PROPER(Sales_Data!K421)</f>
        <v>Electronics</v>
      </c>
      <c r="L421" s="66" t="s">
        <v>78</v>
      </c>
      <c r="M421" s="66">
        <v>20</v>
      </c>
      <c r="N421" s="66">
        <v>1200</v>
      </c>
      <c r="O421" s="66">
        <v>20</v>
      </c>
      <c r="P421" s="66">
        <v>19200</v>
      </c>
      <c r="Q421" s="66">
        <v>5</v>
      </c>
      <c r="R421" s="66" t="s">
        <v>48</v>
      </c>
      <c r="S421" s="66" t="s">
        <v>61</v>
      </c>
      <c r="T421" s="66" t="s">
        <v>132</v>
      </c>
      <c r="U421" s="69" t="s">
        <v>1815</v>
      </c>
      <c r="V421" s="66" t="s">
        <v>69</v>
      </c>
      <c r="X421" t="str">
        <f>PROPER(Sales_Data!X421)</f>
        <v/>
      </c>
    </row>
    <row r="422" spans="1:24" x14ac:dyDescent="0.3">
      <c r="A422" s="65" t="s">
        <v>1816</v>
      </c>
      <c r="B422" s="66" t="s">
        <v>71</v>
      </c>
      <c r="C422" s="66" t="s">
        <v>72</v>
      </c>
      <c r="D422" s="67" t="s">
        <v>128</v>
      </c>
      <c r="E422" s="68" t="s">
        <v>1817</v>
      </c>
      <c r="F422" s="66" t="str">
        <f>TRIM(PROPER(Sales_Data!F422))</f>
        <v>Mohit Verma</v>
      </c>
      <c r="G422" s="66" t="s">
        <v>76</v>
      </c>
      <c r="H422" s="66" t="s">
        <v>1818</v>
      </c>
      <c r="I422" s="66" t="s">
        <v>114</v>
      </c>
      <c r="J422" s="66" t="str">
        <f>PROPER(Sales_Data!J422)</f>
        <v>West</v>
      </c>
      <c r="K422" s="66" t="str">
        <f>PROPER(Sales_Data!K422)</f>
        <v>Electronics</v>
      </c>
      <c r="L422" s="66" t="s">
        <v>78</v>
      </c>
      <c r="M422" s="66">
        <v>8</v>
      </c>
      <c r="N422" s="66">
        <v>1200</v>
      </c>
      <c r="O422" s="66">
        <v>10</v>
      </c>
      <c r="P422" s="66">
        <v>8640</v>
      </c>
      <c r="Q422" s="66">
        <v>4</v>
      </c>
      <c r="R422" s="66" t="s">
        <v>48</v>
      </c>
      <c r="S422" s="66" t="s">
        <v>61</v>
      </c>
      <c r="T422" s="66" t="s">
        <v>80</v>
      </c>
      <c r="U422" s="69" t="s">
        <v>1819</v>
      </c>
      <c r="V422" s="66" t="s">
        <v>38</v>
      </c>
      <c r="X422" t="str">
        <f>PROPER(Sales_Data!X422)</f>
        <v/>
      </c>
    </row>
    <row r="423" spans="1:24" x14ac:dyDescent="0.3">
      <c r="A423" s="65" t="s">
        <v>1820</v>
      </c>
      <c r="B423" s="66" t="s">
        <v>127</v>
      </c>
      <c r="C423" s="66" t="s">
        <v>72</v>
      </c>
      <c r="D423" s="67" t="s">
        <v>1085</v>
      </c>
      <c r="E423" s="68" t="s">
        <v>1086</v>
      </c>
      <c r="F423" s="66" t="str">
        <f>TRIM(PROPER(Sales_Data!F423))</f>
        <v>Rohit Singh</v>
      </c>
      <c r="G423" s="66" t="s">
        <v>76</v>
      </c>
      <c r="H423" s="66" t="s">
        <v>1821</v>
      </c>
      <c r="I423" s="66" t="s">
        <v>212</v>
      </c>
      <c r="J423" s="66" t="str">
        <f>PROPER(Sales_Data!J423)</f>
        <v>North</v>
      </c>
      <c r="K423" s="66" t="str">
        <f>PROPER(Sales_Data!K423)</f>
        <v>Electronics</v>
      </c>
      <c r="L423" s="66" t="s">
        <v>78</v>
      </c>
      <c r="M423" s="66">
        <v>8</v>
      </c>
      <c r="N423" s="66">
        <v>1200</v>
      </c>
      <c r="O423" s="66">
        <v>10</v>
      </c>
      <c r="P423" s="66">
        <v>8640</v>
      </c>
      <c r="Q423" s="66">
        <v>5</v>
      </c>
      <c r="R423" s="66" t="s">
        <v>79</v>
      </c>
      <c r="S423" s="66" t="s">
        <v>49</v>
      </c>
      <c r="T423" s="66" t="s">
        <v>132</v>
      </c>
      <c r="U423" s="69" t="s">
        <v>1822</v>
      </c>
      <c r="V423" s="66" t="s">
        <v>69</v>
      </c>
      <c r="X423" t="str">
        <f>PROPER(Sales_Data!X423)</f>
        <v/>
      </c>
    </row>
    <row r="424" spans="1:24" x14ac:dyDescent="0.3">
      <c r="A424" s="65" t="s">
        <v>1823</v>
      </c>
      <c r="B424" s="66" t="s">
        <v>327</v>
      </c>
      <c r="C424" s="66" t="s">
        <v>24</v>
      </c>
      <c r="D424" s="67" t="s">
        <v>1824</v>
      </c>
      <c r="E424" s="68" t="s">
        <v>1444</v>
      </c>
      <c r="F424" s="66" t="str">
        <f>TRIM(PROPER(Sales_Data!F424))</f>
        <v>Amit Sharma</v>
      </c>
      <c r="G424" s="66" t="s">
        <v>76</v>
      </c>
      <c r="H424" s="66" t="s">
        <v>1825</v>
      </c>
      <c r="I424" s="66" t="s">
        <v>212</v>
      </c>
      <c r="J424" s="66" t="str">
        <f>PROPER(Sales_Data!J424)</f>
        <v>North</v>
      </c>
      <c r="K424" s="66" t="str">
        <f>PROPER(Sales_Data!K424)</f>
        <v>Home Appliances</v>
      </c>
      <c r="L424" s="66" t="s">
        <v>33</v>
      </c>
      <c r="M424" s="66">
        <v>9</v>
      </c>
      <c r="N424" s="66">
        <v>2200</v>
      </c>
      <c r="O424" s="66">
        <v>20</v>
      </c>
      <c r="P424" s="66">
        <v>15840</v>
      </c>
      <c r="Q424" s="66">
        <v>1</v>
      </c>
      <c r="R424" s="66" t="s">
        <v>48</v>
      </c>
      <c r="S424" s="66" t="s">
        <v>115</v>
      </c>
      <c r="T424" s="66" t="s">
        <v>332</v>
      </c>
      <c r="U424" s="69" t="s">
        <v>1826</v>
      </c>
      <c r="V424" s="66" t="s">
        <v>38</v>
      </c>
      <c r="X424" t="str">
        <f>PROPER(Sales_Data!X424)</f>
        <v/>
      </c>
    </row>
    <row r="425" spans="1:24" x14ac:dyDescent="0.3">
      <c r="A425" s="65" t="s">
        <v>1827</v>
      </c>
      <c r="B425" s="66" t="s">
        <v>127</v>
      </c>
      <c r="C425" s="66" t="s">
        <v>222</v>
      </c>
      <c r="D425" s="67">
        <v>45992</v>
      </c>
      <c r="E425" s="68" t="s">
        <v>760</v>
      </c>
      <c r="F425" s="66" t="str">
        <f>TRIM(PROPER(Sales_Data!F425))</f>
        <v>Rohit Singh</v>
      </c>
      <c r="G425" s="66" t="s">
        <v>76</v>
      </c>
      <c r="H425" s="66" t="s">
        <v>1828</v>
      </c>
      <c r="I425" s="66" t="s">
        <v>294</v>
      </c>
      <c r="J425" s="66" t="str">
        <f>PROPER(Sales_Data!J425)</f>
        <v>East</v>
      </c>
      <c r="K425" s="66" t="str">
        <f>PROPER(Sales_Data!K425)</f>
        <v>Stationery</v>
      </c>
      <c r="L425" s="66" t="s">
        <v>227</v>
      </c>
      <c r="M425" s="66">
        <v>8</v>
      </c>
      <c r="N425" s="66">
        <v>20</v>
      </c>
      <c r="O425" s="66">
        <v>20</v>
      </c>
      <c r="P425" s="66">
        <v>128</v>
      </c>
      <c r="Q425" s="66">
        <v>4</v>
      </c>
      <c r="R425" s="66" t="s">
        <v>34</v>
      </c>
      <c r="S425" s="66" t="s">
        <v>35</v>
      </c>
      <c r="T425" s="66" t="s">
        <v>132</v>
      </c>
      <c r="U425" s="69" t="s">
        <v>1829</v>
      </c>
      <c r="V425" s="66" t="s">
        <v>69</v>
      </c>
      <c r="X425" t="str">
        <f>PROPER(Sales_Data!X425)</f>
        <v/>
      </c>
    </row>
    <row r="426" spans="1:24" x14ac:dyDescent="0.3">
      <c r="A426" s="65" t="s">
        <v>1830</v>
      </c>
      <c r="B426" s="66" t="s">
        <v>221</v>
      </c>
      <c r="C426" s="66" t="s">
        <v>54</v>
      </c>
      <c r="D426" s="67" t="s">
        <v>1176</v>
      </c>
      <c r="E426" s="68" t="s">
        <v>1831</v>
      </c>
      <c r="F426" s="66" t="str">
        <f>TRIM(PROPER(Sales_Data!F426))</f>
        <v>Vikas Mehta</v>
      </c>
      <c r="G426" s="66" t="s">
        <v>76</v>
      </c>
      <c r="H426" s="66" t="s">
        <v>1006</v>
      </c>
      <c r="I426" s="66" t="s">
        <v>114</v>
      </c>
      <c r="J426" s="66" t="str">
        <f>PROPER(Sales_Data!J426)</f>
        <v>West</v>
      </c>
      <c r="K426" s="66" t="str">
        <f>PROPER(Sales_Data!K426)</f>
        <v>Electronics</v>
      </c>
      <c r="L426" s="66" t="s">
        <v>60</v>
      </c>
      <c r="M426" s="66">
        <v>5</v>
      </c>
      <c r="N426" s="66">
        <v>55000</v>
      </c>
      <c r="O426" s="66">
        <v>0</v>
      </c>
      <c r="P426" s="66">
        <v>275000</v>
      </c>
      <c r="Q426" s="66">
        <v>1</v>
      </c>
      <c r="R426" s="66" t="s">
        <v>79</v>
      </c>
      <c r="S426" s="66" t="s">
        <v>115</v>
      </c>
      <c r="T426" s="66" t="s">
        <v>228</v>
      </c>
      <c r="U426" s="69" t="s">
        <v>1832</v>
      </c>
      <c r="V426" s="66" t="s">
        <v>38</v>
      </c>
      <c r="X426" t="str">
        <f>PROPER(Sales_Data!X426)</f>
        <v/>
      </c>
    </row>
    <row r="427" spans="1:24" x14ac:dyDescent="0.3">
      <c r="A427" s="65" t="s">
        <v>1833</v>
      </c>
      <c r="B427" s="66" t="s">
        <v>100</v>
      </c>
      <c r="C427" s="66" t="s">
        <v>72</v>
      </c>
      <c r="D427" s="67" t="s">
        <v>1834</v>
      </c>
      <c r="E427" s="68" t="s">
        <v>636</v>
      </c>
      <c r="F427" s="66" t="str">
        <f>TRIM(PROPER(Sales_Data!F427))</f>
        <v>Priya Patel</v>
      </c>
      <c r="G427" s="66" t="s">
        <v>28</v>
      </c>
      <c r="H427" s="66" t="s">
        <v>1835</v>
      </c>
      <c r="I427" s="66" t="s">
        <v>105</v>
      </c>
      <c r="J427" s="66" t="str">
        <f>PROPER(Sales_Data!J427)</f>
        <v>West</v>
      </c>
      <c r="K427" s="66" t="str">
        <f>PROPER(Sales_Data!K427)</f>
        <v>Electronics</v>
      </c>
      <c r="L427" s="66" t="s">
        <v>78</v>
      </c>
      <c r="M427" s="66">
        <v>13</v>
      </c>
      <c r="N427" s="66">
        <v>1200</v>
      </c>
      <c r="O427" s="66">
        <v>5</v>
      </c>
      <c r="P427" s="66">
        <v>14820</v>
      </c>
      <c r="Q427" s="66">
        <v>2</v>
      </c>
      <c r="R427" s="66" t="s">
        <v>79</v>
      </c>
      <c r="S427" s="66" t="s">
        <v>35</v>
      </c>
      <c r="T427" s="66" t="s">
        <v>144</v>
      </c>
      <c r="U427" s="69" t="s">
        <v>1836</v>
      </c>
      <c r="V427" s="66" t="s">
        <v>69</v>
      </c>
      <c r="X427" t="str">
        <f>PROPER(Sales_Data!X427)</f>
        <v/>
      </c>
    </row>
    <row r="428" spans="1:24" x14ac:dyDescent="0.3">
      <c r="A428" s="65" t="s">
        <v>1837</v>
      </c>
      <c r="B428" s="66" t="s">
        <v>83</v>
      </c>
      <c r="C428" s="66" t="s">
        <v>169</v>
      </c>
      <c r="D428" s="67" t="s">
        <v>1484</v>
      </c>
      <c r="E428" s="68" t="s">
        <v>1838</v>
      </c>
      <c r="F428" s="66" t="str">
        <f>TRIM(PROPER(Sales_Data!F428))</f>
        <v>Arjun Rao</v>
      </c>
      <c r="G428" s="66" t="s">
        <v>76</v>
      </c>
      <c r="H428" s="66" t="s">
        <v>1839</v>
      </c>
      <c r="I428" s="66" t="s">
        <v>212</v>
      </c>
      <c r="J428" s="66" t="str">
        <f>PROPER(Sales_Data!J428)</f>
        <v>North</v>
      </c>
      <c r="K428" s="66" t="str">
        <f>PROPER(Sales_Data!K428)</f>
        <v>Home Appliances</v>
      </c>
      <c r="L428" s="66" t="s">
        <v>174</v>
      </c>
      <c r="M428" s="66">
        <v>13</v>
      </c>
      <c r="N428" s="66">
        <v>8500</v>
      </c>
      <c r="O428" s="66">
        <v>20</v>
      </c>
      <c r="P428" s="66">
        <v>88400</v>
      </c>
      <c r="Q428" s="66">
        <v>5</v>
      </c>
      <c r="R428" s="66" t="s">
        <v>34</v>
      </c>
      <c r="S428" s="66" t="s">
        <v>49</v>
      </c>
      <c r="T428" s="66" t="s">
        <v>89</v>
      </c>
      <c r="U428" s="69" t="s">
        <v>1840</v>
      </c>
      <c r="V428" s="66" t="s">
        <v>64</v>
      </c>
      <c r="X428" t="str">
        <f>PROPER(Sales_Data!X428)</f>
        <v/>
      </c>
    </row>
    <row r="429" spans="1:24" x14ac:dyDescent="0.3">
      <c r="A429" s="65" t="s">
        <v>1841</v>
      </c>
      <c r="B429" s="66" t="s">
        <v>71</v>
      </c>
      <c r="C429" s="66" t="s">
        <v>118</v>
      </c>
      <c r="D429" s="67">
        <v>45749</v>
      </c>
      <c r="E429" s="68" t="s">
        <v>1842</v>
      </c>
      <c r="F429" s="66" t="str">
        <f>TRIM(PROPER(Sales_Data!F429))</f>
        <v>Mohit Verma</v>
      </c>
      <c r="G429" s="66" t="s">
        <v>76</v>
      </c>
      <c r="H429" s="66" t="s">
        <v>1843</v>
      </c>
      <c r="I429" s="66" t="s">
        <v>114</v>
      </c>
      <c r="J429" s="66" t="str">
        <f>PROPER(Sales_Data!J429)</f>
        <v>West</v>
      </c>
      <c r="K429" s="66" t="str">
        <f>PROPER(Sales_Data!K429)</f>
        <v>Stationery</v>
      </c>
      <c r="L429" s="66" t="s">
        <v>123</v>
      </c>
      <c r="M429" s="66">
        <v>14</v>
      </c>
      <c r="N429" s="66">
        <v>60</v>
      </c>
      <c r="O429" s="66">
        <v>10</v>
      </c>
      <c r="P429" s="66">
        <v>756</v>
      </c>
      <c r="Q429" s="66">
        <v>1</v>
      </c>
      <c r="R429" s="66" t="s">
        <v>34</v>
      </c>
      <c r="S429" s="66" t="s">
        <v>61</v>
      </c>
      <c r="T429" s="66" t="s">
        <v>80</v>
      </c>
      <c r="U429" s="69" t="s">
        <v>1844</v>
      </c>
      <c r="V429" s="66" t="s">
        <v>69</v>
      </c>
      <c r="X429" t="str">
        <f>PROPER(Sales_Data!X429)</f>
        <v/>
      </c>
    </row>
    <row r="430" spans="1:24" x14ac:dyDescent="0.3">
      <c r="A430" s="65" t="s">
        <v>1845</v>
      </c>
      <c r="B430" s="66" t="s">
        <v>251</v>
      </c>
      <c r="C430" s="66" t="s">
        <v>24</v>
      </c>
      <c r="D430" s="67" t="s">
        <v>336</v>
      </c>
      <c r="E430" s="68" t="s">
        <v>606</v>
      </c>
      <c r="F430" s="66" t="str">
        <f>TRIM(PROPER(Sales_Data!F430))</f>
        <v>Sneha Joshi</v>
      </c>
      <c r="G430" s="66" t="s">
        <v>28</v>
      </c>
      <c r="H430" s="66" t="s">
        <v>1846</v>
      </c>
      <c r="I430" s="66" t="s">
        <v>59</v>
      </c>
      <c r="J430" s="66" t="str">
        <f>PROPER(Sales_Data!J430)</f>
        <v>South</v>
      </c>
      <c r="K430" s="66" t="str">
        <f>PROPER(Sales_Data!K430)</f>
        <v>Home Appliances</v>
      </c>
      <c r="L430" s="66" t="s">
        <v>33</v>
      </c>
      <c r="M430" s="66">
        <v>15</v>
      </c>
      <c r="N430" s="66">
        <v>2200</v>
      </c>
      <c r="O430" s="66">
        <v>0</v>
      </c>
      <c r="P430" s="66">
        <v>33000</v>
      </c>
      <c r="Q430" s="66">
        <v>1</v>
      </c>
      <c r="R430" s="66" t="s">
        <v>34</v>
      </c>
      <c r="S430" s="66" t="s">
        <v>61</v>
      </c>
      <c r="T430" s="66" t="s">
        <v>256</v>
      </c>
      <c r="U430" s="69" t="s">
        <v>1847</v>
      </c>
      <c r="V430" s="66" t="s">
        <v>38</v>
      </c>
      <c r="X430" t="str">
        <f>PROPER(Sales_Data!X430)</f>
        <v/>
      </c>
    </row>
    <row r="431" spans="1:24" x14ac:dyDescent="0.3">
      <c r="A431" s="65" t="s">
        <v>1848</v>
      </c>
      <c r="B431" s="66" t="s">
        <v>83</v>
      </c>
      <c r="C431" s="66" t="s">
        <v>118</v>
      </c>
      <c r="D431" s="67" t="s">
        <v>1849</v>
      </c>
      <c r="E431" s="68" t="s">
        <v>1850</v>
      </c>
      <c r="F431" s="66" t="str">
        <f>TRIM(PROPER(Sales_Data!F431))</f>
        <v>Arjun Rao</v>
      </c>
      <c r="G431" s="66" t="s">
        <v>76</v>
      </c>
      <c r="H431" s="66" t="s">
        <v>1851</v>
      </c>
      <c r="I431" s="66" t="s">
        <v>212</v>
      </c>
      <c r="J431" s="66" t="str">
        <f>PROPER(Sales_Data!J431)</f>
        <v>North</v>
      </c>
      <c r="K431" s="66" t="str">
        <f>PROPER(Sales_Data!K431)</f>
        <v>Stationery</v>
      </c>
      <c r="L431" s="66" t="s">
        <v>123</v>
      </c>
      <c r="M431" s="66">
        <v>19</v>
      </c>
      <c r="N431" s="66">
        <v>60</v>
      </c>
      <c r="O431" s="66">
        <v>20</v>
      </c>
      <c r="P431" s="66">
        <v>912</v>
      </c>
      <c r="Q431" s="66">
        <v>3</v>
      </c>
      <c r="R431" s="66" t="s">
        <v>34</v>
      </c>
      <c r="S431" s="66" t="s">
        <v>151</v>
      </c>
      <c r="T431" s="66" t="s">
        <v>89</v>
      </c>
      <c r="U431" s="69" t="s">
        <v>1852</v>
      </c>
      <c r="V431" s="66" t="s">
        <v>64</v>
      </c>
      <c r="X431" t="str">
        <f>PROPER(Sales_Data!X431)</f>
        <v/>
      </c>
    </row>
    <row r="432" spans="1:24" x14ac:dyDescent="0.3">
      <c r="A432" s="65" t="s">
        <v>1853</v>
      </c>
      <c r="B432" s="66" t="s">
        <v>53</v>
      </c>
      <c r="C432" s="66" t="s">
        <v>259</v>
      </c>
      <c r="D432" s="67">
        <v>46001</v>
      </c>
      <c r="E432" s="68" t="s">
        <v>341</v>
      </c>
      <c r="F432" s="66" t="str">
        <f>TRIM(PROPER(Sales_Data!F432))</f>
        <v>Pooja Shah</v>
      </c>
      <c r="G432" s="66" t="s">
        <v>28</v>
      </c>
      <c r="H432" s="66" t="s">
        <v>1854</v>
      </c>
      <c r="I432" s="66" t="s">
        <v>212</v>
      </c>
      <c r="J432" s="66" t="str">
        <f>PROPER(Sales_Data!J432)</f>
        <v>North</v>
      </c>
      <c r="K432" s="66" t="str">
        <f>PROPER(Sales_Data!K432)</f>
        <v>Stationery</v>
      </c>
      <c r="L432" s="66" t="s">
        <v>263</v>
      </c>
      <c r="M432" s="66">
        <v>13</v>
      </c>
      <c r="N432" s="66">
        <v>45</v>
      </c>
      <c r="O432" s="66">
        <v>15</v>
      </c>
      <c r="P432" s="66">
        <v>497.25</v>
      </c>
      <c r="Q432" s="66">
        <v>2</v>
      </c>
      <c r="R432" s="66" t="s">
        <v>34</v>
      </c>
      <c r="S432" s="66" t="s">
        <v>49</v>
      </c>
      <c r="T432" s="66" t="s">
        <v>62</v>
      </c>
      <c r="U432" s="69" t="s">
        <v>1855</v>
      </c>
      <c r="V432" s="66" t="s">
        <v>38</v>
      </c>
      <c r="X432" t="str">
        <f>PROPER(Sales_Data!X432)</f>
        <v/>
      </c>
    </row>
    <row r="433" spans="1:24" x14ac:dyDescent="0.3">
      <c r="A433" s="65" t="s">
        <v>1856</v>
      </c>
      <c r="B433" s="66" t="s">
        <v>251</v>
      </c>
      <c r="C433" s="66" t="s">
        <v>40</v>
      </c>
      <c r="D433" s="67" t="s">
        <v>998</v>
      </c>
      <c r="E433" s="68" t="s">
        <v>1128</v>
      </c>
      <c r="F433" s="66" t="str">
        <f>TRIM(PROPER(Sales_Data!F433))</f>
        <v>Sneha Joshi</v>
      </c>
      <c r="G433" s="66" t="s">
        <v>28</v>
      </c>
      <c r="H433" s="66" t="s">
        <v>1857</v>
      </c>
      <c r="I433" s="66" t="s">
        <v>105</v>
      </c>
      <c r="J433" s="66" t="str">
        <f>PROPER(Sales_Data!J433)</f>
        <v>West</v>
      </c>
      <c r="K433" s="66" t="str">
        <f>PROPER(Sales_Data!K433)</f>
        <v>Electronics</v>
      </c>
      <c r="L433" s="66" t="s">
        <v>47</v>
      </c>
      <c r="M433" s="66">
        <v>7</v>
      </c>
      <c r="N433" s="66">
        <v>12000</v>
      </c>
      <c r="O433" s="66">
        <v>5</v>
      </c>
      <c r="P433" s="66">
        <v>79800</v>
      </c>
      <c r="Q433" s="66">
        <v>4</v>
      </c>
      <c r="R433" s="66" t="s">
        <v>79</v>
      </c>
      <c r="S433" s="66" t="s">
        <v>151</v>
      </c>
      <c r="T433" s="66" t="s">
        <v>256</v>
      </c>
      <c r="U433" s="69" t="s">
        <v>1858</v>
      </c>
      <c r="V433" s="66" t="s">
        <v>69</v>
      </c>
      <c r="X433" t="str">
        <f>PROPER(Sales_Data!X433)</f>
        <v/>
      </c>
    </row>
    <row r="434" spans="1:24" x14ac:dyDescent="0.3">
      <c r="A434" s="65" t="s">
        <v>1859</v>
      </c>
      <c r="B434" s="66" t="s">
        <v>327</v>
      </c>
      <c r="C434" s="66" t="s">
        <v>222</v>
      </c>
      <c r="D434" s="67">
        <v>46300</v>
      </c>
      <c r="E434" s="68"/>
      <c r="F434" s="66" t="str">
        <f>TRIM(PROPER(Sales_Data!F434))</f>
        <v>Amit Sharma</v>
      </c>
      <c r="G434" s="66" t="s">
        <v>76</v>
      </c>
      <c r="H434" s="66" t="s">
        <v>1860</v>
      </c>
      <c r="I434" s="66" t="s">
        <v>294</v>
      </c>
      <c r="J434" s="66" t="str">
        <f>PROPER(Sales_Data!J434)</f>
        <v>East</v>
      </c>
      <c r="K434" s="66" t="str">
        <f>PROPER(Sales_Data!K434)</f>
        <v>Stationery</v>
      </c>
      <c r="L434" s="66" t="s">
        <v>227</v>
      </c>
      <c r="M434" s="66">
        <v>8</v>
      </c>
      <c r="N434" s="66">
        <v>20</v>
      </c>
      <c r="O434" s="66">
        <v>0</v>
      </c>
      <c r="P434" s="66">
        <v>160</v>
      </c>
      <c r="Q434" s="66">
        <v>4</v>
      </c>
      <c r="R434" s="66" t="s">
        <v>79</v>
      </c>
      <c r="S434" s="66" t="s">
        <v>61</v>
      </c>
      <c r="T434" s="66" t="s">
        <v>332</v>
      </c>
      <c r="U434" s="69" t="s">
        <v>1861</v>
      </c>
      <c r="V434" s="66" t="s">
        <v>64</v>
      </c>
      <c r="X434" t="str">
        <f>PROPER(Sales_Data!X434)</f>
        <v/>
      </c>
    </row>
    <row r="435" spans="1:24" x14ac:dyDescent="0.3">
      <c r="A435" s="65" t="s">
        <v>1862</v>
      </c>
      <c r="B435" s="66" t="s">
        <v>23</v>
      </c>
      <c r="C435" s="66" t="s">
        <v>92</v>
      </c>
      <c r="D435" s="67">
        <v>45659</v>
      </c>
      <c r="E435" s="68" t="s">
        <v>900</v>
      </c>
      <c r="F435" s="66" t="str">
        <f>TRIM(PROPER(Sales_Data!F435))</f>
        <v>Kavya Nair</v>
      </c>
      <c r="G435" s="66" t="s">
        <v>28</v>
      </c>
      <c r="H435" s="66" t="s">
        <v>1864</v>
      </c>
      <c r="I435" s="66" t="s">
        <v>294</v>
      </c>
      <c r="J435" s="66" t="str">
        <f>PROPER(Sales_Data!J435)</f>
        <v>East</v>
      </c>
      <c r="K435" s="66" t="str">
        <f>PROPER(Sales_Data!K435)</f>
        <v>Home Appliances</v>
      </c>
      <c r="L435" s="66" t="s">
        <v>97</v>
      </c>
      <c r="M435" s="66">
        <v>16</v>
      </c>
      <c r="N435" s="66">
        <v>3500</v>
      </c>
      <c r="O435" s="66">
        <v>5</v>
      </c>
      <c r="P435" s="66">
        <v>53200</v>
      </c>
      <c r="Q435" s="66">
        <v>1</v>
      </c>
      <c r="R435" s="66" t="s">
        <v>79</v>
      </c>
      <c r="S435" s="66" t="s">
        <v>61</v>
      </c>
      <c r="T435" s="66" t="s">
        <v>50</v>
      </c>
      <c r="U435" s="69" t="s">
        <v>1865</v>
      </c>
      <c r="V435" s="66" t="s">
        <v>69</v>
      </c>
      <c r="X435" t="str">
        <f>PROPER(Sales_Data!X435)</f>
        <v/>
      </c>
    </row>
    <row r="436" spans="1:24" x14ac:dyDescent="0.3">
      <c r="A436" s="65" t="s">
        <v>1866</v>
      </c>
      <c r="B436" s="66" t="s">
        <v>327</v>
      </c>
      <c r="C436" s="66" t="s">
        <v>169</v>
      </c>
      <c r="D436" s="67" t="s">
        <v>1867</v>
      </c>
      <c r="E436" s="68" t="s">
        <v>1157</v>
      </c>
      <c r="F436" s="66" t="str">
        <f>TRIM(PROPER(Sales_Data!F436))</f>
        <v>Amit Sharma</v>
      </c>
      <c r="G436" s="66" t="s">
        <v>76</v>
      </c>
      <c r="H436" s="66" t="s">
        <v>1868</v>
      </c>
      <c r="I436" s="66" t="s">
        <v>105</v>
      </c>
      <c r="J436" s="66" t="str">
        <f>PROPER(Sales_Data!J436)</f>
        <v>West</v>
      </c>
      <c r="K436" s="66" t="str">
        <f>PROPER(Sales_Data!K436)</f>
        <v>Home Appliances</v>
      </c>
      <c r="L436" s="66" t="s">
        <v>174</v>
      </c>
      <c r="M436" s="66">
        <v>12</v>
      </c>
      <c r="N436" s="66">
        <v>8500</v>
      </c>
      <c r="O436" s="66">
        <v>10</v>
      </c>
      <c r="P436" s="66">
        <v>91800</v>
      </c>
      <c r="Q436" s="66">
        <v>3</v>
      </c>
      <c r="R436" s="66" t="s">
        <v>79</v>
      </c>
      <c r="S436" s="66" t="s">
        <v>35</v>
      </c>
      <c r="T436" s="66" t="s">
        <v>332</v>
      </c>
      <c r="U436" s="69" t="s">
        <v>1869</v>
      </c>
      <c r="V436" s="66" t="s">
        <v>38</v>
      </c>
      <c r="X436" t="str">
        <f>PROPER(Sales_Data!X436)</f>
        <v/>
      </c>
    </row>
    <row r="437" spans="1:24" x14ac:dyDescent="0.3">
      <c r="A437" s="65" t="s">
        <v>1870</v>
      </c>
      <c r="B437" s="66" t="s">
        <v>23</v>
      </c>
      <c r="C437" s="66" t="s">
        <v>118</v>
      </c>
      <c r="D437" s="67" t="s">
        <v>539</v>
      </c>
      <c r="E437" s="68" t="s">
        <v>1114</v>
      </c>
      <c r="F437" s="66" t="str">
        <f>TRIM(PROPER(Sales_Data!F437))</f>
        <v>Kavya Nair</v>
      </c>
      <c r="G437" s="66" t="s">
        <v>28</v>
      </c>
      <c r="H437" s="66" t="s">
        <v>1871</v>
      </c>
      <c r="I437" s="66" t="s">
        <v>138</v>
      </c>
      <c r="J437" s="66" t="str">
        <f>PROPER(Sales_Data!J437)</f>
        <v>West</v>
      </c>
      <c r="K437" s="66" t="str">
        <f>PROPER(Sales_Data!K437)</f>
        <v>Stationery</v>
      </c>
      <c r="L437" s="66" t="s">
        <v>123</v>
      </c>
      <c r="M437" s="66">
        <v>1</v>
      </c>
      <c r="N437" s="66">
        <v>60</v>
      </c>
      <c r="O437" s="66">
        <v>20</v>
      </c>
      <c r="P437" s="66">
        <v>48</v>
      </c>
      <c r="Q437" s="66">
        <v>2</v>
      </c>
      <c r="R437" s="66" t="s">
        <v>79</v>
      </c>
      <c r="S437" s="66" t="s">
        <v>151</v>
      </c>
      <c r="T437" s="66" t="s">
        <v>50</v>
      </c>
      <c r="U437" s="69" t="s">
        <v>1872</v>
      </c>
      <c r="V437" s="66" t="s">
        <v>38</v>
      </c>
      <c r="X437" t="str">
        <f>PROPER(Sales_Data!X437)</f>
        <v/>
      </c>
    </row>
    <row r="438" spans="1:24" x14ac:dyDescent="0.3">
      <c r="A438" s="65" t="s">
        <v>1873</v>
      </c>
      <c r="B438" s="66" t="s">
        <v>127</v>
      </c>
      <c r="C438" s="66" t="s">
        <v>118</v>
      </c>
      <c r="D438" s="67">
        <v>45819</v>
      </c>
      <c r="E438" s="68" t="s">
        <v>535</v>
      </c>
      <c r="F438" s="66" t="str">
        <f>TRIM(PROPER(Sales_Data!F438))</f>
        <v>Rohit Singh</v>
      </c>
      <c r="G438" s="66" t="s">
        <v>76</v>
      </c>
      <c r="H438" s="66" t="s">
        <v>1874</v>
      </c>
      <c r="I438" s="66" t="s">
        <v>30</v>
      </c>
      <c r="J438" s="66" t="str">
        <f>PROPER(Sales_Data!J438)</f>
        <v>South</v>
      </c>
      <c r="K438" s="66" t="str">
        <f>PROPER(Sales_Data!K438)</f>
        <v>Stationery</v>
      </c>
      <c r="L438" s="66" t="s">
        <v>123</v>
      </c>
      <c r="M438" s="66">
        <v>3</v>
      </c>
      <c r="N438" s="66">
        <v>60</v>
      </c>
      <c r="O438" s="66">
        <v>15</v>
      </c>
      <c r="P438" s="66">
        <v>153</v>
      </c>
      <c r="Q438" s="66">
        <v>4</v>
      </c>
      <c r="R438" s="66" t="s">
        <v>79</v>
      </c>
      <c r="S438" s="66" t="s">
        <v>35</v>
      </c>
      <c r="T438" s="66" t="s">
        <v>132</v>
      </c>
      <c r="U438" s="69" t="s">
        <v>1875</v>
      </c>
      <c r="V438" s="66" t="s">
        <v>38</v>
      </c>
      <c r="X438" t="str">
        <f>PROPER(Sales_Data!X438)</f>
        <v/>
      </c>
    </row>
    <row r="439" spans="1:24" x14ac:dyDescent="0.3">
      <c r="A439" s="65" t="s">
        <v>1876</v>
      </c>
      <c r="B439" s="66" t="s">
        <v>100</v>
      </c>
      <c r="C439" s="66" t="s">
        <v>184</v>
      </c>
      <c r="D439" s="67" t="s">
        <v>568</v>
      </c>
      <c r="E439" s="68" t="s">
        <v>119</v>
      </c>
      <c r="F439" s="66" t="str">
        <f>TRIM(PROPER(Sales_Data!F439))</f>
        <v>Priya Patel</v>
      </c>
      <c r="G439" s="66" t="s">
        <v>28</v>
      </c>
      <c r="H439" s="66" t="s">
        <v>1877</v>
      </c>
      <c r="I439" s="66" t="s">
        <v>294</v>
      </c>
      <c r="J439" s="66" t="str">
        <f>PROPER(Sales_Data!J439)</f>
        <v>East</v>
      </c>
      <c r="K439" s="66" t="str">
        <f>PROPER(Sales_Data!K439)</f>
        <v>Electronics</v>
      </c>
      <c r="L439" s="66" t="s">
        <v>189</v>
      </c>
      <c r="M439" s="66">
        <v>10</v>
      </c>
      <c r="N439" s="66">
        <v>700</v>
      </c>
      <c r="O439" s="66">
        <v>15</v>
      </c>
      <c r="P439" s="66">
        <v>5950</v>
      </c>
      <c r="Q439" s="66">
        <v>3</v>
      </c>
      <c r="R439" s="66" t="s">
        <v>48</v>
      </c>
      <c r="S439" s="66" t="s">
        <v>35</v>
      </c>
      <c r="T439" s="66" t="s">
        <v>144</v>
      </c>
      <c r="U439" s="69" t="s">
        <v>1878</v>
      </c>
      <c r="V439" s="66" t="s">
        <v>64</v>
      </c>
      <c r="X439" t="str">
        <f>PROPER(Sales_Data!X439)</f>
        <v/>
      </c>
    </row>
    <row r="440" spans="1:24" x14ac:dyDescent="0.3">
      <c r="A440" s="65" t="s">
        <v>1879</v>
      </c>
      <c r="B440" s="66" t="s">
        <v>83</v>
      </c>
      <c r="C440" s="66" t="s">
        <v>222</v>
      </c>
      <c r="D440" s="67" t="s">
        <v>1880</v>
      </c>
      <c r="E440" s="68" t="s">
        <v>1881</v>
      </c>
      <c r="F440" s="66" t="str">
        <f>TRIM(PROPER(Sales_Data!F440))</f>
        <v>Arjun Rao</v>
      </c>
      <c r="G440" s="66" t="s">
        <v>76</v>
      </c>
      <c r="H440" s="66" t="s">
        <v>1882</v>
      </c>
      <c r="I440" s="66" t="s">
        <v>138</v>
      </c>
      <c r="J440" s="66" t="str">
        <f>PROPER(Sales_Data!J440)</f>
        <v>West</v>
      </c>
      <c r="K440" s="66" t="str">
        <f>PROPER(Sales_Data!K440)</f>
        <v>Stationery</v>
      </c>
      <c r="L440" s="66" t="s">
        <v>227</v>
      </c>
      <c r="M440" s="66">
        <v>2</v>
      </c>
      <c r="N440" s="66">
        <v>20</v>
      </c>
      <c r="O440" s="66">
        <v>10</v>
      </c>
      <c r="P440" s="66">
        <v>36</v>
      </c>
      <c r="Q440" s="66">
        <v>2</v>
      </c>
      <c r="R440" s="66" t="s">
        <v>88</v>
      </c>
      <c r="S440" s="66" t="s">
        <v>61</v>
      </c>
      <c r="T440" s="66" t="s">
        <v>89</v>
      </c>
      <c r="U440" s="69" t="s">
        <v>1883</v>
      </c>
      <c r="V440" s="66" t="s">
        <v>38</v>
      </c>
      <c r="X440" t="str">
        <f>PROPER(Sales_Data!X440)</f>
        <v/>
      </c>
    </row>
    <row r="441" spans="1:24" x14ac:dyDescent="0.3">
      <c r="A441" s="65" t="s">
        <v>1884</v>
      </c>
      <c r="B441" s="66" t="s">
        <v>83</v>
      </c>
      <c r="C441" s="66" t="s">
        <v>222</v>
      </c>
      <c r="D441" s="67" t="s">
        <v>1885</v>
      </c>
      <c r="E441" s="68" t="s">
        <v>1199</v>
      </c>
      <c r="F441" s="66" t="str">
        <f>TRIM(PROPER(Sales_Data!F441))</f>
        <v>Arjun Rao</v>
      </c>
      <c r="G441" s="66" t="s">
        <v>76</v>
      </c>
      <c r="H441" s="66" t="s">
        <v>1886</v>
      </c>
      <c r="I441" s="66" t="s">
        <v>44</v>
      </c>
      <c r="J441" s="66" t="str">
        <f>PROPER(Sales_Data!J441)</f>
        <v>North</v>
      </c>
      <c r="K441" s="66" t="str">
        <f>PROPER(Sales_Data!K441)</f>
        <v>Stationery</v>
      </c>
      <c r="L441" s="66" t="s">
        <v>227</v>
      </c>
      <c r="M441" s="66">
        <v>14</v>
      </c>
      <c r="N441" s="66">
        <v>20</v>
      </c>
      <c r="O441" s="66">
        <v>20</v>
      </c>
      <c r="P441" s="66">
        <v>224</v>
      </c>
      <c r="Q441" s="66">
        <v>5</v>
      </c>
      <c r="R441" s="66" t="s">
        <v>34</v>
      </c>
      <c r="S441" s="66" t="s">
        <v>151</v>
      </c>
      <c r="T441" s="66" t="s">
        <v>89</v>
      </c>
      <c r="U441" s="69" t="s">
        <v>1887</v>
      </c>
      <c r="V441" s="66" t="s">
        <v>64</v>
      </c>
      <c r="X441" t="str">
        <f>PROPER(Sales_Data!X441)</f>
        <v/>
      </c>
    </row>
    <row r="442" spans="1:24" x14ac:dyDescent="0.3">
      <c r="A442" s="65" t="s">
        <v>1888</v>
      </c>
      <c r="B442" s="66" t="s">
        <v>327</v>
      </c>
      <c r="C442" s="66" t="s">
        <v>92</v>
      </c>
      <c r="D442" s="67" t="s">
        <v>1713</v>
      </c>
      <c r="E442" s="68" t="s">
        <v>193</v>
      </c>
      <c r="F442" s="66" t="str">
        <f>TRIM(PROPER(Sales_Data!F442))</f>
        <v>Amit Sharma</v>
      </c>
      <c r="G442" s="66" t="s">
        <v>76</v>
      </c>
      <c r="H442" s="66" t="s">
        <v>1889</v>
      </c>
      <c r="I442" s="66" t="s">
        <v>138</v>
      </c>
      <c r="J442" s="66" t="str">
        <f>PROPER(Sales_Data!J442)</f>
        <v>West</v>
      </c>
      <c r="K442" s="66" t="str">
        <f>PROPER(Sales_Data!K442)</f>
        <v>Home Appliances</v>
      </c>
      <c r="L442" s="66" t="s">
        <v>97</v>
      </c>
      <c r="M442" s="66">
        <v>4</v>
      </c>
      <c r="N442" s="66">
        <v>3500</v>
      </c>
      <c r="O442" s="66">
        <v>0</v>
      </c>
      <c r="P442" s="66">
        <v>14000</v>
      </c>
      <c r="Q442" s="66">
        <v>2</v>
      </c>
      <c r="R442" s="66" t="s">
        <v>88</v>
      </c>
      <c r="S442" s="66" t="s">
        <v>35</v>
      </c>
      <c r="T442" s="66" t="s">
        <v>332</v>
      </c>
      <c r="U442" s="69" t="s">
        <v>1890</v>
      </c>
      <c r="V442" s="66" t="s">
        <v>69</v>
      </c>
      <c r="X442" t="str">
        <f>PROPER(Sales_Data!X442)</f>
        <v/>
      </c>
    </row>
    <row r="443" spans="1:24" x14ac:dyDescent="0.3">
      <c r="A443" s="65" t="s">
        <v>1891</v>
      </c>
      <c r="B443" s="66" t="s">
        <v>83</v>
      </c>
      <c r="C443" s="66" t="s">
        <v>92</v>
      </c>
      <c r="D443" s="67">
        <v>45753</v>
      </c>
      <c r="E443" s="68" t="s">
        <v>1119</v>
      </c>
      <c r="F443" s="66" t="str">
        <f>TRIM(PROPER(Sales_Data!F443))</f>
        <v>Arjun Rao</v>
      </c>
      <c r="G443" s="66" t="s">
        <v>76</v>
      </c>
      <c r="H443" s="66" t="s">
        <v>1892</v>
      </c>
      <c r="I443" s="66" t="s">
        <v>212</v>
      </c>
      <c r="J443" s="66" t="str">
        <f>PROPER(Sales_Data!J443)</f>
        <v>North</v>
      </c>
      <c r="K443" s="66" t="str">
        <f>PROPER(Sales_Data!K443)</f>
        <v>Home Appliances</v>
      </c>
      <c r="L443" s="66" t="s">
        <v>97</v>
      </c>
      <c r="M443" s="66">
        <v>9</v>
      </c>
      <c r="N443" s="66">
        <v>3500</v>
      </c>
      <c r="O443" s="66">
        <v>5</v>
      </c>
      <c r="P443" s="66">
        <v>29925</v>
      </c>
      <c r="Q443" s="66">
        <v>3</v>
      </c>
      <c r="R443" s="66" t="s">
        <v>79</v>
      </c>
      <c r="S443" s="66" t="s">
        <v>61</v>
      </c>
      <c r="T443" s="66" t="s">
        <v>89</v>
      </c>
      <c r="U443" s="69" t="s">
        <v>1893</v>
      </c>
      <c r="V443" s="66" t="s">
        <v>38</v>
      </c>
      <c r="X443" t="str">
        <f>PROPER(Sales_Data!X443)</f>
        <v/>
      </c>
    </row>
    <row r="444" spans="1:24" x14ac:dyDescent="0.3">
      <c r="A444" s="65" t="s">
        <v>1894</v>
      </c>
      <c r="B444" s="66" t="s">
        <v>127</v>
      </c>
      <c r="C444" s="66" t="s">
        <v>118</v>
      </c>
      <c r="D444" s="67" t="s">
        <v>683</v>
      </c>
      <c r="E444" s="68" t="s">
        <v>1465</v>
      </c>
      <c r="F444" s="66" t="str">
        <f>TRIM(PROPER(Sales_Data!F444))</f>
        <v>Rohit Singh</v>
      </c>
      <c r="G444" s="66" t="s">
        <v>76</v>
      </c>
      <c r="H444" s="66" t="s">
        <v>1895</v>
      </c>
      <c r="I444" s="66" t="s">
        <v>105</v>
      </c>
      <c r="J444" s="66" t="str">
        <f>PROPER(Sales_Data!J444)</f>
        <v>West</v>
      </c>
      <c r="K444" s="66" t="str">
        <f>PROPER(Sales_Data!K444)</f>
        <v>Stationery</v>
      </c>
      <c r="L444" s="66" t="s">
        <v>123</v>
      </c>
      <c r="M444" s="66">
        <v>9</v>
      </c>
      <c r="N444" s="66">
        <v>60</v>
      </c>
      <c r="O444" s="66">
        <v>0</v>
      </c>
      <c r="P444" s="66">
        <v>540</v>
      </c>
      <c r="Q444" s="66">
        <v>3</v>
      </c>
      <c r="R444" s="66" t="s">
        <v>88</v>
      </c>
      <c r="S444" s="66" t="s">
        <v>35</v>
      </c>
      <c r="T444" s="66" t="s">
        <v>132</v>
      </c>
      <c r="U444" s="69" t="s">
        <v>1896</v>
      </c>
      <c r="V444" s="66" t="s">
        <v>64</v>
      </c>
      <c r="X444" t="str">
        <f>PROPER(Sales_Data!X444)</f>
        <v/>
      </c>
    </row>
    <row r="445" spans="1:24" x14ac:dyDescent="0.3">
      <c r="A445" s="65" t="s">
        <v>1897</v>
      </c>
      <c r="B445" s="66" t="s">
        <v>168</v>
      </c>
      <c r="C445" s="66" t="s">
        <v>72</v>
      </c>
      <c r="D445" s="67">
        <v>45693</v>
      </c>
      <c r="E445" s="68" t="s">
        <v>1263</v>
      </c>
      <c r="F445" s="66" t="str">
        <f>TRIM(PROPER(Sales_Data!F445))</f>
        <v>Anita Gupta</v>
      </c>
      <c r="G445" s="66" t="s">
        <v>28</v>
      </c>
      <c r="H445" s="66" t="s">
        <v>1899</v>
      </c>
      <c r="I445" s="66" t="s">
        <v>138</v>
      </c>
      <c r="J445" s="66" t="str">
        <f>PROPER(Sales_Data!J445)</f>
        <v>West</v>
      </c>
      <c r="K445" s="66" t="str">
        <f>PROPER(Sales_Data!K445)</f>
        <v>Electronics</v>
      </c>
      <c r="L445" s="66" t="s">
        <v>78</v>
      </c>
      <c r="M445" s="66">
        <v>4</v>
      </c>
      <c r="N445" s="66">
        <v>1200</v>
      </c>
      <c r="O445" s="66">
        <v>0</v>
      </c>
      <c r="P445" s="66">
        <v>4800</v>
      </c>
      <c r="Q445" s="66">
        <v>1</v>
      </c>
      <c r="R445" s="66" t="s">
        <v>48</v>
      </c>
      <c r="S445" s="66" t="s">
        <v>61</v>
      </c>
      <c r="T445" s="66" t="s">
        <v>175</v>
      </c>
      <c r="U445" s="69" t="s">
        <v>1900</v>
      </c>
      <c r="V445" s="66" t="s">
        <v>38</v>
      </c>
      <c r="X445" t="str">
        <f>PROPER(Sales_Data!X445)</f>
        <v/>
      </c>
    </row>
    <row r="446" spans="1:24" x14ac:dyDescent="0.3">
      <c r="A446" s="65" t="s">
        <v>1901</v>
      </c>
      <c r="B446" s="66" t="s">
        <v>53</v>
      </c>
      <c r="C446" s="66" t="s">
        <v>54</v>
      </c>
      <c r="D446" s="67">
        <v>45718</v>
      </c>
      <c r="E446" s="68" t="s">
        <v>302</v>
      </c>
      <c r="F446" s="66" t="str">
        <f>TRIM(PROPER(Sales_Data!F446))</f>
        <v>Pooja Shah</v>
      </c>
      <c r="G446" s="66" t="s">
        <v>28</v>
      </c>
      <c r="H446" s="66" t="s">
        <v>1902</v>
      </c>
      <c r="I446" s="66" t="s">
        <v>30</v>
      </c>
      <c r="J446" s="66" t="str">
        <f>PROPER(Sales_Data!J446)</f>
        <v>South</v>
      </c>
      <c r="K446" s="66" t="str">
        <f>PROPER(Sales_Data!K446)</f>
        <v>Electronics</v>
      </c>
      <c r="L446" s="66" t="s">
        <v>60</v>
      </c>
      <c r="M446" s="66">
        <v>10</v>
      </c>
      <c r="N446" s="66">
        <v>55000</v>
      </c>
      <c r="O446" s="66">
        <v>5</v>
      </c>
      <c r="P446" s="66">
        <v>522500</v>
      </c>
      <c r="Q446" s="66">
        <v>5</v>
      </c>
      <c r="R446" s="66" t="s">
        <v>88</v>
      </c>
      <c r="S446" s="66" t="s">
        <v>115</v>
      </c>
      <c r="T446" s="66" t="s">
        <v>62</v>
      </c>
      <c r="U446" s="69" t="s">
        <v>1903</v>
      </c>
      <c r="V446" s="66" t="s">
        <v>38</v>
      </c>
      <c r="X446" t="str">
        <f>PROPER(Sales_Data!X446)</f>
        <v/>
      </c>
    </row>
    <row r="447" spans="1:24" x14ac:dyDescent="0.3">
      <c r="A447" s="65" t="s">
        <v>1904</v>
      </c>
      <c r="B447" s="66" t="s">
        <v>221</v>
      </c>
      <c r="C447" s="66" t="s">
        <v>259</v>
      </c>
      <c r="D447" s="67" t="s">
        <v>1905</v>
      </c>
      <c r="E447" s="68" t="s">
        <v>881</v>
      </c>
      <c r="F447" s="66" t="str">
        <f>TRIM(PROPER(Sales_Data!F447))</f>
        <v>Vikas Mehta</v>
      </c>
      <c r="G447" s="66" t="s">
        <v>76</v>
      </c>
      <c r="H447" s="66" t="s">
        <v>1906</v>
      </c>
      <c r="I447" s="66" t="s">
        <v>30</v>
      </c>
      <c r="J447" s="66" t="str">
        <f>PROPER(Sales_Data!J447)</f>
        <v>South</v>
      </c>
      <c r="K447" s="66" t="str">
        <f>PROPER(Sales_Data!K447)</f>
        <v>Stationery</v>
      </c>
      <c r="L447" s="66" t="s">
        <v>263</v>
      </c>
      <c r="M447" s="66">
        <v>20</v>
      </c>
      <c r="N447" s="66">
        <v>45</v>
      </c>
      <c r="O447" s="66">
        <v>15</v>
      </c>
      <c r="P447" s="66">
        <v>765</v>
      </c>
      <c r="Q447" s="66">
        <v>2</v>
      </c>
      <c r="R447" s="66" t="s">
        <v>79</v>
      </c>
      <c r="S447" s="66" t="s">
        <v>35</v>
      </c>
      <c r="T447" s="66" t="s">
        <v>228</v>
      </c>
      <c r="U447" s="69" t="s">
        <v>1907</v>
      </c>
      <c r="V447" s="66" t="s">
        <v>69</v>
      </c>
      <c r="X447" t="str">
        <f>PROPER(Sales_Data!X447)</f>
        <v/>
      </c>
    </row>
    <row r="448" spans="1:24" x14ac:dyDescent="0.3">
      <c r="A448" s="65" t="s">
        <v>1908</v>
      </c>
      <c r="B448" s="66" t="s">
        <v>23</v>
      </c>
      <c r="C448" s="66" t="s">
        <v>222</v>
      </c>
      <c r="D448" s="67">
        <v>46358</v>
      </c>
      <c r="E448" s="68" t="s">
        <v>170</v>
      </c>
      <c r="F448" s="66" t="str">
        <f>TRIM(PROPER(Sales_Data!F448))</f>
        <v>Kavya Nair</v>
      </c>
      <c r="G448" s="66" t="s">
        <v>28</v>
      </c>
      <c r="H448" s="66" t="s">
        <v>1909</v>
      </c>
      <c r="I448" s="66" t="s">
        <v>105</v>
      </c>
      <c r="J448" s="66" t="str">
        <f>PROPER(Sales_Data!J448)</f>
        <v>West</v>
      </c>
      <c r="K448" s="66" t="str">
        <f>PROPER(Sales_Data!K448)</f>
        <v>Stationery</v>
      </c>
      <c r="L448" s="66" t="s">
        <v>227</v>
      </c>
      <c r="M448" s="66">
        <v>9</v>
      </c>
      <c r="N448" s="66">
        <v>20</v>
      </c>
      <c r="O448" s="66">
        <v>20</v>
      </c>
      <c r="P448" s="66">
        <v>144</v>
      </c>
      <c r="Q448" s="66">
        <v>3</v>
      </c>
      <c r="R448" s="66" t="s">
        <v>79</v>
      </c>
      <c r="S448" s="66" t="s">
        <v>61</v>
      </c>
      <c r="T448" s="66" t="s">
        <v>50</v>
      </c>
      <c r="U448" s="69" t="s">
        <v>1910</v>
      </c>
      <c r="V448" s="66" t="s">
        <v>38</v>
      </c>
      <c r="X448" t="str">
        <f>PROPER(Sales_Data!X448)</f>
        <v/>
      </c>
    </row>
    <row r="449" spans="1:24" x14ac:dyDescent="0.3">
      <c r="A449" s="65" t="s">
        <v>1911</v>
      </c>
      <c r="B449" s="66" t="s">
        <v>23</v>
      </c>
      <c r="C449" s="66" t="s">
        <v>54</v>
      </c>
      <c r="D449" s="67">
        <v>45719</v>
      </c>
      <c r="E449" s="68" t="s">
        <v>910</v>
      </c>
      <c r="F449" s="66" t="str">
        <f>TRIM(PROPER(Sales_Data!F449))</f>
        <v>Kavya Nair</v>
      </c>
      <c r="G449" s="66" t="s">
        <v>28</v>
      </c>
      <c r="H449" s="66" t="s">
        <v>1913</v>
      </c>
      <c r="I449" s="66" t="s">
        <v>114</v>
      </c>
      <c r="J449" s="66" t="str">
        <f>PROPER(Sales_Data!J449)</f>
        <v>West</v>
      </c>
      <c r="K449" s="66" t="str">
        <f>PROPER(Sales_Data!K449)</f>
        <v>Electronics</v>
      </c>
      <c r="L449" s="66" t="s">
        <v>60</v>
      </c>
      <c r="M449" s="66">
        <v>8</v>
      </c>
      <c r="N449" s="66">
        <v>55000</v>
      </c>
      <c r="O449" s="66">
        <v>0</v>
      </c>
      <c r="P449" s="66">
        <v>440000</v>
      </c>
      <c r="Q449" s="66">
        <v>4</v>
      </c>
      <c r="R449" s="66" t="s">
        <v>34</v>
      </c>
      <c r="S449" s="66" t="s">
        <v>115</v>
      </c>
      <c r="T449" s="66" t="s">
        <v>50</v>
      </c>
      <c r="U449" s="69" t="s">
        <v>1914</v>
      </c>
      <c r="V449" s="66" t="s">
        <v>38</v>
      </c>
      <c r="X449" t="str">
        <f>PROPER(Sales_Data!X449)</f>
        <v/>
      </c>
    </row>
    <row r="450" spans="1:24" x14ac:dyDescent="0.3">
      <c r="A450" s="65" t="s">
        <v>1915</v>
      </c>
      <c r="B450" s="66" t="s">
        <v>327</v>
      </c>
      <c r="C450" s="66" t="s">
        <v>72</v>
      </c>
      <c r="D450" s="67" t="s">
        <v>1916</v>
      </c>
      <c r="E450" s="68" t="s">
        <v>1430</v>
      </c>
      <c r="F450" s="66" t="str">
        <f>TRIM(PROPER(Sales_Data!F450))</f>
        <v>Amit Sharma</v>
      </c>
      <c r="G450" s="66" t="s">
        <v>76</v>
      </c>
      <c r="H450" s="66" t="s">
        <v>1917</v>
      </c>
      <c r="I450" s="66" t="s">
        <v>138</v>
      </c>
      <c r="J450" s="66" t="str">
        <f>PROPER(Sales_Data!J450)</f>
        <v>West</v>
      </c>
      <c r="K450" s="66" t="str">
        <f>PROPER(Sales_Data!K450)</f>
        <v>Electronics</v>
      </c>
      <c r="L450" s="66" t="s">
        <v>78</v>
      </c>
      <c r="M450" s="66">
        <v>4</v>
      </c>
      <c r="N450" s="66">
        <v>1200</v>
      </c>
      <c r="O450" s="66">
        <v>10</v>
      </c>
      <c r="P450" s="66">
        <v>4320</v>
      </c>
      <c r="Q450" s="66">
        <v>4</v>
      </c>
      <c r="R450" s="66" t="s">
        <v>88</v>
      </c>
      <c r="S450" s="66" t="s">
        <v>35</v>
      </c>
      <c r="T450" s="66" t="s">
        <v>1918</v>
      </c>
      <c r="U450" s="69" t="s">
        <v>1919</v>
      </c>
      <c r="V450" s="66" t="s">
        <v>69</v>
      </c>
      <c r="X450" t="str">
        <f>PROPER(Sales_Data!X450)</f>
        <v/>
      </c>
    </row>
    <row r="451" spans="1:24" x14ac:dyDescent="0.3">
      <c r="A451" s="65" t="s">
        <v>1920</v>
      </c>
      <c r="B451" s="66" t="s">
        <v>327</v>
      </c>
      <c r="C451" s="66" t="s">
        <v>169</v>
      </c>
      <c r="D451" s="67">
        <v>46086</v>
      </c>
      <c r="E451" s="68" t="s">
        <v>426</v>
      </c>
      <c r="F451" s="66" t="str">
        <f>TRIM(PROPER(Sales_Data!F451))</f>
        <v>Amit Sharma</v>
      </c>
      <c r="G451" s="66" t="s">
        <v>76</v>
      </c>
      <c r="H451" s="66" t="s">
        <v>1921</v>
      </c>
      <c r="I451" s="66" t="s">
        <v>294</v>
      </c>
      <c r="J451" s="66" t="str">
        <f>PROPER(Sales_Data!J451)</f>
        <v>East</v>
      </c>
      <c r="K451" s="66" t="str">
        <f>PROPER(Sales_Data!K451)</f>
        <v>Home Appliances</v>
      </c>
      <c r="L451" s="66" t="s">
        <v>174</v>
      </c>
      <c r="M451" s="66">
        <v>14</v>
      </c>
      <c r="N451" s="66">
        <v>8500</v>
      </c>
      <c r="O451" s="66">
        <v>10</v>
      </c>
      <c r="P451" s="66">
        <v>107100</v>
      </c>
      <c r="Q451" s="66">
        <v>4</v>
      </c>
      <c r="R451" s="66" t="s">
        <v>34</v>
      </c>
      <c r="S451" s="66" t="s">
        <v>35</v>
      </c>
      <c r="T451" s="66" t="s">
        <v>332</v>
      </c>
      <c r="U451" s="69" t="s">
        <v>1922</v>
      </c>
      <c r="V451" s="66" t="s">
        <v>38</v>
      </c>
      <c r="X451" t="str">
        <f>PROPER(Sales_Data!X451)</f>
        <v/>
      </c>
    </row>
    <row r="452" spans="1:24" x14ac:dyDescent="0.3">
      <c r="A452" s="65" t="s">
        <v>1923</v>
      </c>
      <c r="B452" s="66" t="s">
        <v>71</v>
      </c>
      <c r="C452" s="66" t="s">
        <v>259</v>
      </c>
      <c r="D452" s="67" t="s">
        <v>683</v>
      </c>
      <c r="E452" s="68" t="s">
        <v>1924</v>
      </c>
      <c r="F452" s="66" t="str">
        <f>TRIM(PROPER(Sales_Data!F452))</f>
        <v>Mohit Verma</v>
      </c>
      <c r="G452" s="66" t="s">
        <v>76</v>
      </c>
      <c r="H452" s="66" t="s">
        <v>1925</v>
      </c>
      <c r="I452" s="66" t="s">
        <v>30</v>
      </c>
      <c r="J452" s="66" t="str">
        <f>PROPER(Sales_Data!J452)</f>
        <v>South</v>
      </c>
      <c r="K452" s="66" t="str">
        <f>PROPER(Sales_Data!K452)</f>
        <v>Stationery</v>
      </c>
      <c r="L452" s="66" t="s">
        <v>263</v>
      </c>
      <c r="M452" s="66">
        <v>1</v>
      </c>
      <c r="N452" s="66">
        <v>45</v>
      </c>
      <c r="O452" s="66">
        <v>0</v>
      </c>
      <c r="P452" s="66">
        <v>45</v>
      </c>
      <c r="Q452" s="66">
        <v>3</v>
      </c>
      <c r="R452" s="66" t="s">
        <v>88</v>
      </c>
      <c r="S452" s="66" t="s">
        <v>151</v>
      </c>
      <c r="T452" s="66" t="s">
        <v>80</v>
      </c>
      <c r="U452" s="69" t="s">
        <v>1926</v>
      </c>
      <c r="V452" s="66" t="s">
        <v>69</v>
      </c>
      <c r="X452" t="str">
        <f>PROPER(Sales_Data!X452)</f>
        <v/>
      </c>
    </row>
    <row r="453" spans="1:24" x14ac:dyDescent="0.3">
      <c r="A453" s="65" t="s">
        <v>1927</v>
      </c>
      <c r="B453" s="66" t="s">
        <v>71</v>
      </c>
      <c r="C453" s="66" t="s">
        <v>54</v>
      </c>
      <c r="D453" s="67" t="s">
        <v>901</v>
      </c>
      <c r="E453" s="68" t="s">
        <v>1069</v>
      </c>
      <c r="F453" s="66" t="str">
        <f>TRIM(PROPER(Sales_Data!F453))</f>
        <v>Mohit Verma</v>
      </c>
      <c r="G453" s="66" t="s">
        <v>76</v>
      </c>
      <c r="H453" s="66" t="s">
        <v>1928</v>
      </c>
      <c r="I453" s="66" t="s">
        <v>44</v>
      </c>
      <c r="J453" s="66" t="str">
        <f>PROPER(Sales_Data!J453)</f>
        <v>North</v>
      </c>
      <c r="K453" s="66" t="str">
        <f>PROPER(Sales_Data!K453)</f>
        <v>Electronics</v>
      </c>
      <c r="L453" s="66" t="s">
        <v>60</v>
      </c>
      <c r="M453" s="66">
        <v>16</v>
      </c>
      <c r="N453" s="66">
        <v>55000</v>
      </c>
      <c r="O453" s="66">
        <v>15</v>
      </c>
      <c r="P453" s="66">
        <v>748000</v>
      </c>
      <c r="Q453" s="66">
        <v>1</v>
      </c>
      <c r="R453" s="66" t="s">
        <v>79</v>
      </c>
      <c r="S453" s="66" t="s">
        <v>151</v>
      </c>
      <c r="T453" s="66" t="s">
        <v>80</v>
      </c>
      <c r="U453" s="69" t="s">
        <v>1929</v>
      </c>
      <c r="V453" s="66" t="s">
        <v>69</v>
      </c>
      <c r="X453" t="str">
        <f>PROPER(Sales_Data!X453)</f>
        <v/>
      </c>
    </row>
    <row r="454" spans="1:24" x14ac:dyDescent="0.3">
      <c r="A454" s="65" t="s">
        <v>1930</v>
      </c>
      <c r="B454" s="66" t="s">
        <v>53</v>
      </c>
      <c r="C454" s="66" t="s">
        <v>184</v>
      </c>
      <c r="D454" s="67" t="s">
        <v>1931</v>
      </c>
      <c r="E454" s="68" t="s">
        <v>1932</v>
      </c>
      <c r="F454" s="66" t="str">
        <f>TRIM(PROPER(Sales_Data!F454))</f>
        <v>Pooja Shah</v>
      </c>
      <c r="G454" s="66" t="s">
        <v>28</v>
      </c>
      <c r="H454" s="66" t="s">
        <v>1933</v>
      </c>
      <c r="I454" s="66" t="s">
        <v>138</v>
      </c>
      <c r="J454" s="66" t="str">
        <f>PROPER(Sales_Data!J454)</f>
        <v>West</v>
      </c>
      <c r="K454" s="66" t="str">
        <f>PROPER(Sales_Data!K454)</f>
        <v>Electronics</v>
      </c>
      <c r="L454" s="66" t="s">
        <v>189</v>
      </c>
      <c r="M454" s="66">
        <v>8</v>
      </c>
      <c r="N454" s="66">
        <v>700</v>
      </c>
      <c r="O454" s="66">
        <v>0</v>
      </c>
      <c r="P454" s="66">
        <v>5600</v>
      </c>
      <c r="Q454" s="66">
        <v>3</v>
      </c>
      <c r="R454" s="66" t="s">
        <v>34</v>
      </c>
      <c r="S454" s="66" t="s">
        <v>49</v>
      </c>
      <c r="T454" s="66" t="s">
        <v>62</v>
      </c>
      <c r="U454" s="69" t="s">
        <v>1934</v>
      </c>
      <c r="V454" s="66" t="s">
        <v>38</v>
      </c>
      <c r="X454" t="str">
        <f>PROPER(Sales_Data!X454)</f>
        <v/>
      </c>
    </row>
    <row r="455" spans="1:24" x14ac:dyDescent="0.3">
      <c r="A455" s="65" t="s">
        <v>1935</v>
      </c>
      <c r="B455" s="66" t="s">
        <v>251</v>
      </c>
      <c r="C455" s="66" t="s">
        <v>72</v>
      </c>
      <c r="D455" s="67">
        <v>46057</v>
      </c>
      <c r="E455" s="68" t="s">
        <v>1936</v>
      </c>
      <c r="F455" s="66" t="str">
        <f>TRIM(PROPER(Sales_Data!F455))</f>
        <v>Sneha Joshi</v>
      </c>
      <c r="G455" s="66" t="s">
        <v>28</v>
      </c>
      <c r="H455" s="66" t="s">
        <v>1937</v>
      </c>
      <c r="I455" s="66" t="s">
        <v>138</v>
      </c>
      <c r="J455" s="66" t="str">
        <f>PROPER(Sales_Data!J455)</f>
        <v>West</v>
      </c>
      <c r="K455" s="66" t="str">
        <f>PROPER(Sales_Data!K455)</f>
        <v>Electronics</v>
      </c>
      <c r="L455" s="66" t="s">
        <v>78</v>
      </c>
      <c r="M455" s="66">
        <v>3</v>
      </c>
      <c r="N455" s="66">
        <v>1200</v>
      </c>
      <c r="O455" s="66">
        <v>0</v>
      </c>
      <c r="P455" s="66">
        <v>3600</v>
      </c>
      <c r="Q455" s="66">
        <v>1</v>
      </c>
      <c r="R455" s="66" t="s">
        <v>79</v>
      </c>
      <c r="S455" s="66" t="s">
        <v>49</v>
      </c>
      <c r="T455" s="66" t="s">
        <v>256</v>
      </c>
      <c r="U455" s="69" t="s">
        <v>1938</v>
      </c>
      <c r="V455" s="66" t="s">
        <v>69</v>
      </c>
      <c r="X455" t="str">
        <f>PROPER(Sales_Data!X455)</f>
        <v/>
      </c>
    </row>
    <row r="456" spans="1:24" x14ac:dyDescent="0.3">
      <c r="A456" s="65" t="s">
        <v>1939</v>
      </c>
      <c r="B456" s="66" t="s">
        <v>71</v>
      </c>
      <c r="C456" s="66" t="s">
        <v>92</v>
      </c>
      <c r="D456" s="67" t="s">
        <v>988</v>
      </c>
      <c r="E456" s="68" t="s">
        <v>387</v>
      </c>
      <c r="F456" s="66" t="str">
        <f>TRIM(PROPER(Sales_Data!F456))</f>
        <v>Mohit Verma</v>
      </c>
      <c r="G456" s="66" t="s">
        <v>76</v>
      </c>
      <c r="H456" s="66" t="s">
        <v>1940</v>
      </c>
      <c r="I456" s="66" t="s">
        <v>294</v>
      </c>
      <c r="J456" s="66" t="str">
        <f>PROPER(Sales_Data!J456)</f>
        <v>East</v>
      </c>
      <c r="K456" s="66" t="str">
        <f>PROPER(Sales_Data!K456)</f>
        <v>Home Appliances</v>
      </c>
      <c r="L456" s="66" t="s">
        <v>97</v>
      </c>
      <c r="M456" s="66">
        <v>7</v>
      </c>
      <c r="N456" s="66">
        <v>3500</v>
      </c>
      <c r="O456" s="66">
        <v>15</v>
      </c>
      <c r="P456" s="66">
        <v>20825</v>
      </c>
      <c r="Q456" s="66">
        <v>4</v>
      </c>
      <c r="R456" s="66" t="s">
        <v>79</v>
      </c>
      <c r="S456" s="66" t="s">
        <v>61</v>
      </c>
      <c r="T456" s="66" t="s">
        <v>80</v>
      </c>
      <c r="U456" s="69" t="s">
        <v>1941</v>
      </c>
      <c r="V456" s="66" t="s">
        <v>64</v>
      </c>
      <c r="X456" t="str">
        <f>PROPER(Sales_Data!X456)</f>
        <v/>
      </c>
    </row>
    <row r="457" spans="1:24" x14ac:dyDescent="0.3">
      <c r="A457" s="65" t="s">
        <v>1942</v>
      </c>
      <c r="B457" s="66" t="s">
        <v>53</v>
      </c>
      <c r="C457" s="66" t="s">
        <v>54</v>
      </c>
      <c r="D457" s="67" t="s">
        <v>1932</v>
      </c>
      <c r="E457" s="68" t="s">
        <v>740</v>
      </c>
      <c r="F457" s="66" t="str">
        <f>TRIM(PROPER(Sales_Data!F457))</f>
        <v>Pooja Shah</v>
      </c>
      <c r="G457" s="66" t="s">
        <v>28</v>
      </c>
      <c r="H457" s="66" t="s">
        <v>1943</v>
      </c>
      <c r="I457" s="66" t="s">
        <v>114</v>
      </c>
      <c r="J457" s="66" t="str">
        <f>PROPER(Sales_Data!J457)</f>
        <v>West</v>
      </c>
      <c r="K457" s="66" t="str">
        <f>PROPER(Sales_Data!K457)</f>
        <v>Electronics</v>
      </c>
      <c r="L457" s="66" t="s">
        <v>60</v>
      </c>
      <c r="M457" s="66">
        <v>9</v>
      </c>
      <c r="N457" s="66">
        <v>55000</v>
      </c>
      <c r="O457" s="66">
        <v>15</v>
      </c>
      <c r="P457" s="66">
        <v>420750</v>
      </c>
      <c r="Q457" s="66">
        <v>3</v>
      </c>
      <c r="R457" s="66" t="s">
        <v>88</v>
      </c>
      <c r="S457" s="66" t="s">
        <v>35</v>
      </c>
      <c r="T457" s="66" t="s">
        <v>62</v>
      </c>
      <c r="U457" s="69" t="s">
        <v>1944</v>
      </c>
      <c r="V457" s="66" t="s">
        <v>69</v>
      </c>
      <c r="X457" t="str">
        <f>PROPER(Sales_Data!X457)</f>
        <v/>
      </c>
    </row>
    <row r="458" spans="1:24" x14ac:dyDescent="0.3">
      <c r="A458" s="65" t="s">
        <v>1945</v>
      </c>
      <c r="B458" s="66" t="s">
        <v>327</v>
      </c>
      <c r="C458" s="66" t="s">
        <v>40</v>
      </c>
      <c r="D458" s="67">
        <v>45669</v>
      </c>
      <c r="E458" s="68" t="s">
        <v>918</v>
      </c>
      <c r="F458" s="66" t="str">
        <f>TRIM(PROPER(Sales_Data!F458))</f>
        <v>Amit Sharma</v>
      </c>
      <c r="G458" s="66" t="s">
        <v>76</v>
      </c>
      <c r="H458" s="66" t="s">
        <v>1946</v>
      </c>
      <c r="I458" s="66" t="s">
        <v>59</v>
      </c>
      <c r="J458" s="66" t="str">
        <f>PROPER(Sales_Data!J458)</f>
        <v>South</v>
      </c>
      <c r="K458" s="66" t="str">
        <f>PROPER(Sales_Data!K458)</f>
        <v>Electronics</v>
      </c>
      <c r="L458" s="66" t="s">
        <v>47</v>
      </c>
      <c r="M458" s="66">
        <v>12</v>
      </c>
      <c r="N458" s="66">
        <v>12000</v>
      </c>
      <c r="O458" s="66">
        <v>0</v>
      </c>
      <c r="P458" s="66">
        <v>144000</v>
      </c>
      <c r="Q458" s="66">
        <v>3</v>
      </c>
      <c r="R458" s="66" t="s">
        <v>79</v>
      </c>
      <c r="S458" s="66" t="s">
        <v>151</v>
      </c>
      <c r="T458" s="66" t="s">
        <v>332</v>
      </c>
      <c r="U458" s="69" t="s">
        <v>1947</v>
      </c>
      <c r="V458" s="66" t="s">
        <v>69</v>
      </c>
      <c r="X458" t="str">
        <f>PROPER(Sales_Data!X458)</f>
        <v/>
      </c>
    </row>
    <row r="459" spans="1:24" x14ac:dyDescent="0.3">
      <c r="A459" s="65" t="s">
        <v>1948</v>
      </c>
      <c r="B459" s="66" t="s">
        <v>100</v>
      </c>
      <c r="C459" s="66" t="s">
        <v>118</v>
      </c>
      <c r="D459" s="67">
        <v>45752</v>
      </c>
      <c r="E459" s="68" t="s">
        <v>597</v>
      </c>
      <c r="F459" s="66" t="str">
        <f>TRIM(PROPER(Sales_Data!F459))</f>
        <v>Priya Patel</v>
      </c>
      <c r="G459" s="66" t="s">
        <v>28</v>
      </c>
      <c r="H459" s="66" t="s">
        <v>1949</v>
      </c>
      <c r="I459" s="66" t="s">
        <v>138</v>
      </c>
      <c r="J459" s="66" t="str">
        <f>PROPER(Sales_Data!J459)</f>
        <v>West</v>
      </c>
      <c r="K459" s="66" t="str">
        <f>PROPER(Sales_Data!K459)</f>
        <v>Stationery</v>
      </c>
      <c r="L459" s="66" t="s">
        <v>123</v>
      </c>
      <c r="M459" s="66">
        <v>7</v>
      </c>
      <c r="N459" s="66">
        <v>60</v>
      </c>
      <c r="O459" s="66">
        <v>10</v>
      </c>
      <c r="P459" s="66">
        <v>378</v>
      </c>
      <c r="Q459" s="66">
        <v>4</v>
      </c>
      <c r="R459" s="66" t="s">
        <v>34</v>
      </c>
      <c r="S459" s="66" t="s">
        <v>49</v>
      </c>
      <c r="T459" s="66" t="s">
        <v>144</v>
      </c>
      <c r="U459" s="69" t="s">
        <v>1950</v>
      </c>
      <c r="V459" s="66" t="s">
        <v>69</v>
      </c>
      <c r="X459" t="str">
        <f>PROPER(Sales_Data!X459)</f>
        <v/>
      </c>
    </row>
    <row r="460" spans="1:24" x14ac:dyDescent="0.3">
      <c r="A460" s="65" t="s">
        <v>1951</v>
      </c>
      <c r="B460" s="66" t="s">
        <v>221</v>
      </c>
      <c r="C460" s="66" t="s">
        <v>24</v>
      </c>
      <c r="D460" s="67" t="s">
        <v>377</v>
      </c>
      <c r="E460" s="68" t="s">
        <v>674</v>
      </c>
      <c r="F460" s="66" t="str">
        <f>TRIM(PROPER(Sales_Data!F460))</f>
        <v>Vikas Mehta</v>
      </c>
      <c r="G460" s="66" t="s">
        <v>76</v>
      </c>
      <c r="H460" s="66" t="s">
        <v>1952</v>
      </c>
      <c r="I460" s="66" t="s">
        <v>105</v>
      </c>
      <c r="J460" s="66" t="str">
        <f>PROPER(Sales_Data!J460)</f>
        <v>West</v>
      </c>
      <c r="K460" s="66" t="str">
        <f>PROPER(Sales_Data!K460)</f>
        <v>Home Appliances</v>
      </c>
      <c r="L460" s="66" t="s">
        <v>33</v>
      </c>
      <c r="M460" s="66">
        <v>17</v>
      </c>
      <c r="N460" s="66">
        <v>2200</v>
      </c>
      <c r="O460" s="66">
        <v>15</v>
      </c>
      <c r="P460" s="66">
        <v>31790</v>
      </c>
      <c r="Q460" s="66">
        <v>3</v>
      </c>
      <c r="R460" s="66" t="s">
        <v>88</v>
      </c>
      <c r="S460" s="66" t="s">
        <v>151</v>
      </c>
      <c r="T460" s="66" t="s">
        <v>228</v>
      </c>
      <c r="U460" s="69" t="s">
        <v>1953</v>
      </c>
      <c r="V460" s="66" t="s">
        <v>64</v>
      </c>
      <c r="X460" t="str">
        <f>PROPER(Sales_Data!X460)</f>
        <v/>
      </c>
    </row>
    <row r="461" spans="1:24" x14ac:dyDescent="0.3">
      <c r="A461" s="65" t="s">
        <v>1954</v>
      </c>
      <c r="B461" s="66" t="s">
        <v>327</v>
      </c>
      <c r="C461" s="66" t="s">
        <v>184</v>
      </c>
      <c r="D461" s="67" t="s">
        <v>351</v>
      </c>
      <c r="E461" s="68" t="s">
        <v>1537</v>
      </c>
      <c r="F461" s="66" t="str">
        <f>TRIM(PROPER(Sales_Data!F461))</f>
        <v>Amit Sharma</v>
      </c>
      <c r="G461" s="66" t="s">
        <v>76</v>
      </c>
      <c r="H461" s="66" t="s">
        <v>1955</v>
      </c>
      <c r="I461" s="66" t="s">
        <v>59</v>
      </c>
      <c r="J461" s="66" t="str">
        <f>PROPER(Sales_Data!J461)</f>
        <v>South</v>
      </c>
      <c r="K461" s="66" t="str">
        <f>PROPER(Sales_Data!K461)</f>
        <v>Electronics</v>
      </c>
      <c r="L461" s="66" t="s">
        <v>189</v>
      </c>
      <c r="M461" s="66">
        <v>17</v>
      </c>
      <c r="N461" s="66">
        <v>700</v>
      </c>
      <c r="O461" s="66">
        <v>10</v>
      </c>
      <c r="P461" s="66">
        <v>10710</v>
      </c>
      <c r="Q461" s="66">
        <v>2</v>
      </c>
      <c r="R461" s="66" t="s">
        <v>34</v>
      </c>
      <c r="S461" s="66" t="s">
        <v>61</v>
      </c>
      <c r="T461" s="66" t="s">
        <v>332</v>
      </c>
      <c r="U461" s="69" t="s">
        <v>1956</v>
      </c>
      <c r="V461" s="66" t="s">
        <v>64</v>
      </c>
      <c r="X461" t="str">
        <f>PROPER(Sales_Data!X461)</f>
        <v/>
      </c>
    </row>
    <row r="462" spans="1:24" x14ac:dyDescent="0.3">
      <c r="A462" s="65" t="s">
        <v>1957</v>
      </c>
      <c r="B462" s="66" t="s">
        <v>327</v>
      </c>
      <c r="C462" s="66" t="s">
        <v>54</v>
      </c>
      <c r="D462" s="67" t="s">
        <v>1958</v>
      </c>
      <c r="E462" s="68" t="s">
        <v>1188</v>
      </c>
      <c r="F462" s="66" t="str">
        <f>TRIM(PROPER(Sales_Data!F462))</f>
        <v>Amit Sharma</v>
      </c>
      <c r="G462" s="66" t="s">
        <v>76</v>
      </c>
      <c r="H462" s="66" t="s">
        <v>1959</v>
      </c>
      <c r="I462" s="66" t="s">
        <v>44</v>
      </c>
      <c r="J462" s="66" t="str">
        <f>PROPER(Sales_Data!J462)</f>
        <v>North</v>
      </c>
      <c r="K462" s="66" t="str">
        <f>PROPER(Sales_Data!K462)</f>
        <v>Electronics</v>
      </c>
      <c r="L462" s="66" t="s">
        <v>60</v>
      </c>
      <c r="M462" s="66">
        <v>19</v>
      </c>
      <c r="N462" s="66">
        <v>55000</v>
      </c>
      <c r="O462" s="66">
        <v>20</v>
      </c>
      <c r="P462" s="66">
        <v>836000</v>
      </c>
      <c r="Q462" s="66">
        <v>5</v>
      </c>
      <c r="R462" s="66" t="s">
        <v>48</v>
      </c>
      <c r="S462" s="66" t="s">
        <v>61</v>
      </c>
      <c r="T462" s="66" t="s">
        <v>332</v>
      </c>
      <c r="U462" s="69" t="s">
        <v>1960</v>
      </c>
      <c r="V462" s="66" t="s">
        <v>38</v>
      </c>
      <c r="X462" t="str">
        <f>PROPER(Sales_Data!X462)</f>
        <v/>
      </c>
    </row>
    <row r="463" spans="1:24" x14ac:dyDescent="0.3">
      <c r="A463" s="65" t="s">
        <v>1961</v>
      </c>
      <c r="B463" s="66" t="s">
        <v>127</v>
      </c>
      <c r="C463" s="66" t="s">
        <v>118</v>
      </c>
      <c r="D463" s="67">
        <v>46000</v>
      </c>
      <c r="E463" s="68" t="s">
        <v>128</v>
      </c>
      <c r="F463" s="66" t="str">
        <f>TRIM(PROPER(Sales_Data!F463))</f>
        <v>Rohit Singh</v>
      </c>
      <c r="G463" s="66" t="s">
        <v>76</v>
      </c>
      <c r="H463" s="66" t="s">
        <v>1962</v>
      </c>
      <c r="I463" s="66" t="s">
        <v>44</v>
      </c>
      <c r="J463" s="66" t="str">
        <f>PROPER(Sales_Data!J463)</f>
        <v>North</v>
      </c>
      <c r="K463" s="66" t="str">
        <f>PROPER(Sales_Data!K463)</f>
        <v>Stationery</v>
      </c>
      <c r="L463" s="66" t="s">
        <v>123</v>
      </c>
      <c r="M463" s="66">
        <v>1</v>
      </c>
      <c r="N463" s="66">
        <v>60</v>
      </c>
      <c r="O463" s="66">
        <v>10</v>
      </c>
      <c r="P463" s="66">
        <v>54</v>
      </c>
      <c r="Q463" s="66">
        <v>4</v>
      </c>
      <c r="R463" s="66" t="s">
        <v>48</v>
      </c>
      <c r="S463" s="66" t="s">
        <v>2140</v>
      </c>
      <c r="T463" s="66" t="s">
        <v>1963</v>
      </c>
      <c r="U463" s="69" t="s">
        <v>1964</v>
      </c>
      <c r="V463" s="66" t="s">
        <v>69</v>
      </c>
      <c r="X463" t="str">
        <f>PROPER(Sales_Data!X463)</f>
        <v/>
      </c>
    </row>
    <row r="464" spans="1:24" x14ac:dyDescent="0.3">
      <c r="A464" s="65" t="s">
        <v>1965</v>
      </c>
      <c r="B464" s="66" t="s">
        <v>71</v>
      </c>
      <c r="C464" s="66" t="s">
        <v>92</v>
      </c>
      <c r="D464" s="67">
        <v>46115</v>
      </c>
      <c r="E464" s="68" t="s">
        <v>554</v>
      </c>
      <c r="F464" s="66" t="str">
        <f>TRIM(PROPER(Sales_Data!F464))</f>
        <v>Mohit Verma</v>
      </c>
      <c r="G464" s="66" t="s">
        <v>76</v>
      </c>
      <c r="H464" s="66" t="s">
        <v>1966</v>
      </c>
      <c r="I464" s="66" t="s">
        <v>30</v>
      </c>
      <c r="J464" s="66" t="str">
        <f>PROPER(Sales_Data!J464)</f>
        <v>South</v>
      </c>
      <c r="K464" s="66" t="str">
        <f>PROPER(Sales_Data!K464)</f>
        <v>Home Appliances</v>
      </c>
      <c r="L464" s="66" t="s">
        <v>97</v>
      </c>
      <c r="M464" s="66">
        <v>16</v>
      </c>
      <c r="N464" s="66">
        <v>3500</v>
      </c>
      <c r="O464" s="66">
        <v>0</v>
      </c>
      <c r="P464" s="66">
        <v>56000</v>
      </c>
      <c r="Q464" s="66">
        <v>4</v>
      </c>
      <c r="R464" s="66" t="s">
        <v>48</v>
      </c>
      <c r="S464" s="66" t="s">
        <v>35</v>
      </c>
      <c r="T464" s="66" t="s">
        <v>80</v>
      </c>
      <c r="U464" s="69" t="s">
        <v>1967</v>
      </c>
      <c r="V464" s="66" t="s">
        <v>64</v>
      </c>
      <c r="X464" t="str">
        <f>PROPER(Sales_Data!X464)</f>
        <v/>
      </c>
    </row>
    <row r="465" spans="1:24" x14ac:dyDescent="0.3">
      <c r="A465" s="65" t="s">
        <v>1968</v>
      </c>
      <c r="B465" s="66" t="s">
        <v>127</v>
      </c>
      <c r="C465" s="66" t="s">
        <v>222</v>
      </c>
      <c r="D465" s="67" t="s">
        <v>957</v>
      </c>
      <c r="E465" s="68" t="s">
        <v>766</v>
      </c>
      <c r="F465" s="66" t="str">
        <f>TRIM(PROPER(Sales_Data!F465))</f>
        <v>Rohit Singh</v>
      </c>
      <c r="G465" s="66" t="s">
        <v>76</v>
      </c>
      <c r="H465" s="66" t="s">
        <v>1295</v>
      </c>
      <c r="I465" s="66" t="s">
        <v>114</v>
      </c>
      <c r="J465" s="66" t="str">
        <f>PROPER(Sales_Data!J465)</f>
        <v>West</v>
      </c>
      <c r="K465" s="66" t="str">
        <f>PROPER(Sales_Data!K465)</f>
        <v>Stationery</v>
      </c>
      <c r="L465" s="66" t="s">
        <v>227</v>
      </c>
      <c r="M465" s="66">
        <v>14</v>
      </c>
      <c r="N465" s="66">
        <v>20</v>
      </c>
      <c r="O465" s="66">
        <v>10</v>
      </c>
      <c r="P465" s="66">
        <v>252</v>
      </c>
      <c r="Q465" s="66">
        <v>1</v>
      </c>
      <c r="R465" s="66" t="s">
        <v>48</v>
      </c>
      <c r="S465" s="66" t="s">
        <v>61</v>
      </c>
      <c r="T465" s="66" t="s">
        <v>132</v>
      </c>
      <c r="U465" s="69" t="s">
        <v>1969</v>
      </c>
      <c r="V465" s="66" t="s">
        <v>64</v>
      </c>
      <c r="X465" t="str">
        <f>PROPER(Sales_Data!X465)</f>
        <v/>
      </c>
    </row>
    <row r="466" spans="1:24" x14ac:dyDescent="0.3">
      <c r="A466" s="65" t="s">
        <v>1970</v>
      </c>
      <c r="B466" s="66" t="s">
        <v>71</v>
      </c>
      <c r="C466" s="66" t="s">
        <v>24</v>
      </c>
      <c r="D466" s="67" t="s">
        <v>473</v>
      </c>
      <c r="E466" s="68" t="s">
        <v>454</v>
      </c>
      <c r="F466" s="66" t="str">
        <f>TRIM(PROPER(Sales_Data!F466))</f>
        <v>Mohit Verma</v>
      </c>
      <c r="G466" s="66" t="s">
        <v>76</v>
      </c>
      <c r="H466" s="66" t="s">
        <v>1971</v>
      </c>
      <c r="I466" s="66" t="s">
        <v>59</v>
      </c>
      <c r="J466" s="66" t="str">
        <f>PROPER(Sales_Data!J466)</f>
        <v>South</v>
      </c>
      <c r="K466" s="66" t="str">
        <f>PROPER(Sales_Data!K466)</f>
        <v>Home Appliances</v>
      </c>
      <c r="L466" s="66" t="s">
        <v>33</v>
      </c>
      <c r="M466" s="66">
        <v>11</v>
      </c>
      <c r="N466" s="66">
        <v>2200</v>
      </c>
      <c r="O466" s="66">
        <v>15</v>
      </c>
      <c r="P466" s="66">
        <v>20570</v>
      </c>
      <c r="Q466" s="66">
        <v>4</v>
      </c>
      <c r="R466" s="66" t="s">
        <v>48</v>
      </c>
      <c r="S466" s="66" t="s">
        <v>49</v>
      </c>
      <c r="T466" s="66" t="s">
        <v>80</v>
      </c>
      <c r="U466" s="69" t="s">
        <v>1972</v>
      </c>
      <c r="V466" s="66" t="s">
        <v>69</v>
      </c>
      <c r="X466" t="str">
        <f>PROPER(Sales_Data!X466)</f>
        <v/>
      </c>
    </row>
    <row r="467" spans="1:24" x14ac:dyDescent="0.3">
      <c r="A467" s="65" t="s">
        <v>1973</v>
      </c>
      <c r="B467" s="66" t="s">
        <v>83</v>
      </c>
      <c r="C467" s="66" t="s">
        <v>54</v>
      </c>
      <c r="D467" s="67">
        <v>45665</v>
      </c>
      <c r="E467" s="68" t="s">
        <v>1282</v>
      </c>
      <c r="F467" s="66" t="str">
        <f>TRIM(PROPER(Sales_Data!F467))</f>
        <v>Arjun Rao</v>
      </c>
      <c r="G467" s="66" t="s">
        <v>76</v>
      </c>
      <c r="H467" s="66" t="s">
        <v>1974</v>
      </c>
      <c r="I467" s="66" t="s">
        <v>212</v>
      </c>
      <c r="J467" s="66" t="str">
        <f>PROPER(Sales_Data!J467)</f>
        <v>North</v>
      </c>
      <c r="K467" s="66" t="str">
        <f>PROPER(Sales_Data!K467)</f>
        <v>Electronics</v>
      </c>
      <c r="L467" s="66" t="s">
        <v>60</v>
      </c>
      <c r="M467" s="66">
        <v>2</v>
      </c>
      <c r="N467" s="66">
        <v>55000</v>
      </c>
      <c r="O467" s="66">
        <v>0</v>
      </c>
      <c r="P467" s="66">
        <v>110000</v>
      </c>
      <c r="Q467" s="66">
        <v>4</v>
      </c>
      <c r="R467" s="66" t="s">
        <v>48</v>
      </c>
      <c r="S467" s="66" t="s">
        <v>49</v>
      </c>
      <c r="T467" s="66" t="s">
        <v>89</v>
      </c>
      <c r="U467" s="69" t="s">
        <v>1975</v>
      </c>
      <c r="V467" s="66" t="s">
        <v>69</v>
      </c>
      <c r="X467" t="str">
        <f>PROPER(Sales_Data!X467)</f>
        <v/>
      </c>
    </row>
    <row r="468" spans="1:24" x14ac:dyDescent="0.3">
      <c r="A468" s="65" t="s">
        <v>1976</v>
      </c>
      <c r="B468" s="66" t="s">
        <v>53</v>
      </c>
      <c r="C468" s="66" t="s">
        <v>24</v>
      </c>
      <c r="D468" s="67">
        <v>45658</v>
      </c>
      <c r="E468" s="68" t="s">
        <v>513</v>
      </c>
      <c r="F468" s="66" t="str">
        <f>TRIM(PROPER(Sales_Data!F468))</f>
        <v>Pooja Shah</v>
      </c>
      <c r="G468" s="66" t="s">
        <v>28</v>
      </c>
      <c r="H468" s="66" t="s">
        <v>1977</v>
      </c>
      <c r="I468" s="66" t="s">
        <v>114</v>
      </c>
      <c r="J468" s="66" t="str">
        <f>PROPER(Sales_Data!J468)</f>
        <v>West</v>
      </c>
      <c r="K468" s="66" t="str">
        <f>PROPER(Sales_Data!K468)</f>
        <v>Home Appliances</v>
      </c>
      <c r="L468" s="66" t="s">
        <v>33</v>
      </c>
      <c r="M468" s="66">
        <v>7</v>
      </c>
      <c r="N468" s="66">
        <v>2200</v>
      </c>
      <c r="O468" s="66">
        <v>5</v>
      </c>
      <c r="P468" s="66">
        <v>14630</v>
      </c>
      <c r="Q468" s="66">
        <v>4</v>
      </c>
      <c r="R468" s="66" t="s">
        <v>79</v>
      </c>
      <c r="S468" s="66" t="s">
        <v>115</v>
      </c>
      <c r="T468" s="66" t="s">
        <v>62</v>
      </c>
      <c r="U468" s="69" t="s">
        <v>1978</v>
      </c>
      <c r="V468" s="66" t="s">
        <v>69</v>
      </c>
      <c r="X468" t="str">
        <f>PROPER(Sales_Data!X468)</f>
        <v/>
      </c>
    </row>
    <row r="469" spans="1:24" x14ac:dyDescent="0.3">
      <c r="A469" s="65" t="s">
        <v>1979</v>
      </c>
      <c r="B469" s="66" t="s">
        <v>23</v>
      </c>
      <c r="C469" s="66" t="s">
        <v>259</v>
      </c>
      <c r="D469" s="67">
        <v>45873</v>
      </c>
      <c r="E469" s="68" t="s">
        <v>577</v>
      </c>
      <c r="F469" s="66" t="str">
        <f>TRIM(PROPER(Sales_Data!F469))</f>
        <v>Kavya Nair</v>
      </c>
      <c r="G469" s="66" t="s">
        <v>28</v>
      </c>
      <c r="H469" s="66" t="s">
        <v>1980</v>
      </c>
      <c r="I469" s="66" t="s">
        <v>138</v>
      </c>
      <c r="J469" s="66" t="str">
        <f>PROPER(Sales_Data!J469)</f>
        <v>West</v>
      </c>
      <c r="K469" s="66" t="str">
        <f>PROPER(Sales_Data!K469)</f>
        <v>Stationery</v>
      </c>
      <c r="L469" s="66" t="s">
        <v>263</v>
      </c>
      <c r="M469" s="66">
        <v>11</v>
      </c>
      <c r="N469" s="66">
        <v>45</v>
      </c>
      <c r="O469" s="66">
        <v>15</v>
      </c>
      <c r="P469" s="66">
        <v>420.75</v>
      </c>
      <c r="Q469" s="66">
        <v>4</v>
      </c>
      <c r="R469" s="66" t="s">
        <v>79</v>
      </c>
      <c r="S469" s="66" t="s">
        <v>61</v>
      </c>
      <c r="T469" s="66" t="s">
        <v>50</v>
      </c>
      <c r="U469" s="69" t="s">
        <v>1981</v>
      </c>
      <c r="V469" s="66" t="s">
        <v>64</v>
      </c>
      <c r="X469" t="str">
        <f>PROPER(Sales_Data!X469)</f>
        <v/>
      </c>
    </row>
    <row r="470" spans="1:24" x14ac:dyDescent="0.3">
      <c r="A470" s="65" t="s">
        <v>1982</v>
      </c>
      <c r="B470" s="66" t="s">
        <v>100</v>
      </c>
      <c r="C470" s="66" t="s">
        <v>118</v>
      </c>
      <c r="D470" s="67" t="s">
        <v>1114</v>
      </c>
      <c r="E470" s="68" t="s">
        <v>210</v>
      </c>
      <c r="F470" s="66" t="str">
        <f>TRIM(PROPER(Sales_Data!F470))</f>
        <v>Priya Patel</v>
      </c>
      <c r="G470" s="66" t="s">
        <v>28</v>
      </c>
      <c r="H470" s="66" t="s">
        <v>1983</v>
      </c>
      <c r="I470" s="66" t="s">
        <v>105</v>
      </c>
      <c r="J470" s="66" t="str">
        <f>PROPER(Sales_Data!J470)</f>
        <v>West</v>
      </c>
      <c r="K470" s="66" t="str">
        <f>PROPER(Sales_Data!K470)</f>
        <v>Stationery</v>
      </c>
      <c r="L470" s="66" t="s">
        <v>123</v>
      </c>
      <c r="M470" s="66">
        <v>16</v>
      </c>
      <c r="N470" s="66">
        <v>60</v>
      </c>
      <c r="O470" s="66">
        <v>5</v>
      </c>
      <c r="P470" s="66">
        <v>912</v>
      </c>
      <c r="Q470" s="66">
        <v>2</v>
      </c>
      <c r="R470" s="66" t="s">
        <v>34</v>
      </c>
      <c r="S470" s="66" t="s">
        <v>115</v>
      </c>
      <c r="T470" s="66" t="s">
        <v>144</v>
      </c>
      <c r="U470" s="69" t="s">
        <v>1984</v>
      </c>
      <c r="V470" s="66" t="s">
        <v>69</v>
      </c>
      <c r="X470" t="str">
        <f>PROPER(Sales_Data!X470)</f>
        <v/>
      </c>
    </row>
    <row r="471" spans="1:24" x14ac:dyDescent="0.3">
      <c r="A471" s="65" t="s">
        <v>1985</v>
      </c>
      <c r="B471" s="66" t="s">
        <v>327</v>
      </c>
      <c r="C471" s="66" t="s">
        <v>54</v>
      </c>
      <c r="D471" s="67">
        <v>45699</v>
      </c>
      <c r="E471" s="68" t="s">
        <v>864</v>
      </c>
      <c r="F471" s="66" t="str">
        <f>TRIM(PROPER(Sales_Data!F471))</f>
        <v>Amit Sharma</v>
      </c>
      <c r="G471" s="66" t="s">
        <v>76</v>
      </c>
      <c r="H471" s="66" t="s">
        <v>1986</v>
      </c>
      <c r="I471" s="66" t="s">
        <v>114</v>
      </c>
      <c r="J471" s="66" t="str">
        <f>PROPER(Sales_Data!J471)</f>
        <v>West</v>
      </c>
      <c r="K471" s="66" t="str">
        <f>PROPER(Sales_Data!K471)</f>
        <v>Electronics</v>
      </c>
      <c r="L471" s="66" t="s">
        <v>60</v>
      </c>
      <c r="M471" s="66">
        <v>18</v>
      </c>
      <c r="N471" s="66">
        <v>55000</v>
      </c>
      <c r="O471" s="66">
        <v>0</v>
      </c>
      <c r="P471" s="66">
        <v>990000</v>
      </c>
      <c r="Q471" s="66">
        <v>5</v>
      </c>
      <c r="R471" s="66" t="s">
        <v>48</v>
      </c>
      <c r="S471" s="66" t="s">
        <v>49</v>
      </c>
      <c r="T471" s="66" t="s">
        <v>332</v>
      </c>
      <c r="U471" s="69" t="s">
        <v>1987</v>
      </c>
      <c r="V471" s="66" t="s">
        <v>64</v>
      </c>
      <c r="X471" t="str">
        <f>PROPER(Sales_Data!X471)</f>
        <v/>
      </c>
    </row>
    <row r="472" spans="1:24" x14ac:dyDescent="0.3">
      <c r="A472" s="65" t="s">
        <v>1988</v>
      </c>
      <c r="B472" s="66" t="s">
        <v>23</v>
      </c>
      <c r="C472" s="66" t="s">
        <v>72</v>
      </c>
      <c r="D472" s="67" t="s">
        <v>1989</v>
      </c>
      <c r="E472" s="68" t="s">
        <v>1880</v>
      </c>
      <c r="F472" s="66" t="str">
        <f>TRIM(PROPER(Sales_Data!F472))</f>
        <v>Kavya Nair</v>
      </c>
      <c r="G472" s="66" t="s">
        <v>28</v>
      </c>
      <c r="H472" s="66" t="s">
        <v>1990</v>
      </c>
      <c r="I472" s="66" t="s">
        <v>59</v>
      </c>
      <c r="J472" s="66" t="str">
        <f>PROPER(Sales_Data!J472)</f>
        <v>South</v>
      </c>
      <c r="K472" s="66" t="str">
        <f>PROPER(Sales_Data!K472)</f>
        <v>Electronics</v>
      </c>
      <c r="L472" s="66" t="s">
        <v>78</v>
      </c>
      <c r="M472" s="66">
        <v>17</v>
      </c>
      <c r="N472" s="66">
        <v>1200</v>
      </c>
      <c r="O472" s="66">
        <v>5</v>
      </c>
      <c r="P472" s="66">
        <v>19380</v>
      </c>
      <c r="Q472" s="66">
        <v>1</v>
      </c>
      <c r="R472" s="66" t="s">
        <v>48</v>
      </c>
      <c r="S472" s="66" t="s">
        <v>35</v>
      </c>
      <c r="T472" s="66" t="s">
        <v>50</v>
      </c>
      <c r="U472" s="69" t="s">
        <v>1991</v>
      </c>
      <c r="V472" s="66" t="s">
        <v>64</v>
      </c>
      <c r="X472" t="str">
        <f>PROPER(Sales_Data!X472)</f>
        <v/>
      </c>
    </row>
    <row r="473" spans="1:24" x14ac:dyDescent="0.3">
      <c r="A473" s="65" t="s">
        <v>1992</v>
      </c>
      <c r="B473" s="66" t="s">
        <v>53</v>
      </c>
      <c r="C473" s="66" t="s">
        <v>54</v>
      </c>
      <c r="D473" s="67" t="s">
        <v>41</v>
      </c>
      <c r="E473" s="68" t="s">
        <v>199</v>
      </c>
      <c r="F473" s="66" t="str">
        <f>TRIM(PROPER(Sales_Data!F473))</f>
        <v>Pooja Shah</v>
      </c>
      <c r="G473" s="66" t="s">
        <v>28</v>
      </c>
      <c r="H473" s="66" t="s">
        <v>1993</v>
      </c>
      <c r="I473" s="66" t="s">
        <v>114</v>
      </c>
      <c r="J473" s="66" t="str">
        <f>PROPER(Sales_Data!J473)</f>
        <v>West</v>
      </c>
      <c r="K473" s="66" t="str">
        <f>PROPER(Sales_Data!K473)</f>
        <v>Electronics</v>
      </c>
      <c r="L473" s="66" t="s">
        <v>60</v>
      </c>
      <c r="M473" s="66">
        <v>11</v>
      </c>
      <c r="N473" s="66">
        <v>55000</v>
      </c>
      <c r="O473" s="66">
        <v>0</v>
      </c>
      <c r="P473" s="66">
        <v>605000</v>
      </c>
      <c r="Q473" s="66">
        <v>2</v>
      </c>
      <c r="R473" s="66" t="s">
        <v>34</v>
      </c>
      <c r="S473" s="66" t="s">
        <v>61</v>
      </c>
      <c r="T473" s="66" t="s">
        <v>62</v>
      </c>
      <c r="U473" s="69" t="s">
        <v>1994</v>
      </c>
      <c r="V473" s="66" t="s">
        <v>64</v>
      </c>
      <c r="X473" t="str">
        <f>PROPER(Sales_Data!X473)</f>
        <v/>
      </c>
    </row>
    <row r="474" spans="1:24" x14ac:dyDescent="0.3">
      <c r="A474" s="65" t="s">
        <v>1995</v>
      </c>
      <c r="B474" s="66" t="s">
        <v>251</v>
      </c>
      <c r="C474" s="66" t="s">
        <v>184</v>
      </c>
      <c r="D474" s="67" t="s">
        <v>236</v>
      </c>
      <c r="E474" s="68" t="s">
        <v>678</v>
      </c>
      <c r="F474" s="66" t="str">
        <f>TRIM(PROPER(Sales_Data!F474))</f>
        <v>Sneha Joshi</v>
      </c>
      <c r="G474" s="66" t="s">
        <v>28</v>
      </c>
      <c r="H474" s="66" t="s">
        <v>1996</v>
      </c>
      <c r="I474" s="66" t="s">
        <v>44</v>
      </c>
      <c r="J474" s="66" t="str">
        <f>PROPER(Sales_Data!J474)</f>
        <v>North</v>
      </c>
      <c r="K474" s="66" t="str">
        <f>PROPER(Sales_Data!K474)</f>
        <v>Electronics</v>
      </c>
      <c r="L474" s="66" t="s">
        <v>189</v>
      </c>
      <c r="M474" s="66">
        <v>20</v>
      </c>
      <c r="N474" s="66">
        <v>700</v>
      </c>
      <c r="O474" s="66">
        <v>20</v>
      </c>
      <c r="P474" s="66">
        <v>11200</v>
      </c>
      <c r="Q474" s="66">
        <v>5</v>
      </c>
      <c r="R474" s="66" t="s">
        <v>48</v>
      </c>
      <c r="S474" s="66" t="s">
        <v>61</v>
      </c>
      <c r="T474" s="66" t="s">
        <v>256</v>
      </c>
      <c r="U474" s="69" t="s">
        <v>1997</v>
      </c>
      <c r="V474" s="66" t="s">
        <v>38</v>
      </c>
      <c r="X474" t="str">
        <f>PROPER(Sales_Data!X474)</f>
        <v/>
      </c>
    </row>
    <row r="475" spans="1:24" x14ac:dyDescent="0.3">
      <c r="A475" s="65" t="s">
        <v>1998</v>
      </c>
      <c r="B475" s="66" t="s">
        <v>71</v>
      </c>
      <c r="C475" s="66" t="s">
        <v>222</v>
      </c>
      <c r="D475" s="67" t="s">
        <v>484</v>
      </c>
      <c r="E475" s="68" t="s">
        <v>322</v>
      </c>
      <c r="F475" s="66" t="str">
        <f>TRIM(PROPER(Sales_Data!F475))</f>
        <v>Mohit Verma</v>
      </c>
      <c r="G475" s="66" t="s">
        <v>76</v>
      </c>
      <c r="H475" s="66" t="s">
        <v>1999</v>
      </c>
      <c r="I475" s="66" t="s">
        <v>44</v>
      </c>
      <c r="J475" s="66" t="str">
        <f>PROPER(Sales_Data!J475)</f>
        <v>North</v>
      </c>
      <c r="K475" s="66" t="str">
        <f>PROPER(Sales_Data!K475)</f>
        <v>Stationery</v>
      </c>
      <c r="L475" s="66" t="s">
        <v>227</v>
      </c>
      <c r="M475" s="66">
        <v>5</v>
      </c>
      <c r="N475" s="66">
        <v>20</v>
      </c>
      <c r="O475" s="66">
        <v>5</v>
      </c>
      <c r="P475" s="66">
        <v>95</v>
      </c>
      <c r="Q475" s="66">
        <v>4</v>
      </c>
      <c r="R475" s="66" t="s">
        <v>34</v>
      </c>
      <c r="S475" s="66" t="s">
        <v>49</v>
      </c>
      <c r="T475" s="66" t="s">
        <v>80</v>
      </c>
      <c r="U475" s="69" t="s">
        <v>2000</v>
      </c>
      <c r="V475" s="66" t="s">
        <v>69</v>
      </c>
      <c r="X475" t="str">
        <f>PROPER(Sales_Data!X475)</f>
        <v/>
      </c>
    </row>
    <row r="476" spans="1:24" x14ac:dyDescent="0.3">
      <c r="A476" s="65" t="s">
        <v>2001</v>
      </c>
      <c r="B476" s="66" t="s">
        <v>327</v>
      </c>
      <c r="C476" s="66" t="s">
        <v>54</v>
      </c>
      <c r="D476" s="67">
        <v>45749</v>
      </c>
      <c r="E476" s="68" t="s">
        <v>1373</v>
      </c>
      <c r="F476" s="66" t="str">
        <f>TRIM(PROPER(Sales_Data!F476))</f>
        <v>Amit Sharma</v>
      </c>
      <c r="G476" s="66" t="s">
        <v>76</v>
      </c>
      <c r="H476" s="66" t="s">
        <v>2002</v>
      </c>
      <c r="I476" s="66" t="s">
        <v>105</v>
      </c>
      <c r="J476" s="66" t="str">
        <f>PROPER(Sales_Data!J476)</f>
        <v>West</v>
      </c>
      <c r="K476" s="66" t="str">
        <f>PROPER(Sales_Data!K476)</f>
        <v>Electronics</v>
      </c>
      <c r="L476" s="66" t="s">
        <v>60</v>
      </c>
      <c r="M476" s="66">
        <v>13</v>
      </c>
      <c r="N476" s="66">
        <v>55000</v>
      </c>
      <c r="O476" s="66">
        <v>5</v>
      </c>
      <c r="P476" s="66">
        <v>679250</v>
      </c>
      <c r="Q476" s="66">
        <v>1</v>
      </c>
      <c r="R476" s="66" t="s">
        <v>48</v>
      </c>
      <c r="S476" s="66" t="s">
        <v>49</v>
      </c>
      <c r="T476" s="66" t="s">
        <v>332</v>
      </c>
      <c r="U476" s="69" t="s">
        <v>2003</v>
      </c>
      <c r="V476" s="66" t="s">
        <v>64</v>
      </c>
      <c r="X476" t="str">
        <f>PROPER(Sales_Data!X476)</f>
        <v/>
      </c>
    </row>
    <row r="477" spans="1:24" x14ac:dyDescent="0.3">
      <c r="A477" s="65" t="s">
        <v>2004</v>
      </c>
      <c r="B477" s="66" t="s">
        <v>127</v>
      </c>
      <c r="C477" s="66" t="s">
        <v>54</v>
      </c>
      <c r="D477" s="67" t="s">
        <v>102</v>
      </c>
      <c r="E477" s="68" t="s">
        <v>1114</v>
      </c>
      <c r="F477" s="66" t="str">
        <f>TRIM(PROPER(Sales_Data!F477))</f>
        <v>Rohit Singh</v>
      </c>
      <c r="G477" s="66" t="s">
        <v>76</v>
      </c>
      <c r="H477" s="66" t="s">
        <v>2005</v>
      </c>
      <c r="I477" s="66" t="s">
        <v>294</v>
      </c>
      <c r="J477" s="66" t="str">
        <f>PROPER(Sales_Data!J477)</f>
        <v>East</v>
      </c>
      <c r="K477" s="66" t="str">
        <f>PROPER(Sales_Data!K477)</f>
        <v>Electronics</v>
      </c>
      <c r="L477" s="66" t="s">
        <v>60</v>
      </c>
      <c r="M477" s="66">
        <v>12</v>
      </c>
      <c r="N477" s="66">
        <v>55000</v>
      </c>
      <c r="O477" s="66">
        <v>5</v>
      </c>
      <c r="P477" s="66">
        <v>627000</v>
      </c>
      <c r="Q477" s="66">
        <v>1</v>
      </c>
      <c r="R477" s="66" t="s">
        <v>48</v>
      </c>
      <c r="S477" s="66" t="s">
        <v>115</v>
      </c>
      <c r="T477" s="66" t="s">
        <v>132</v>
      </c>
      <c r="U477" s="69" t="s">
        <v>2006</v>
      </c>
      <c r="V477" s="66" t="s">
        <v>69</v>
      </c>
      <c r="X477" t="str">
        <f>PROPER(Sales_Data!X477)</f>
        <v/>
      </c>
    </row>
    <row r="478" spans="1:24" x14ac:dyDescent="0.3">
      <c r="A478" s="65" t="s">
        <v>2007</v>
      </c>
      <c r="B478" s="66" t="s">
        <v>53</v>
      </c>
      <c r="C478" s="66" t="s">
        <v>259</v>
      </c>
      <c r="D478" s="67" t="s">
        <v>761</v>
      </c>
      <c r="E478" s="68" t="s">
        <v>1705</v>
      </c>
      <c r="F478" s="66" t="str">
        <f>TRIM(PROPER(Sales_Data!F478))</f>
        <v>Pooja Shah</v>
      </c>
      <c r="G478" s="66" t="s">
        <v>28</v>
      </c>
      <c r="H478" s="66" t="s">
        <v>2008</v>
      </c>
      <c r="I478" s="66" t="s">
        <v>105</v>
      </c>
      <c r="J478" s="66" t="str">
        <f>PROPER(Sales_Data!J478)</f>
        <v>West</v>
      </c>
      <c r="K478" s="66" t="str">
        <f>PROPER(Sales_Data!K478)</f>
        <v>Stationery</v>
      </c>
      <c r="L478" s="66" t="s">
        <v>263</v>
      </c>
      <c r="M478" s="66">
        <v>16</v>
      </c>
      <c r="N478" s="66">
        <v>45</v>
      </c>
      <c r="O478" s="66">
        <v>20</v>
      </c>
      <c r="P478" s="66">
        <v>576</v>
      </c>
      <c r="Q478" s="66">
        <v>2</v>
      </c>
      <c r="R478" s="66" t="s">
        <v>34</v>
      </c>
      <c r="S478" s="66" t="s">
        <v>49</v>
      </c>
      <c r="T478" s="66" t="s">
        <v>62</v>
      </c>
      <c r="U478" s="69" t="s">
        <v>2009</v>
      </c>
      <c r="V478" s="66" t="s">
        <v>64</v>
      </c>
      <c r="X478" t="str">
        <f>PROPER(Sales_Data!X478)</f>
        <v/>
      </c>
    </row>
    <row r="479" spans="1:24" x14ac:dyDescent="0.3">
      <c r="A479" s="65" t="s">
        <v>2010</v>
      </c>
      <c r="B479" s="66" t="s">
        <v>23</v>
      </c>
      <c r="C479" s="66" t="s">
        <v>72</v>
      </c>
      <c r="D479" s="67" t="s">
        <v>25</v>
      </c>
      <c r="E479" s="68" t="s">
        <v>73</v>
      </c>
      <c r="F479" s="66" t="str">
        <f>TRIM(PROPER(Sales_Data!F479))</f>
        <v>Kavya Nair</v>
      </c>
      <c r="G479" s="66" t="s">
        <v>28</v>
      </c>
      <c r="H479" s="66" t="s">
        <v>2011</v>
      </c>
      <c r="I479" s="66" t="s">
        <v>59</v>
      </c>
      <c r="J479" s="66" t="str">
        <f>PROPER(Sales_Data!J479)</f>
        <v>South</v>
      </c>
      <c r="K479" s="66" t="str">
        <f>PROPER(Sales_Data!K479)</f>
        <v>Electronics</v>
      </c>
      <c r="L479" s="66" t="s">
        <v>78</v>
      </c>
      <c r="M479" s="66">
        <v>5</v>
      </c>
      <c r="N479" s="66">
        <v>1200</v>
      </c>
      <c r="O479" s="66">
        <v>10</v>
      </c>
      <c r="P479" s="66">
        <v>5400</v>
      </c>
      <c r="Q479" s="66">
        <v>1</v>
      </c>
      <c r="R479" s="66" t="s">
        <v>34</v>
      </c>
      <c r="S479" s="66" t="s">
        <v>2140</v>
      </c>
      <c r="T479" s="66" t="s">
        <v>2012</v>
      </c>
      <c r="U479" s="69" t="s">
        <v>2013</v>
      </c>
      <c r="V479" s="66" t="s">
        <v>38</v>
      </c>
      <c r="X479" t="str">
        <f>PROPER(Sales_Data!X479)</f>
        <v/>
      </c>
    </row>
    <row r="480" spans="1:24" x14ac:dyDescent="0.3">
      <c r="A480" s="65" t="s">
        <v>2014</v>
      </c>
      <c r="B480" s="66" t="s">
        <v>168</v>
      </c>
      <c r="C480" s="66" t="s">
        <v>259</v>
      </c>
      <c r="D480" s="67" t="s">
        <v>282</v>
      </c>
      <c r="E480" s="68" t="s">
        <v>702</v>
      </c>
      <c r="F480" s="66" t="str">
        <f>TRIM(PROPER(Sales_Data!F480))</f>
        <v>Anita Gupta</v>
      </c>
      <c r="G480" s="66" t="s">
        <v>28</v>
      </c>
      <c r="H480" s="66" t="s">
        <v>2016</v>
      </c>
      <c r="I480" s="66" t="s">
        <v>294</v>
      </c>
      <c r="J480" s="66" t="str">
        <f>PROPER(Sales_Data!J480)</f>
        <v>East</v>
      </c>
      <c r="K480" s="66" t="str">
        <f>PROPER(Sales_Data!K480)</f>
        <v>Stationery</v>
      </c>
      <c r="L480" s="66" t="s">
        <v>263</v>
      </c>
      <c r="M480" s="66">
        <v>2</v>
      </c>
      <c r="N480" s="66">
        <v>45</v>
      </c>
      <c r="O480" s="66">
        <v>10</v>
      </c>
      <c r="P480" s="66">
        <v>81</v>
      </c>
      <c r="Q480" s="66">
        <v>4</v>
      </c>
      <c r="R480" s="66" t="s">
        <v>88</v>
      </c>
      <c r="S480" s="66" t="s">
        <v>49</v>
      </c>
      <c r="T480" s="66" t="s">
        <v>175</v>
      </c>
      <c r="U480" s="69" t="s">
        <v>2017</v>
      </c>
      <c r="V480" s="66" t="s">
        <v>64</v>
      </c>
      <c r="X480" t="str">
        <f>PROPER(Sales_Data!X480)</f>
        <v/>
      </c>
    </row>
    <row r="481" spans="1:24" x14ac:dyDescent="0.3">
      <c r="A481" s="65" t="s">
        <v>2018</v>
      </c>
      <c r="B481" s="66" t="s">
        <v>127</v>
      </c>
      <c r="C481" s="66" t="s">
        <v>40</v>
      </c>
      <c r="D481" s="67">
        <v>46357</v>
      </c>
      <c r="E481" s="68" t="s">
        <v>587</v>
      </c>
      <c r="F481" s="66" t="str">
        <f>TRIM(PROPER(Sales_Data!F481))</f>
        <v>Rohit Singh</v>
      </c>
      <c r="G481" s="66" t="s">
        <v>76</v>
      </c>
      <c r="H481" s="66" t="s">
        <v>2019</v>
      </c>
      <c r="I481" s="66" t="s">
        <v>138</v>
      </c>
      <c r="J481" s="66" t="str">
        <f>PROPER(Sales_Data!J481)</f>
        <v>West</v>
      </c>
      <c r="K481" s="66" t="str">
        <f>PROPER(Sales_Data!K481)</f>
        <v>Electronics</v>
      </c>
      <c r="L481" s="66" t="s">
        <v>47</v>
      </c>
      <c r="M481" s="66">
        <v>3</v>
      </c>
      <c r="N481" s="66">
        <v>12000</v>
      </c>
      <c r="O481" s="66">
        <v>0</v>
      </c>
      <c r="P481" s="66">
        <v>36000</v>
      </c>
      <c r="Q481" s="66">
        <v>2</v>
      </c>
      <c r="R481" s="66" t="s">
        <v>88</v>
      </c>
      <c r="S481" s="66" t="s">
        <v>151</v>
      </c>
      <c r="T481" s="66" t="s">
        <v>132</v>
      </c>
      <c r="U481" s="69" t="s">
        <v>2020</v>
      </c>
      <c r="V481" s="66" t="s">
        <v>64</v>
      </c>
      <c r="X481" t="str">
        <f>PROPER(Sales_Data!X481)</f>
        <v/>
      </c>
    </row>
    <row r="482" spans="1:24" x14ac:dyDescent="0.3">
      <c r="A482" s="65" t="s">
        <v>2021</v>
      </c>
      <c r="B482" s="66" t="s">
        <v>23</v>
      </c>
      <c r="C482" s="66" t="s">
        <v>40</v>
      </c>
      <c r="D482" s="67" t="s">
        <v>2022</v>
      </c>
      <c r="E482" s="68" t="s">
        <v>1863</v>
      </c>
      <c r="F482" s="66" t="str">
        <f>TRIM(PROPER(Sales_Data!F482))</f>
        <v>Kavya Nair</v>
      </c>
      <c r="G482" s="66" t="s">
        <v>28</v>
      </c>
      <c r="H482" s="66" t="s">
        <v>2023</v>
      </c>
      <c r="I482" s="66" t="s">
        <v>59</v>
      </c>
      <c r="J482" s="66" t="str">
        <f>PROPER(Sales_Data!J482)</f>
        <v>South</v>
      </c>
      <c r="K482" s="66" t="str">
        <f>PROPER(Sales_Data!K482)</f>
        <v>Electronics</v>
      </c>
      <c r="L482" s="66" t="s">
        <v>47</v>
      </c>
      <c r="M482" s="66">
        <v>3</v>
      </c>
      <c r="N482" s="66">
        <v>12000</v>
      </c>
      <c r="O482" s="66">
        <v>20</v>
      </c>
      <c r="P482" s="66">
        <v>28800</v>
      </c>
      <c r="Q482" s="66">
        <v>3</v>
      </c>
      <c r="R482" s="66" t="s">
        <v>88</v>
      </c>
      <c r="S482" s="66" t="s">
        <v>115</v>
      </c>
      <c r="T482" s="66" t="s">
        <v>50</v>
      </c>
      <c r="U482" s="69" t="s">
        <v>2024</v>
      </c>
      <c r="V482" s="66" t="s">
        <v>38</v>
      </c>
      <c r="X482" t="str">
        <f>PROPER(Sales_Data!X482)</f>
        <v/>
      </c>
    </row>
    <row r="483" spans="1:24" x14ac:dyDescent="0.3">
      <c r="A483" s="65" t="s">
        <v>2025</v>
      </c>
      <c r="B483" s="66" t="s">
        <v>127</v>
      </c>
      <c r="C483" s="66" t="s">
        <v>169</v>
      </c>
      <c r="D483" s="67">
        <v>46207</v>
      </c>
      <c r="E483" s="68" t="s">
        <v>161</v>
      </c>
      <c r="F483" s="66" t="str">
        <f>TRIM(PROPER(Sales_Data!F483))</f>
        <v>Rohit Singh</v>
      </c>
      <c r="G483" s="66" t="s">
        <v>76</v>
      </c>
      <c r="H483" s="66" t="s">
        <v>2026</v>
      </c>
      <c r="I483" s="66" t="s">
        <v>294</v>
      </c>
      <c r="J483" s="66" t="str">
        <f>PROPER(Sales_Data!J483)</f>
        <v>East</v>
      </c>
      <c r="K483" s="66" t="str">
        <f>PROPER(Sales_Data!K483)</f>
        <v>Home Appliances</v>
      </c>
      <c r="L483" s="66" t="s">
        <v>174</v>
      </c>
      <c r="M483" s="66">
        <v>9</v>
      </c>
      <c r="N483" s="66">
        <v>8500</v>
      </c>
      <c r="O483" s="66">
        <v>15</v>
      </c>
      <c r="P483" s="66">
        <v>65025</v>
      </c>
      <c r="Q483" s="66">
        <v>5</v>
      </c>
      <c r="R483" s="66" t="s">
        <v>34</v>
      </c>
      <c r="S483" s="66" t="s">
        <v>49</v>
      </c>
      <c r="T483" s="66" t="s">
        <v>132</v>
      </c>
      <c r="U483" s="69" t="s">
        <v>2027</v>
      </c>
      <c r="V483" s="66" t="s">
        <v>64</v>
      </c>
      <c r="X483" t="str">
        <f>PROPER(Sales_Data!X483)</f>
        <v/>
      </c>
    </row>
    <row r="484" spans="1:24" x14ac:dyDescent="0.3">
      <c r="A484" s="65" t="s">
        <v>2028</v>
      </c>
      <c r="B484" s="66" t="s">
        <v>71</v>
      </c>
      <c r="C484" s="66" t="s">
        <v>184</v>
      </c>
      <c r="D484" s="67" t="s">
        <v>261</v>
      </c>
      <c r="E484" s="68" t="s">
        <v>881</v>
      </c>
      <c r="F484" s="66" t="str">
        <f>TRIM(PROPER(Sales_Data!F484))</f>
        <v>Mohit Verma</v>
      </c>
      <c r="G484" s="66" t="s">
        <v>76</v>
      </c>
      <c r="H484" s="66" t="s">
        <v>2030</v>
      </c>
      <c r="I484" s="66" t="s">
        <v>294</v>
      </c>
      <c r="J484" s="66" t="str">
        <f>PROPER(Sales_Data!J484)</f>
        <v>East</v>
      </c>
      <c r="K484" s="66" t="str">
        <f>PROPER(Sales_Data!K484)</f>
        <v>Electronics</v>
      </c>
      <c r="L484" s="66" t="s">
        <v>189</v>
      </c>
      <c r="M484" s="66">
        <v>17</v>
      </c>
      <c r="N484" s="66">
        <v>700</v>
      </c>
      <c r="O484" s="66">
        <v>0</v>
      </c>
      <c r="P484" s="66">
        <v>11900</v>
      </c>
      <c r="Q484" s="66">
        <v>2</v>
      </c>
      <c r="R484" s="66" t="s">
        <v>34</v>
      </c>
      <c r="S484" s="66" t="s">
        <v>61</v>
      </c>
      <c r="T484" s="66" t="s">
        <v>80</v>
      </c>
      <c r="U484" s="69" t="s">
        <v>2031</v>
      </c>
      <c r="V484" s="66" t="s">
        <v>69</v>
      </c>
      <c r="X484" t="str">
        <f>PROPER(Sales_Data!X484)</f>
        <v/>
      </c>
    </row>
    <row r="485" spans="1:24" x14ac:dyDescent="0.3">
      <c r="A485" s="65" t="s">
        <v>2032</v>
      </c>
      <c r="B485" s="66" t="s">
        <v>23</v>
      </c>
      <c r="C485" s="66" t="s">
        <v>184</v>
      </c>
      <c r="D485" s="67">
        <v>45876</v>
      </c>
      <c r="E485" s="68" t="s">
        <v>1572</v>
      </c>
      <c r="F485" s="66" t="str">
        <f>TRIM(PROPER(Sales_Data!F485))</f>
        <v>Kavya Nair</v>
      </c>
      <c r="G485" s="66" t="s">
        <v>28</v>
      </c>
      <c r="H485" s="66" t="s">
        <v>2033</v>
      </c>
      <c r="I485" s="66" t="s">
        <v>30</v>
      </c>
      <c r="J485" s="66" t="str">
        <f>PROPER(Sales_Data!J485)</f>
        <v>South</v>
      </c>
      <c r="K485" s="66" t="str">
        <f>PROPER(Sales_Data!K485)</f>
        <v>Electronics</v>
      </c>
      <c r="L485" s="66" t="s">
        <v>189</v>
      </c>
      <c r="M485" s="66">
        <v>20</v>
      </c>
      <c r="N485" s="66">
        <v>700</v>
      </c>
      <c r="O485" s="66">
        <v>5</v>
      </c>
      <c r="P485" s="66">
        <v>13300</v>
      </c>
      <c r="Q485" s="66">
        <v>2</v>
      </c>
      <c r="R485" s="66" t="s">
        <v>88</v>
      </c>
      <c r="S485" s="66" t="s">
        <v>35</v>
      </c>
      <c r="T485" s="66" t="s">
        <v>50</v>
      </c>
      <c r="U485" s="69" t="s">
        <v>2034</v>
      </c>
      <c r="V485" s="66" t="s">
        <v>38</v>
      </c>
      <c r="X485" t="str">
        <f>PROPER(Sales_Data!X485)</f>
        <v/>
      </c>
    </row>
    <row r="486" spans="1:24" x14ac:dyDescent="0.3">
      <c r="A486" s="65" t="s">
        <v>2035</v>
      </c>
      <c r="B486" s="66" t="s">
        <v>327</v>
      </c>
      <c r="C486" s="66" t="s">
        <v>72</v>
      </c>
      <c r="D486" s="67">
        <v>46329</v>
      </c>
      <c r="E486" s="68" t="s">
        <v>65</v>
      </c>
      <c r="F486" s="66" t="str">
        <f>TRIM(PROPER(Sales_Data!F486))</f>
        <v>Amit Sharma</v>
      </c>
      <c r="G486" s="66" t="s">
        <v>76</v>
      </c>
      <c r="H486" s="66" t="s">
        <v>2037</v>
      </c>
      <c r="I486" s="66" t="s">
        <v>138</v>
      </c>
      <c r="J486" s="66" t="str">
        <f>PROPER(Sales_Data!J486)</f>
        <v>West</v>
      </c>
      <c r="K486" s="66" t="str">
        <f>PROPER(Sales_Data!K486)</f>
        <v>Electronics</v>
      </c>
      <c r="L486" s="66" t="s">
        <v>78</v>
      </c>
      <c r="M486" s="66">
        <v>13</v>
      </c>
      <c r="N486" s="66">
        <v>1200</v>
      </c>
      <c r="O486" s="66">
        <v>20</v>
      </c>
      <c r="P486" s="66">
        <v>12480</v>
      </c>
      <c r="Q486" s="66">
        <v>5</v>
      </c>
      <c r="R486" s="66" t="s">
        <v>79</v>
      </c>
      <c r="S486" s="66" t="s">
        <v>115</v>
      </c>
      <c r="T486" s="66" t="s">
        <v>332</v>
      </c>
      <c r="U486" s="69" t="s">
        <v>2038</v>
      </c>
      <c r="V486" s="66" t="s">
        <v>38</v>
      </c>
      <c r="X486" t="str">
        <f>PROPER(Sales_Data!X486)</f>
        <v/>
      </c>
    </row>
    <row r="487" spans="1:24" x14ac:dyDescent="0.3">
      <c r="A487" s="65" t="s">
        <v>2039</v>
      </c>
      <c r="B487" s="66" t="s">
        <v>100</v>
      </c>
      <c r="C487" s="66" t="s">
        <v>54</v>
      </c>
      <c r="D487" s="67" t="s">
        <v>2040</v>
      </c>
      <c r="E487" s="68" t="s">
        <v>1932</v>
      </c>
      <c r="F487" s="66" t="str">
        <f>TRIM(PROPER(Sales_Data!F487))</f>
        <v>Priya Patel</v>
      </c>
      <c r="G487" s="66" t="s">
        <v>28</v>
      </c>
      <c r="H487" s="66" t="s">
        <v>1082</v>
      </c>
      <c r="I487" s="66" t="s">
        <v>212</v>
      </c>
      <c r="J487" s="66" t="str">
        <f>PROPER(Sales_Data!J487)</f>
        <v>North</v>
      </c>
      <c r="K487" s="66" t="str">
        <f>PROPER(Sales_Data!K487)</f>
        <v>Electronics</v>
      </c>
      <c r="L487" s="66" t="s">
        <v>60</v>
      </c>
      <c r="M487" s="66">
        <v>20</v>
      </c>
      <c r="N487" s="66">
        <v>55000</v>
      </c>
      <c r="O487" s="66">
        <v>10</v>
      </c>
      <c r="P487" s="66">
        <v>990000</v>
      </c>
      <c r="Q487" s="66">
        <v>1</v>
      </c>
      <c r="R487" s="66" t="s">
        <v>88</v>
      </c>
      <c r="S487" s="66" t="s">
        <v>35</v>
      </c>
      <c r="T487" s="66" t="s">
        <v>144</v>
      </c>
      <c r="U487" s="69" t="s">
        <v>2041</v>
      </c>
      <c r="V487" s="66" t="s">
        <v>64</v>
      </c>
      <c r="X487" t="str">
        <f>PROPER(Sales_Data!X487)</f>
        <v/>
      </c>
    </row>
    <row r="488" spans="1:24" x14ac:dyDescent="0.3">
      <c r="A488" s="65" t="s">
        <v>2042</v>
      </c>
      <c r="B488" s="66" t="s">
        <v>251</v>
      </c>
      <c r="C488" s="66" t="s">
        <v>72</v>
      </c>
      <c r="D488" s="67" t="s">
        <v>531</v>
      </c>
      <c r="E488" s="68" t="s">
        <v>291</v>
      </c>
      <c r="F488" s="66" t="str">
        <f>TRIM(PROPER(Sales_Data!F488))</f>
        <v>Sneha Joshi</v>
      </c>
      <c r="G488" s="66" t="s">
        <v>28</v>
      </c>
      <c r="H488" s="66" t="s">
        <v>2043</v>
      </c>
      <c r="I488" s="66" t="s">
        <v>294</v>
      </c>
      <c r="J488" s="66" t="str">
        <f>PROPER(Sales_Data!J488)</f>
        <v>East</v>
      </c>
      <c r="K488" s="66" t="str">
        <f>PROPER(Sales_Data!K488)</f>
        <v>Electronics</v>
      </c>
      <c r="L488" s="66" t="s">
        <v>78</v>
      </c>
      <c r="M488" s="66">
        <v>8</v>
      </c>
      <c r="N488" s="66">
        <v>1200</v>
      </c>
      <c r="O488" s="66">
        <v>0</v>
      </c>
      <c r="P488" s="66">
        <v>9600</v>
      </c>
      <c r="Q488" s="66">
        <v>2</v>
      </c>
      <c r="R488" s="66" t="s">
        <v>48</v>
      </c>
      <c r="S488" s="66" t="s">
        <v>151</v>
      </c>
      <c r="T488" s="66" t="s">
        <v>256</v>
      </c>
      <c r="U488" s="69" t="s">
        <v>2044</v>
      </c>
      <c r="V488" s="66" t="s">
        <v>38</v>
      </c>
      <c r="X488" t="str">
        <f>PROPER(Sales_Data!X488)</f>
        <v/>
      </c>
    </row>
    <row r="489" spans="1:24" x14ac:dyDescent="0.3">
      <c r="A489" s="65" t="s">
        <v>2045</v>
      </c>
      <c r="B489" s="66" t="s">
        <v>53</v>
      </c>
      <c r="C489" s="66" t="s">
        <v>222</v>
      </c>
      <c r="D489" s="67">
        <v>46147</v>
      </c>
      <c r="E489" s="68" t="s">
        <v>1238</v>
      </c>
      <c r="F489" s="66" t="str">
        <f>TRIM(PROPER(Sales_Data!F489))</f>
        <v>Pooja Shah</v>
      </c>
      <c r="G489" s="66" t="s">
        <v>28</v>
      </c>
      <c r="H489" s="66" t="s">
        <v>2047</v>
      </c>
      <c r="I489" s="66" t="s">
        <v>294</v>
      </c>
      <c r="J489" s="66" t="str">
        <f>PROPER(Sales_Data!J489)</f>
        <v>East</v>
      </c>
      <c r="K489" s="66" t="str">
        <f>PROPER(Sales_Data!K489)</f>
        <v>Stationery</v>
      </c>
      <c r="L489" s="66" t="s">
        <v>227</v>
      </c>
      <c r="M489" s="66">
        <v>18</v>
      </c>
      <c r="N489" s="66">
        <v>20</v>
      </c>
      <c r="O489" s="66">
        <v>10</v>
      </c>
      <c r="P489" s="66">
        <v>324</v>
      </c>
      <c r="Q489" s="66">
        <v>5</v>
      </c>
      <c r="R489" s="66" t="s">
        <v>79</v>
      </c>
      <c r="S489" s="66" t="s">
        <v>2140</v>
      </c>
      <c r="T489" s="66" t="s">
        <v>2048</v>
      </c>
      <c r="U489" s="69" t="s">
        <v>2049</v>
      </c>
      <c r="V489" s="66" t="s">
        <v>64</v>
      </c>
      <c r="X489" t="str">
        <f>PROPER(Sales_Data!X489)</f>
        <v/>
      </c>
    </row>
    <row r="490" spans="1:24" x14ac:dyDescent="0.3">
      <c r="A490" s="65" t="s">
        <v>2050</v>
      </c>
      <c r="B490" s="66" t="s">
        <v>168</v>
      </c>
      <c r="C490" s="66" t="s">
        <v>40</v>
      </c>
      <c r="D490" s="67" t="s">
        <v>2051</v>
      </c>
      <c r="E490" s="68" t="s">
        <v>272</v>
      </c>
      <c r="F490" s="66" t="str">
        <f>TRIM(PROPER(Sales_Data!F490))</f>
        <v>Anita Gupta</v>
      </c>
      <c r="G490" s="66" t="s">
        <v>28</v>
      </c>
      <c r="H490" s="66" t="s">
        <v>2052</v>
      </c>
      <c r="I490" s="66" t="s">
        <v>114</v>
      </c>
      <c r="J490" s="66" t="str">
        <f>PROPER(Sales_Data!J490)</f>
        <v>West</v>
      </c>
      <c r="K490" s="66" t="str">
        <f>PROPER(Sales_Data!K490)</f>
        <v>Electronics</v>
      </c>
      <c r="L490" s="66" t="s">
        <v>47</v>
      </c>
      <c r="M490" s="66">
        <v>11</v>
      </c>
      <c r="N490" s="66">
        <v>12000</v>
      </c>
      <c r="O490" s="66">
        <v>10</v>
      </c>
      <c r="P490" s="66">
        <v>118800</v>
      </c>
      <c r="Q490" s="66">
        <v>1</v>
      </c>
      <c r="R490" s="66" t="s">
        <v>79</v>
      </c>
      <c r="S490" s="66" t="s">
        <v>49</v>
      </c>
      <c r="T490" s="66" t="s">
        <v>175</v>
      </c>
      <c r="U490" s="69" t="s">
        <v>2053</v>
      </c>
      <c r="V490" s="66" t="s">
        <v>69</v>
      </c>
      <c r="X490" t="str">
        <f>PROPER(Sales_Data!X490)</f>
        <v/>
      </c>
    </row>
    <row r="491" spans="1:24" x14ac:dyDescent="0.3">
      <c r="A491" s="65" t="s">
        <v>2054</v>
      </c>
      <c r="B491" s="66" t="s">
        <v>327</v>
      </c>
      <c r="C491" s="66" t="s">
        <v>169</v>
      </c>
      <c r="D491" s="67" t="s">
        <v>142</v>
      </c>
      <c r="E491" s="68" t="s">
        <v>1378</v>
      </c>
      <c r="F491" s="66" t="str">
        <f>TRIM(PROPER(Sales_Data!F491))</f>
        <v>Amit Sharma</v>
      </c>
      <c r="G491" s="66" t="s">
        <v>76</v>
      </c>
      <c r="H491" s="66" t="s">
        <v>2055</v>
      </c>
      <c r="I491" s="66" t="s">
        <v>30</v>
      </c>
      <c r="J491" s="66" t="str">
        <f>PROPER(Sales_Data!J491)</f>
        <v>South</v>
      </c>
      <c r="K491" s="66" t="str">
        <f>PROPER(Sales_Data!K491)</f>
        <v>Home Appliances</v>
      </c>
      <c r="L491" s="66" t="s">
        <v>174</v>
      </c>
      <c r="M491" s="66">
        <v>2</v>
      </c>
      <c r="N491" s="66">
        <v>8500</v>
      </c>
      <c r="O491" s="66">
        <v>5</v>
      </c>
      <c r="P491" s="66">
        <v>16150</v>
      </c>
      <c r="Q491" s="66">
        <v>1</v>
      </c>
      <c r="R491" s="66" t="s">
        <v>79</v>
      </c>
      <c r="S491" s="66" t="s">
        <v>61</v>
      </c>
      <c r="T491" s="66" t="s">
        <v>332</v>
      </c>
      <c r="U491" s="69" t="s">
        <v>2056</v>
      </c>
      <c r="V491" s="66" t="s">
        <v>38</v>
      </c>
      <c r="X491" t="str">
        <f>PROPER(Sales_Data!X491)</f>
        <v/>
      </c>
    </row>
    <row r="492" spans="1:24" x14ac:dyDescent="0.3">
      <c r="A492" s="65" t="s">
        <v>2057</v>
      </c>
      <c r="B492" s="66" t="s">
        <v>100</v>
      </c>
      <c r="C492" s="66" t="s">
        <v>24</v>
      </c>
      <c r="D492" s="67" t="s">
        <v>328</v>
      </c>
      <c r="E492" s="68" t="s">
        <v>1507</v>
      </c>
      <c r="F492" s="66" t="str">
        <f>TRIM(PROPER(Sales_Data!F492))</f>
        <v>Priya Patel</v>
      </c>
      <c r="G492" s="66" t="s">
        <v>28</v>
      </c>
      <c r="H492" s="66" t="s">
        <v>2059</v>
      </c>
      <c r="I492" s="66" t="s">
        <v>114</v>
      </c>
      <c r="J492" s="66" t="str">
        <f>PROPER(Sales_Data!J492)</f>
        <v>West</v>
      </c>
      <c r="K492" s="66" t="str">
        <f>PROPER(Sales_Data!K492)</f>
        <v>Home Appliances</v>
      </c>
      <c r="L492" s="66" t="s">
        <v>33</v>
      </c>
      <c r="M492" s="66">
        <v>7</v>
      </c>
      <c r="N492" s="66">
        <v>2200</v>
      </c>
      <c r="O492" s="66">
        <v>0</v>
      </c>
      <c r="P492" s="66">
        <v>15400</v>
      </c>
      <c r="Q492" s="66">
        <v>5</v>
      </c>
      <c r="R492" s="66" t="s">
        <v>48</v>
      </c>
      <c r="S492" s="66" t="s">
        <v>35</v>
      </c>
      <c r="T492" s="66" t="s">
        <v>144</v>
      </c>
      <c r="U492" s="69" t="s">
        <v>2060</v>
      </c>
      <c r="V492" s="66" t="s">
        <v>64</v>
      </c>
      <c r="X492" t="str">
        <f>PROPER(Sales_Data!X492)</f>
        <v/>
      </c>
    </row>
    <row r="493" spans="1:24" x14ac:dyDescent="0.3">
      <c r="A493" s="65" t="s">
        <v>2061</v>
      </c>
      <c r="B493" s="66" t="s">
        <v>83</v>
      </c>
      <c r="C493" s="66" t="s">
        <v>169</v>
      </c>
      <c r="D493" s="67" t="s">
        <v>1916</v>
      </c>
      <c r="E493" s="68" t="s">
        <v>1098</v>
      </c>
      <c r="F493" s="66" t="str">
        <f>TRIM(PROPER(Sales_Data!F493))</f>
        <v>Arjun Rao</v>
      </c>
      <c r="G493" s="66" t="s">
        <v>76</v>
      </c>
      <c r="H493" s="66" t="s">
        <v>2062</v>
      </c>
      <c r="I493" s="66" t="s">
        <v>44</v>
      </c>
      <c r="J493" s="66" t="str">
        <f>PROPER(Sales_Data!J493)</f>
        <v>North</v>
      </c>
      <c r="K493" s="66" t="str">
        <f>PROPER(Sales_Data!K493)</f>
        <v>Home Appliances</v>
      </c>
      <c r="L493" s="66" t="s">
        <v>174</v>
      </c>
      <c r="M493" s="66">
        <v>20</v>
      </c>
      <c r="N493" s="66">
        <v>8500</v>
      </c>
      <c r="O493" s="66">
        <v>0</v>
      </c>
      <c r="P493" s="66">
        <v>170000</v>
      </c>
      <c r="Q493" s="66">
        <v>3</v>
      </c>
      <c r="R493" s="66" t="s">
        <v>48</v>
      </c>
      <c r="S493" s="66" t="s">
        <v>49</v>
      </c>
      <c r="T493" s="66" t="s">
        <v>89</v>
      </c>
      <c r="U493" s="69" t="s">
        <v>2063</v>
      </c>
      <c r="V493" s="66" t="s">
        <v>38</v>
      </c>
      <c r="X493" t="str">
        <f>PROPER(Sales_Data!X493)</f>
        <v/>
      </c>
    </row>
    <row r="494" spans="1:24" x14ac:dyDescent="0.3">
      <c r="A494" s="65" t="s">
        <v>2064</v>
      </c>
      <c r="B494" s="66" t="s">
        <v>127</v>
      </c>
      <c r="C494" s="66" t="s">
        <v>72</v>
      </c>
      <c r="D494" s="67" t="s">
        <v>1106</v>
      </c>
      <c r="E494" s="68" t="s">
        <v>839</v>
      </c>
      <c r="F494" s="66" t="str">
        <f>TRIM(PROPER(Sales_Data!F494))</f>
        <v>Rohit Singh</v>
      </c>
      <c r="G494" s="66" t="s">
        <v>76</v>
      </c>
      <c r="H494" s="66" t="s">
        <v>2066</v>
      </c>
      <c r="I494" s="66" t="s">
        <v>30</v>
      </c>
      <c r="J494" s="66" t="str">
        <f>PROPER(Sales_Data!J494)</f>
        <v>South</v>
      </c>
      <c r="K494" s="66" t="str">
        <f>PROPER(Sales_Data!K494)</f>
        <v>Electronics</v>
      </c>
      <c r="L494" s="66" t="s">
        <v>78</v>
      </c>
      <c r="M494" s="66">
        <v>11</v>
      </c>
      <c r="N494" s="66">
        <v>1200</v>
      </c>
      <c r="O494" s="66">
        <v>5</v>
      </c>
      <c r="P494" s="66">
        <v>12540</v>
      </c>
      <c r="Q494" s="66">
        <v>2</v>
      </c>
      <c r="R494" s="66" t="s">
        <v>34</v>
      </c>
      <c r="S494" s="66" t="s">
        <v>35</v>
      </c>
      <c r="T494" s="66" t="s">
        <v>132</v>
      </c>
      <c r="U494" s="69" t="s">
        <v>2067</v>
      </c>
      <c r="V494" s="66" t="s">
        <v>64</v>
      </c>
      <c r="X494" t="str">
        <f>PROPER(Sales_Data!X494)</f>
        <v/>
      </c>
    </row>
    <row r="495" spans="1:24" x14ac:dyDescent="0.3">
      <c r="A495" s="65" t="s">
        <v>2068</v>
      </c>
      <c r="B495" s="66" t="s">
        <v>83</v>
      </c>
      <c r="C495" s="66" t="s">
        <v>184</v>
      </c>
      <c r="D495" s="67" t="s">
        <v>839</v>
      </c>
      <c r="E495" s="68" t="s">
        <v>756</v>
      </c>
      <c r="F495" s="66" t="str">
        <f>TRIM(PROPER(Sales_Data!F495))</f>
        <v>Arjun Rao</v>
      </c>
      <c r="G495" s="66" t="s">
        <v>76</v>
      </c>
      <c r="H495" s="66" t="s">
        <v>2069</v>
      </c>
      <c r="I495" s="66" t="s">
        <v>138</v>
      </c>
      <c r="J495" s="66" t="str">
        <f>PROPER(Sales_Data!J495)</f>
        <v>West</v>
      </c>
      <c r="K495" s="66" t="str">
        <f>PROPER(Sales_Data!K495)</f>
        <v>Electronics</v>
      </c>
      <c r="L495" s="66" t="s">
        <v>189</v>
      </c>
      <c r="M495" s="66">
        <v>14</v>
      </c>
      <c r="N495" s="66">
        <v>700</v>
      </c>
      <c r="O495" s="66">
        <v>0</v>
      </c>
      <c r="P495" s="66">
        <v>9800</v>
      </c>
      <c r="Q495" s="66">
        <v>2</v>
      </c>
      <c r="R495" s="66" t="s">
        <v>79</v>
      </c>
      <c r="S495" s="66" t="s">
        <v>151</v>
      </c>
      <c r="T495" s="66" t="s">
        <v>89</v>
      </c>
      <c r="U495" s="69" t="s">
        <v>2070</v>
      </c>
      <c r="V495" s="66" t="s">
        <v>69</v>
      </c>
      <c r="X495" t="str">
        <f>PROPER(Sales_Data!X495)</f>
        <v/>
      </c>
    </row>
    <row r="496" spans="1:24" x14ac:dyDescent="0.3">
      <c r="A496" s="65" t="s">
        <v>2071</v>
      </c>
      <c r="B496" s="66" t="s">
        <v>71</v>
      </c>
      <c r="C496" s="66" t="s">
        <v>72</v>
      </c>
      <c r="D496" s="67" t="s">
        <v>793</v>
      </c>
      <c r="E496" s="68" t="s">
        <v>1650</v>
      </c>
      <c r="F496" s="66" t="str">
        <f>TRIM(PROPER(Sales_Data!F496))</f>
        <v>Mohit Verma</v>
      </c>
      <c r="G496" s="66" t="s">
        <v>76</v>
      </c>
      <c r="H496" s="66" t="s">
        <v>2072</v>
      </c>
      <c r="I496" s="66" t="s">
        <v>114</v>
      </c>
      <c r="J496" s="66" t="str">
        <f>PROPER(Sales_Data!J496)</f>
        <v>West</v>
      </c>
      <c r="K496" s="66" t="str">
        <f>PROPER(Sales_Data!K496)</f>
        <v>Electronics</v>
      </c>
      <c r="L496" s="66" t="s">
        <v>78</v>
      </c>
      <c r="M496" s="66">
        <v>16</v>
      </c>
      <c r="N496" s="66">
        <v>1200</v>
      </c>
      <c r="O496" s="66">
        <v>15</v>
      </c>
      <c r="P496" s="66">
        <v>16320</v>
      </c>
      <c r="Q496" s="66">
        <v>4</v>
      </c>
      <c r="R496" s="66" t="s">
        <v>34</v>
      </c>
      <c r="S496" s="66" t="s">
        <v>151</v>
      </c>
      <c r="T496" s="66" t="s">
        <v>80</v>
      </c>
      <c r="U496" s="69" t="s">
        <v>2073</v>
      </c>
      <c r="V496" s="66" t="s">
        <v>64</v>
      </c>
      <c r="X496" t="str">
        <f>PROPER(Sales_Data!X496)</f>
        <v/>
      </c>
    </row>
    <row r="497" spans="1:24" x14ac:dyDescent="0.3">
      <c r="A497" s="65" t="s">
        <v>2074</v>
      </c>
      <c r="B497" s="66" t="s">
        <v>168</v>
      </c>
      <c r="C497" s="66" t="s">
        <v>24</v>
      </c>
      <c r="D497" s="67" t="s">
        <v>493</v>
      </c>
      <c r="E497" s="68" t="s">
        <v>1932</v>
      </c>
      <c r="F497" s="66" t="str">
        <f>TRIM(PROPER(Sales_Data!F497))</f>
        <v>Anita Gupta</v>
      </c>
      <c r="G497" s="66" t="s">
        <v>28</v>
      </c>
      <c r="H497" s="66" t="s">
        <v>2076</v>
      </c>
      <c r="I497" s="66" t="s">
        <v>212</v>
      </c>
      <c r="J497" s="66" t="str">
        <f>PROPER(Sales_Data!J497)</f>
        <v>North</v>
      </c>
      <c r="K497" s="66" t="str">
        <f>PROPER(Sales_Data!K497)</f>
        <v>Home Appliances</v>
      </c>
      <c r="L497" s="66" t="s">
        <v>33</v>
      </c>
      <c r="M497" s="66">
        <v>20</v>
      </c>
      <c r="N497" s="66">
        <v>2200</v>
      </c>
      <c r="O497" s="66">
        <v>0</v>
      </c>
      <c r="P497" s="66">
        <v>44000</v>
      </c>
      <c r="Q497" s="66">
        <v>5</v>
      </c>
      <c r="R497" s="66" t="s">
        <v>34</v>
      </c>
      <c r="S497" s="66" t="s">
        <v>35</v>
      </c>
      <c r="T497" s="66" t="s">
        <v>175</v>
      </c>
      <c r="U497" s="69" t="s">
        <v>2077</v>
      </c>
      <c r="V497" s="66" t="s">
        <v>69</v>
      </c>
      <c r="X497" t="str">
        <f>PROPER(Sales_Data!X497)</f>
        <v/>
      </c>
    </row>
    <row r="498" spans="1:24" x14ac:dyDescent="0.3">
      <c r="A498" s="65" t="s">
        <v>2078</v>
      </c>
      <c r="B498" s="66" t="s">
        <v>83</v>
      </c>
      <c r="C498" s="66" t="s">
        <v>40</v>
      </c>
      <c r="D498" s="67" t="s">
        <v>2051</v>
      </c>
      <c r="E498" s="68" t="s">
        <v>272</v>
      </c>
      <c r="F498" s="66" t="str">
        <f>TRIM(PROPER(Sales_Data!F498))</f>
        <v>Arjun Rao</v>
      </c>
      <c r="G498" s="66" t="s">
        <v>76</v>
      </c>
      <c r="H498" s="66" t="s">
        <v>2079</v>
      </c>
      <c r="I498" s="66" t="s">
        <v>212</v>
      </c>
      <c r="J498" s="66" t="str">
        <f>PROPER(Sales_Data!J498)</f>
        <v>North</v>
      </c>
      <c r="K498" s="66" t="str">
        <f>PROPER(Sales_Data!K498)</f>
        <v>Electronics</v>
      </c>
      <c r="L498" s="66" t="s">
        <v>47</v>
      </c>
      <c r="M498" s="66">
        <v>12</v>
      </c>
      <c r="N498" s="66">
        <v>12000</v>
      </c>
      <c r="O498" s="66">
        <v>15</v>
      </c>
      <c r="P498" s="66">
        <v>122400</v>
      </c>
      <c r="Q498" s="66">
        <v>5</v>
      </c>
      <c r="R498" s="66" t="s">
        <v>34</v>
      </c>
      <c r="S498" s="66" t="s">
        <v>151</v>
      </c>
      <c r="T498" s="66" t="s">
        <v>89</v>
      </c>
      <c r="U498" s="69" t="s">
        <v>2080</v>
      </c>
      <c r="V498" s="66" t="s">
        <v>38</v>
      </c>
      <c r="X498" t="str">
        <f>PROPER(Sales_Data!X498)</f>
        <v/>
      </c>
    </row>
    <row r="499" spans="1:24" x14ac:dyDescent="0.3">
      <c r="A499" s="65" t="s">
        <v>2081</v>
      </c>
      <c r="B499" s="66" t="s">
        <v>221</v>
      </c>
      <c r="C499" s="66" t="s">
        <v>72</v>
      </c>
      <c r="D499" s="67">
        <v>45973</v>
      </c>
      <c r="E499" s="68" t="s">
        <v>611</v>
      </c>
      <c r="F499" s="66" t="str">
        <f>TRIM(PROPER(Sales_Data!F499))</f>
        <v>Vikas Mehta</v>
      </c>
      <c r="G499" s="66" t="s">
        <v>76</v>
      </c>
      <c r="H499" s="66" t="s">
        <v>2082</v>
      </c>
      <c r="I499" s="66" t="s">
        <v>44</v>
      </c>
      <c r="J499" s="66" t="str">
        <f>PROPER(Sales_Data!J499)</f>
        <v>North</v>
      </c>
      <c r="K499" s="66" t="str">
        <f>PROPER(Sales_Data!K499)</f>
        <v>Electronics</v>
      </c>
      <c r="L499" s="66" t="s">
        <v>78</v>
      </c>
      <c r="M499" s="66">
        <v>3</v>
      </c>
      <c r="N499" s="66">
        <v>1200</v>
      </c>
      <c r="O499" s="66">
        <v>20</v>
      </c>
      <c r="P499" s="66">
        <v>2880</v>
      </c>
      <c r="Q499" s="66">
        <v>2</v>
      </c>
      <c r="R499" s="66" t="s">
        <v>48</v>
      </c>
      <c r="S499" s="66" t="s">
        <v>115</v>
      </c>
      <c r="T499" s="66" t="s">
        <v>907</v>
      </c>
      <c r="U499" s="69" t="s">
        <v>2083</v>
      </c>
      <c r="V499" s="66" t="s">
        <v>64</v>
      </c>
      <c r="X499" t="str">
        <f>PROPER(Sales_Data!X499)</f>
        <v/>
      </c>
    </row>
    <row r="500" spans="1:24" x14ac:dyDescent="0.3">
      <c r="A500" s="65" t="s">
        <v>2084</v>
      </c>
      <c r="B500" s="66" t="s">
        <v>100</v>
      </c>
      <c r="C500" s="66" t="s">
        <v>54</v>
      </c>
      <c r="D500" s="67">
        <v>45754</v>
      </c>
      <c r="E500" s="68" t="s">
        <v>2085</v>
      </c>
      <c r="F500" s="66" t="str">
        <f>TRIM(PROPER(Sales_Data!F500))</f>
        <v>Priya Patel</v>
      </c>
      <c r="G500" s="66" t="s">
        <v>28</v>
      </c>
      <c r="H500" s="66" t="s">
        <v>2086</v>
      </c>
      <c r="I500" s="66" t="s">
        <v>105</v>
      </c>
      <c r="J500" s="66" t="str">
        <f>PROPER(Sales_Data!J500)</f>
        <v>West</v>
      </c>
      <c r="K500" s="66" t="str">
        <f>PROPER(Sales_Data!K500)</f>
        <v>Electronics</v>
      </c>
      <c r="L500" s="66" t="s">
        <v>2087</v>
      </c>
      <c r="M500" s="66">
        <v>6</v>
      </c>
      <c r="N500" s="66">
        <v>55000</v>
      </c>
      <c r="O500" s="66">
        <v>20</v>
      </c>
      <c r="P500" s="66">
        <v>264000</v>
      </c>
      <c r="Q500" s="66">
        <v>3</v>
      </c>
      <c r="R500" s="66" t="s">
        <v>34</v>
      </c>
      <c r="S500" s="66" t="s">
        <v>151</v>
      </c>
      <c r="T500" s="66" t="s">
        <v>144</v>
      </c>
      <c r="U500" s="69" t="s">
        <v>2088</v>
      </c>
      <c r="V500" s="66" t="s">
        <v>38</v>
      </c>
      <c r="X500" t="str">
        <f>PROPER(Sales_Data!X500)</f>
        <v/>
      </c>
    </row>
    <row r="501" spans="1:24" x14ac:dyDescent="0.3">
      <c r="A501" s="70" t="s">
        <v>2089</v>
      </c>
      <c r="B501" s="71" t="s">
        <v>100</v>
      </c>
      <c r="C501" s="71" t="s">
        <v>92</v>
      </c>
      <c r="D501" s="72" t="s">
        <v>2090</v>
      </c>
      <c r="E501" s="73" t="s">
        <v>129</v>
      </c>
      <c r="F501" s="66" t="str">
        <f>TRIM(PROPER(Sales_Data!F501))</f>
        <v>Priya Patel</v>
      </c>
      <c r="G501" s="71" t="s">
        <v>28</v>
      </c>
      <c r="H501" s="71" t="s">
        <v>2091</v>
      </c>
      <c r="I501" s="71" t="s">
        <v>59</v>
      </c>
      <c r="J501" s="66" t="str">
        <f>PROPER(Sales_Data!J501)</f>
        <v>South</v>
      </c>
      <c r="K501" s="66" t="str">
        <f>PROPER(Sales_Data!K501)</f>
        <v>Home Appliances</v>
      </c>
      <c r="L501" s="71" t="s">
        <v>97</v>
      </c>
      <c r="M501" s="71">
        <v>20</v>
      </c>
      <c r="N501" s="71">
        <v>3500</v>
      </c>
      <c r="O501" s="71">
        <v>0</v>
      </c>
      <c r="P501" s="71">
        <v>70000</v>
      </c>
      <c r="Q501" s="71">
        <v>1</v>
      </c>
      <c r="R501" s="71" t="s">
        <v>48</v>
      </c>
      <c r="S501" s="71" t="s">
        <v>151</v>
      </c>
      <c r="T501" s="71" t="s">
        <v>144</v>
      </c>
      <c r="U501" s="74" t="s">
        <v>2092</v>
      </c>
      <c r="V501" s="71" t="s">
        <v>64</v>
      </c>
      <c r="X501" t="str">
        <f>PROPER(Sales_Data!X501)</f>
        <v/>
      </c>
    </row>
  </sheetData>
  <conditionalFormatting sqref="O2:O501">
    <cfRule type="cellIs" dxfId="1" priority="1" operator="greaterThan">
      <formula>20</formula>
    </cfRule>
  </conditionalFormatting>
  <dataValidations count="2">
    <dataValidation type="whole" showInputMessage="1" showErrorMessage="1" sqref="M2:M1048576" xr:uid="{96BA273E-7C98-48AA-9B38-EF7171B57C8E}">
      <formula1>1</formula1>
      <formula2>20</formula2>
    </dataValidation>
    <dataValidation type="list" allowBlank="1" showInputMessage="1" showErrorMessage="1" sqref="R2:R1048576" xr:uid="{3BC18AF0-6FF0-4A6F-8AD0-37AB2316E20F}">
      <formula1>"UPI, Cash, Card, NetBanking"</formula1>
    </dataValidation>
  </dataValidations>
  <hyperlinks>
    <hyperlink ref="T2" r:id="rId1" xr:uid="{F8331F3D-F7DA-4E9A-B7E6-FC210F1C7765}"/>
    <hyperlink ref="T5" r:id="rId2" xr:uid="{E3F10540-88F0-4F5B-9D1B-0DB3DFE443DE}"/>
    <hyperlink ref="T9" r:id="rId3" xr:uid="{09749A12-A297-45AA-9A17-351F9BFCDB4D}"/>
    <hyperlink ref="T11" r:id="rId4" xr:uid="{042FA4F4-395E-402E-8DB1-B0C6632B6EB1}"/>
    <hyperlink ref="T16" r:id="rId5" xr:uid="{72D16E20-116C-4178-BFB4-07A9A63F2EAB}"/>
    <hyperlink ref="T15" r:id="rId6" xr:uid="{6FF9324F-DC06-4A5F-AFED-F034156C292E}"/>
    <hyperlink ref="T20" r:id="rId7" xr:uid="{83CEFB81-2AE5-4794-BF70-555EE11D15C0}"/>
    <hyperlink ref="T61" r:id="rId8" xr:uid="{68A7C7A9-1DC0-4B92-8CBD-C8A828F634E8}"/>
    <hyperlink ref="T72" r:id="rId9" xr:uid="{D3B9CC11-7742-4A13-89B9-0A5CED08A5A4}"/>
    <hyperlink ref="T294" r:id="rId10" xr:uid="{B03F687D-E6AB-4EA5-A347-33ED59ED5AF3}"/>
    <hyperlink ref="T489" r:id="rId11" xr:uid="{F79F3DEE-05EA-4C6A-9AAF-60ACC6404017}"/>
    <hyperlink ref="T479" r:id="rId12" xr:uid="{33C0AFFE-4E74-4B51-9CDA-D019D3029924}"/>
    <hyperlink ref="T463" r:id="rId13" xr:uid="{06B55C4E-56B5-4200-A5AA-1E7AA8E4ACCD}"/>
    <hyperlink ref="T450" r:id="rId14" xr:uid="{BBE12259-F2A0-431F-AB7B-84350FEFAF9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C1DA-CC48-41EB-B04B-D9ADB383E7F1}">
  <dimension ref="C3:O28"/>
  <sheetViews>
    <sheetView tabSelected="1" zoomScale="75" zoomScaleNormal="126" workbookViewId="0">
      <selection activeCell="H31" sqref="H31"/>
    </sheetView>
  </sheetViews>
  <sheetFormatPr defaultRowHeight="14.4" x14ac:dyDescent="0.3"/>
  <cols>
    <col min="3" max="3" width="11.6640625" bestFit="1" customWidth="1"/>
    <col min="5" max="5" width="23.77734375" customWidth="1"/>
    <col min="6" max="6" width="9.5546875" customWidth="1"/>
    <col min="7" max="7" width="14.5546875" bestFit="1" customWidth="1"/>
    <col min="8" max="8" width="16.77734375" customWidth="1"/>
    <col min="9" max="9" width="15.33203125" bestFit="1" customWidth="1"/>
    <col min="10" max="10" width="17.33203125" bestFit="1" customWidth="1"/>
    <col min="11" max="11" width="16.5546875" bestFit="1" customWidth="1"/>
    <col min="13" max="13" width="32.5546875" customWidth="1"/>
  </cols>
  <sheetData>
    <row r="3" spans="3:15" ht="18" customHeight="1" x14ac:dyDescent="0.75">
      <c r="C3" s="58"/>
      <c r="D3" s="58"/>
      <c r="E3" s="58"/>
      <c r="F3" s="59"/>
      <c r="G3" s="59"/>
      <c r="H3" s="59"/>
      <c r="I3" s="59"/>
      <c r="J3" s="59"/>
      <c r="K3" s="59"/>
      <c r="L3" s="59"/>
      <c r="M3" s="58"/>
      <c r="N3" s="58"/>
      <c r="O3" s="58"/>
    </row>
    <row r="4" spans="3:15" ht="18" customHeight="1" x14ac:dyDescent="0.75">
      <c r="C4" s="58"/>
      <c r="D4" s="58"/>
      <c r="E4" s="58"/>
      <c r="F4" s="58"/>
      <c r="G4" s="59"/>
      <c r="H4" s="59"/>
      <c r="I4" s="59"/>
      <c r="J4" s="59"/>
      <c r="K4" s="59"/>
      <c r="L4" s="59"/>
      <c r="M4" s="58"/>
      <c r="N4" s="58"/>
      <c r="O4" s="58"/>
    </row>
    <row r="5" spans="3:15" ht="18.600000000000001" customHeight="1" x14ac:dyDescent="0.75">
      <c r="C5" s="58"/>
      <c r="D5" s="58"/>
      <c r="E5" s="58"/>
      <c r="F5" s="58"/>
      <c r="G5" s="59"/>
      <c r="H5" s="59"/>
      <c r="I5" s="59"/>
      <c r="J5" s="59"/>
      <c r="K5" s="59"/>
      <c r="L5" s="59"/>
      <c r="M5" s="58"/>
      <c r="N5" s="58"/>
      <c r="O5" s="58"/>
    </row>
    <row r="6" spans="3:15" ht="15" thickBot="1" x14ac:dyDescent="0.35">
      <c r="C6" s="58"/>
      <c r="D6" s="58"/>
      <c r="E6" s="58"/>
      <c r="F6" s="58"/>
      <c r="G6" s="58"/>
      <c r="H6" s="58"/>
      <c r="I6" s="58"/>
      <c r="J6" s="58"/>
      <c r="K6" s="58"/>
      <c r="L6" s="58"/>
      <c r="M6" s="58"/>
      <c r="N6" s="58"/>
      <c r="O6" s="58"/>
    </row>
    <row r="7" spans="3:15" ht="18.600000000000001" thickBot="1" x14ac:dyDescent="0.35">
      <c r="C7" s="58"/>
      <c r="D7" s="58"/>
      <c r="E7" s="58"/>
      <c r="F7" s="58"/>
      <c r="G7" s="61" t="s">
        <v>2144</v>
      </c>
      <c r="H7" s="60"/>
      <c r="I7" s="61" t="s">
        <v>2145</v>
      </c>
      <c r="J7" s="60"/>
      <c r="K7" s="61" t="s">
        <v>2146</v>
      </c>
      <c r="L7" s="58"/>
      <c r="M7" s="58"/>
      <c r="N7" s="58"/>
      <c r="O7" s="58"/>
    </row>
    <row r="8" spans="3:15" ht="18.600000000000001" thickBot="1" x14ac:dyDescent="0.35">
      <c r="C8" s="58"/>
      <c r="D8" s="58"/>
      <c r="E8" s="58"/>
      <c r="F8" s="58"/>
      <c r="G8" s="62">
        <v>33932012.5</v>
      </c>
      <c r="H8" s="60"/>
      <c r="I8" s="62">
        <v>497</v>
      </c>
      <c r="J8" s="60"/>
      <c r="K8" s="62">
        <v>68273.667002012065</v>
      </c>
      <c r="L8" s="58"/>
      <c r="M8" s="58"/>
      <c r="N8" s="58"/>
      <c r="O8" s="58"/>
    </row>
    <row r="9" spans="3:15" x14ac:dyDescent="0.3">
      <c r="C9" s="58"/>
      <c r="D9" s="58"/>
      <c r="E9" s="58"/>
      <c r="F9" s="58"/>
      <c r="G9" s="58"/>
      <c r="H9" s="58"/>
      <c r="I9" s="58"/>
      <c r="J9" s="58"/>
      <c r="K9" s="58"/>
      <c r="L9" s="58"/>
      <c r="M9" s="58"/>
      <c r="N9" s="58"/>
      <c r="O9" s="58"/>
    </row>
    <row r="10" spans="3:15" x14ac:dyDescent="0.3">
      <c r="C10" s="58"/>
      <c r="D10" s="58"/>
      <c r="E10" s="58"/>
      <c r="F10" s="58"/>
      <c r="G10" s="58"/>
      <c r="H10" s="58"/>
      <c r="I10" s="58"/>
      <c r="J10" s="58"/>
      <c r="K10" s="58"/>
      <c r="L10" s="58"/>
      <c r="M10" s="58"/>
      <c r="N10" s="58"/>
      <c r="O10" s="58"/>
    </row>
    <row r="11" spans="3:15" x14ac:dyDescent="0.3">
      <c r="C11" s="58"/>
      <c r="D11" s="58"/>
      <c r="E11" s="58"/>
      <c r="F11" s="58"/>
      <c r="G11" s="58"/>
      <c r="H11" s="58"/>
      <c r="I11" s="58"/>
      <c r="J11" s="58"/>
      <c r="K11" s="58"/>
      <c r="L11" s="58"/>
      <c r="M11" s="58"/>
      <c r="N11" s="58"/>
      <c r="O11" s="58"/>
    </row>
    <row r="12" spans="3:15" x14ac:dyDescent="0.3">
      <c r="C12" s="58"/>
      <c r="D12" s="58"/>
      <c r="E12" s="58"/>
      <c r="F12" s="58"/>
      <c r="G12" s="58"/>
      <c r="H12" s="58"/>
      <c r="I12" s="58"/>
      <c r="J12" s="58"/>
      <c r="K12" s="58"/>
      <c r="L12" s="58"/>
      <c r="M12" s="58"/>
      <c r="N12" s="58"/>
      <c r="O12" s="58"/>
    </row>
    <row r="13" spans="3:15" x14ac:dyDescent="0.3">
      <c r="C13" s="58"/>
      <c r="D13" s="58"/>
      <c r="E13" s="58"/>
      <c r="F13" s="58"/>
      <c r="G13" s="58"/>
      <c r="H13" s="58"/>
      <c r="I13" s="58"/>
      <c r="J13" s="58"/>
      <c r="K13" s="58"/>
      <c r="L13" s="58"/>
      <c r="M13" s="58"/>
      <c r="N13" s="58"/>
      <c r="O13" s="58"/>
    </row>
    <row r="14" spans="3:15" x14ac:dyDescent="0.3">
      <c r="C14" s="58"/>
      <c r="D14" s="58"/>
      <c r="E14" s="58"/>
      <c r="F14" s="58"/>
      <c r="G14" s="58"/>
      <c r="H14" s="58"/>
      <c r="I14" s="58"/>
      <c r="J14" s="58"/>
      <c r="K14" s="58"/>
      <c r="L14" s="58"/>
      <c r="M14" s="58"/>
      <c r="N14" s="58"/>
      <c r="O14" s="58"/>
    </row>
    <row r="15" spans="3:15" x14ac:dyDescent="0.3">
      <c r="C15" s="58"/>
      <c r="D15" s="58"/>
      <c r="E15" s="58"/>
      <c r="F15" s="58"/>
      <c r="G15" s="58"/>
      <c r="H15" s="58"/>
      <c r="I15" s="58"/>
      <c r="J15" s="58"/>
      <c r="K15" s="58"/>
      <c r="L15" s="58"/>
      <c r="M15" s="58"/>
      <c r="N15" s="58"/>
      <c r="O15" s="58"/>
    </row>
    <row r="16" spans="3:15" x14ac:dyDescent="0.3">
      <c r="C16" s="58"/>
      <c r="D16" s="58"/>
      <c r="E16" s="58"/>
      <c r="F16" s="58"/>
      <c r="G16" s="58"/>
      <c r="H16" s="58"/>
      <c r="I16" s="58"/>
      <c r="J16" s="58"/>
      <c r="K16" s="58"/>
      <c r="L16" s="58"/>
      <c r="M16" s="58"/>
      <c r="N16" s="58"/>
      <c r="O16" s="58"/>
    </row>
    <row r="17" spans="3:15" x14ac:dyDescent="0.3">
      <c r="C17" s="58"/>
      <c r="D17" s="58"/>
      <c r="E17" s="58"/>
      <c r="F17" s="58"/>
      <c r="G17" s="58"/>
      <c r="H17" s="58"/>
      <c r="I17" s="58"/>
      <c r="J17" s="58"/>
      <c r="K17" s="58"/>
      <c r="L17" s="58"/>
      <c r="M17" s="58"/>
      <c r="N17" s="58"/>
      <c r="O17" s="58"/>
    </row>
    <row r="18" spans="3:15" x14ac:dyDescent="0.3">
      <c r="C18" s="58"/>
      <c r="D18" s="58"/>
      <c r="E18" s="58"/>
      <c r="F18" s="58"/>
      <c r="G18" s="58"/>
      <c r="H18" s="58"/>
      <c r="I18" s="58"/>
      <c r="J18" s="58"/>
      <c r="K18" s="58"/>
      <c r="L18" s="58"/>
      <c r="M18" s="58"/>
      <c r="N18" s="58"/>
      <c r="O18" s="58"/>
    </row>
    <row r="19" spans="3:15" x14ac:dyDescent="0.3">
      <c r="C19" s="58"/>
      <c r="D19" s="58"/>
      <c r="E19" s="58"/>
      <c r="F19" s="58"/>
      <c r="G19" s="58"/>
      <c r="H19" s="58"/>
      <c r="I19" s="58"/>
      <c r="J19" s="58"/>
      <c r="K19" s="58"/>
      <c r="L19" s="58"/>
      <c r="M19" s="58"/>
      <c r="N19" s="58"/>
      <c r="O19" s="58"/>
    </row>
    <row r="20" spans="3:15" x14ac:dyDescent="0.3">
      <c r="C20" s="58"/>
      <c r="D20" s="58"/>
      <c r="E20" s="58"/>
      <c r="F20" s="58"/>
      <c r="G20" s="58"/>
      <c r="H20" s="58"/>
      <c r="I20" s="58"/>
      <c r="J20" s="58"/>
      <c r="K20" s="58"/>
      <c r="L20" s="58"/>
      <c r="M20" s="58"/>
      <c r="N20" s="58"/>
      <c r="O20" s="58"/>
    </row>
    <row r="21" spans="3:15" x14ac:dyDescent="0.3">
      <c r="C21" s="58"/>
      <c r="D21" s="58"/>
      <c r="E21" s="58"/>
      <c r="F21" s="58"/>
      <c r="G21" s="58"/>
      <c r="H21" s="58"/>
      <c r="I21" s="58"/>
      <c r="J21" s="58"/>
      <c r="K21" s="58"/>
      <c r="L21" s="58"/>
      <c r="M21" s="58"/>
      <c r="N21" s="58"/>
      <c r="O21" s="58"/>
    </row>
    <row r="22" spans="3:15" x14ac:dyDescent="0.3">
      <c r="C22" s="58"/>
      <c r="D22" s="58"/>
      <c r="E22" s="58"/>
      <c r="F22" s="58"/>
      <c r="G22" s="58"/>
      <c r="H22" s="58"/>
      <c r="I22" s="58"/>
      <c r="J22" s="58"/>
      <c r="K22" s="58"/>
      <c r="L22" s="58"/>
      <c r="M22" s="58"/>
      <c r="N22" s="58"/>
      <c r="O22" s="58"/>
    </row>
    <row r="23" spans="3:15" x14ac:dyDescent="0.3">
      <c r="C23" s="58"/>
      <c r="D23" s="58"/>
      <c r="E23" s="58"/>
      <c r="F23" s="58"/>
      <c r="G23" s="58"/>
      <c r="H23" s="58"/>
      <c r="I23" s="58"/>
      <c r="J23" s="58"/>
      <c r="K23" s="58"/>
      <c r="L23" s="58"/>
      <c r="M23" s="58"/>
      <c r="N23" s="58"/>
      <c r="O23" s="58"/>
    </row>
    <row r="24" spans="3:15" x14ac:dyDescent="0.3">
      <c r="C24" s="58"/>
      <c r="D24" s="58"/>
      <c r="E24" s="58"/>
      <c r="F24" s="58"/>
      <c r="G24" s="58"/>
      <c r="H24" s="58"/>
      <c r="I24" s="58"/>
      <c r="J24" s="58"/>
      <c r="K24" s="58"/>
      <c r="L24" s="58"/>
      <c r="M24" s="58"/>
      <c r="N24" s="58"/>
      <c r="O24" s="58"/>
    </row>
    <row r="25" spans="3:15" x14ac:dyDescent="0.3">
      <c r="C25" s="58"/>
      <c r="D25" s="58"/>
      <c r="E25" s="58"/>
      <c r="F25" s="58"/>
      <c r="G25" s="58"/>
      <c r="H25" s="58"/>
      <c r="I25" s="58"/>
      <c r="J25" s="58"/>
      <c r="K25" s="58"/>
      <c r="L25" s="58"/>
      <c r="M25" s="58"/>
      <c r="N25" s="58"/>
      <c r="O25" s="58"/>
    </row>
    <row r="26" spans="3:15" x14ac:dyDescent="0.3">
      <c r="C26" s="58"/>
      <c r="D26" s="58"/>
      <c r="E26" s="58"/>
      <c r="F26" s="58"/>
      <c r="G26" s="58"/>
      <c r="H26" s="58"/>
      <c r="I26" s="58"/>
      <c r="J26" s="58"/>
      <c r="K26" s="58"/>
      <c r="L26" s="58"/>
      <c r="M26" s="58"/>
      <c r="N26" s="58"/>
      <c r="O26" s="58"/>
    </row>
    <row r="27" spans="3:15" x14ac:dyDescent="0.3">
      <c r="C27" s="58"/>
      <c r="D27" s="58"/>
      <c r="E27" s="58"/>
      <c r="F27" s="58"/>
      <c r="G27" s="58"/>
      <c r="H27" s="58"/>
      <c r="I27" s="58"/>
      <c r="J27" s="58"/>
      <c r="K27" s="58"/>
      <c r="L27" s="58"/>
      <c r="M27" s="58"/>
      <c r="N27" s="58"/>
      <c r="O27" s="58"/>
    </row>
    <row r="28" spans="3:15" x14ac:dyDescent="0.3">
      <c r="C28" s="58"/>
      <c r="D28" s="58"/>
      <c r="E28" s="58"/>
      <c r="F28" s="58"/>
      <c r="G28" s="58"/>
      <c r="H28" s="58"/>
      <c r="I28" s="58"/>
      <c r="J28" s="58"/>
      <c r="K28" s="58"/>
      <c r="L28" s="58"/>
      <c r="M28" s="58"/>
      <c r="N28" s="58"/>
      <c r="O28" s="58"/>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4776-7052-4C03-BA87-46F8FA98F0A7}">
  <dimension ref="A1:AE501"/>
  <sheetViews>
    <sheetView topLeftCell="T1" zoomScale="83" workbookViewId="0">
      <selection activeCell="AA22" sqref="AA22"/>
    </sheetView>
  </sheetViews>
  <sheetFormatPr defaultRowHeight="14.4" x14ac:dyDescent="0.3"/>
  <cols>
    <col min="1" max="1" width="9.6640625" bestFit="1" customWidth="1"/>
    <col min="2" max="2" width="11.88671875" bestFit="1" customWidth="1"/>
    <col min="3" max="3" width="10.44140625" bestFit="1" customWidth="1"/>
    <col min="4" max="4" width="10.6640625" bestFit="1" customWidth="1"/>
    <col min="5" max="5" width="12.6640625" bestFit="1" customWidth="1"/>
    <col min="6" max="6" width="15.21875" bestFit="1" customWidth="1"/>
    <col min="7" max="7" width="7.109375" bestFit="1" customWidth="1"/>
    <col min="8" max="8" width="10.5546875" bestFit="1" customWidth="1"/>
    <col min="9" max="9" width="10.6640625" bestFit="1" customWidth="1"/>
    <col min="10" max="10" width="6.77734375" bestFit="1" customWidth="1"/>
    <col min="11" max="11" width="15.109375" bestFit="1" customWidth="1"/>
    <col min="12" max="12" width="13.77734375" bestFit="1" customWidth="1"/>
    <col min="13" max="13" width="8.33203125" bestFit="1" customWidth="1"/>
    <col min="14" max="14" width="9.6640625" bestFit="1" customWidth="1"/>
    <col min="15" max="15" width="10.77734375" bestFit="1" customWidth="1"/>
    <col min="16" max="16" width="8" bestFit="1" customWidth="1"/>
    <col min="17" max="17" width="6.33203125" bestFit="1" customWidth="1"/>
    <col min="18" max="18" width="14.6640625" bestFit="1" customWidth="1"/>
    <col min="19" max="19" width="11.5546875" bestFit="1" customWidth="1"/>
    <col min="20" max="20" width="25.21875" bestFit="1" customWidth="1"/>
    <col min="21" max="21" width="11" bestFit="1" customWidth="1"/>
    <col min="22" max="22" width="12" bestFit="1" customWidth="1"/>
    <col min="24" max="24" width="12.77734375" bestFit="1" customWidth="1"/>
    <col min="25" max="25" width="11.6640625" bestFit="1" customWidth="1"/>
    <col min="27" max="27" width="15.5546875" bestFit="1" customWidth="1"/>
    <col min="28" max="28" width="11.6640625" bestFit="1" customWidth="1"/>
    <col min="30" max="30" width="12.77734375" bestFit="1" customWidth="1"/>
    <col min="31" max="31" width="11.6640625" bestFit="1" customWidth="1"/>
  </cols>
  <sheetData>
    <row r="1" spans="1:31"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31" ht="15" thickTop="1" x14ac:dyDescent="0.3">
      <c r="A2" s="3" t="s">
        <v>22</v>
      </c>
      <c r="B2" s="4" t="s">
        <v>23</v>
      </c>
      <c r="C2" s="4" t="s">
        <v>24</v>
      </c>
      <c r="D2" s="52">
        <v>45918</v>
      </c>
      <c r="E2" s="48" t="s">
        <v>26</v>
      </c>
      <c r="F2" s="4" t="str">
        <f>TRIM(PROPER(Sales_Data!F2))</f>
        <v>Kavya Nair</v>
      </c>
      <c r="G2" s="4" t="s">
        <v>28</v>
      </c>
      <c r="H2" s="4" t="s">
        <v>29</v>
      </c>
      <c r="I2" s="4" t="s">
        <v>30</v>
      </c>
      <c r="J2" s="4" t="str">
        <f>PROPER(Sales_Data!J2)</f>
        <v>South</v>
      </c>
      <c r="K2" s="4" t="str">
        <f>PROPER(Sales_Data!K2)</f>
        <v>Home Appliances</v>
      </c>
      <c r="L2" s="4" t="s">
        <v>33</v>
      </c>
      <c r="M2" s="4">
        <v>4</v>
      </c>
      <c r="N2" s="4">
        <v>2200</v>
      </c>
      <c r="O2" s="4">
        <v>10</v>
      </c>
      <c r="P2" s="4">
        <v>7920</v>
      </c>
      <c r="Q2" s="4">
        <v>4</v>
      </c>
      <c r="R2" s="4" t="s">
        <v>34</v>
      </c>
      <c r="S2" s="4" t="s">
        <v>35</v>
      </c>
      <c r="T2" s="5" t="s">
        <v>36</v>
      </c>
      <c r="U2" s="6" t="s">
        <v>37</v>
      </c>
      <c r="V2" s="4" t="s">
        <v>38</v>
      </c>
    </row>
    <row r="3" spans="1:31" x14ac:dyDescent="0.3">
      <c r="A3" s="7" t="s">
        <v>39</v>
      </c>
      <c r="B3" s="8" t="s">
        <v>23</v>
      </c>
      <c r="C3" s="8" t="s">
        <v>40</v>
      </c>
      <c r="D3" s="53">
        <v>45774</v>
      </c>
      <c r="E3" s="49" t="s">
        <v>42</v>
      </c>
      <c r="F3" s="4" t="str">
        <f>TRIM(PROPER(Sales_Data!F3))</f>
        <v>Kavya Nair</v>
      </c>
      <c r="G3" s="8" t="s">
        <v>28</v>
      </c>
      <c r="H3" s="8" t="s">
        <v>43</v>
      </c>
      <c r="I3" s="8" t="s">
        <v>44</v>
      </c>
      <c r="J3" s="4" t="str">
        <f>PROPER(Sales_Data!J3)</f>
        <v>North</v>
      </c>
      <c r="K3" s="4" t="str">
        <f>PROPER(Sales_Data!K3)</f>
        <v>Electronics</v>
      </c>
      <c r="L3" s="8" t="s">
        <v>47</v>
      </c>
      <c r="M3" s="8">
        <v>17</v>
      </c>
      <c r="N3" s="8">
        <v>12000</v>
      </c>
      <c r="O3" s="8">
        <v>10</v>
      </c>
      <c r="P3" s="8">
        <v>183600</v>
      </c>
      <c r="Q3" s="8">
        <v>1</v>
      </c>
      <c r="R3" s="8" t="s">
        <v>48</v>
      </c>
      <c r="S3" s="8" t="s">
        <v>49</v>
      </c>
      <c r="T3" s="8" t="s">
        <v>50</v>
      </c>
      <c r="U3" s="9" t="s">
        <v>51</v>
      </c>
      <c r="V3" s="8" t="s">
        <v>38</v>
      </c>
    </row>
    <row r="4" spans="1:31" x14ac:dyDescent="0.3">
      <c r="A4" s="3" t="s">
        <v>52</v>
      </c>
      <c r="B4" s="4" t="s">
        <v>53</v>
      </c>
      <c r="C4" s="4" t="s">
        <v>54</v>
      </c>
      <c r="D4" s="52">
        <v>45903</v>
      </c>
      <c r="E4" s="48" t="s">
        <v>56</v>
      </c>
      <c r="F4" s="4" t="str">
        <f>TRIM(PROPER(Sales_Data!F4))</f>
        <v>Pooja Shah</v>
      </c>
      <c r="G4" s="4" t="s">
        <v>28</v>
      </c>
      <c r="H4" s="4" t="s">
        <v>58</v>
      </c>
      <c r="I4" s="4" t="s">
        <v>59</v>
      </c>
      <c r="J4" s="4" t="str">
        <f>PROPER(Sales_Data!J4)</f>
        <v>South</v>
      </c>
      <c r="K4" s="4" t="str">
        <f>PROPER(Sales_Data!K4)</f>
        <v>Electronics</v>
      </c>
      <c r="L4" s="4" t="s">
        <v>60</v>
      </c>
      <c r="M4" s="4">
        <v>5</v>
      </c>
      <c r="N4" s="4">
        <v>55000</v>
      </c>
      <c r="O4" s="4">
        <v>5</v>
      </c>
      <c r="P4" s="4">
        <v>261250</v>
      </c>
      <c r="Q4" s="4">
        <v>3</v>
      </c>
      <c r="R4" s="4" t="s">
        <v>48</v>
      </c>
      <c r="S4" s="4" t="s">
        <v>61</v>
      </c>
      <c r="T4" s="4" t="s">
        <v>62</v>
      </c>
      <c r="U4" s="6" t="s">
        <v>63</v>
      </c>
      <c r="V4" s="4" t="s">
        <v>64</v>
      </c>
      <c r="X4" s="55" t="s">
        <v>2142</v>
      </c>
      <c r="Y4" t="s">
        <v>2141</v>
      </c>
      <c r="AA4" s="55" t="s">
        <v>2142</v>
      </c>
      <c r="AB4" t="s">
        <v>2141</v>
      </c>
      <c r="AD4" s="55" t="s">
        <v>2142</v>
      </c>
      <c r="AE4" t="s">
        <v>2141</v>
      </c>
    </row>
    <row r="5" spans="1:31" x14ac:dyDescent="0.3">
      <c r="A5" s="7" t="s">
        <v>39</v>
      </c>
      <c r="B5" s="8" t="s">
        <v>23</v>
      </c>
      <c r="C5" s="8" t="s">
        <v>24</v>
      </c>
      <c r="D5" s="53">
        <v>46102</v>
      </c>
      <c r="E5" s="49" t="s">
        <v>66</v>
      </c>
      <c r="F5" s="4" t="str">
        <f>TRIM(PROPER(Sales_Data!F5))</f>
        <v>Kavya Nair</v>
      </c>
      <c r="G5" s="8" t="s">
        <v>28</v>
      </c>
      <c r="H5" s="8" t="s">
        <v>67</v>
      </c>
      <c r="I5" s="8" t="s">
        <v>59</v>
      </c>
      <c r="J5" s="4" t="str">
        <f>PROPER(Sales_Data!J5)</f>
        <v>South</v>
      </c>
      <c r="K5" s="4" t="str">
        <f>PROPER(Sales_Data!K5)</f>
        <v>Home Appliances</v>
      </c>
      <c r="L5" s="8" t="s">
        <v>33</v>
      </c>
      <c r="M5" s="8">
        <v>5</v>
      </c>
      <c r="N5" s="8">
        <v>2200</v>
      </c>
      <c r="O5" s="8">
        <v>5</v>
      </c>
      <c r="P5" s="8">
        <v>10450</v>
      </c>
      <c r="Q5" s="8">
        <v>5</v>
      </c>
      <c r="R5" s="8" t="s">
        <v>48</v>
      </c>
      <c r="S5" s="8" t="s">
        <v>61</v>
      </c>
      <c r="T5" s="10" t="s">
        <v>50</v>
      </c>
      <c r="U5" s="9" t="s">
        <v>68</v>
      </c>
      <c r="V5" s="8" t="s">
        <v>69</v>
      </c>
      <c r="X5" s="56" t="s">
        <v>295</v>
      </c>
      <c r="Y5">
        <v>4041922</v>
      </c>
      <c r="AA5" s="56" t="s">
        <v>46</v>
      </c>
      <c r="AB5">
        <v>26999534</v>
      </c>
      <c r="AD5" s="57">
        <v>45658</v>
      </c>
      <c r="AE5">
        <v>15012.5</v>
      </c>
    </row>
    <row r="6" spans="1:31" x14ac:dyDescent="0.3">
      <c r="A6" s="3" t="s">
        <v>70</v>
      </c>
      <c r="B6" s="4" t="s">
        <v>71</v>
      </c>
      <c r="C6" s="4" t="s">
        <v>72</v>
      </c>
      <c r="D6" s="52">
        <v>45927</v>
      </c>
      <c r="E6" s="48" t="s">
        <v>74</v>
      </c>
      <c r="F6" s="4" t="str">
        <f>TRIM(PROPER(Sales_Data!F6))</f>
        <v>Mohit Verma</v>
      </c>
      <c r="G6" s="4" t="s">
        <v>76</v>
      </c>
      <c r="H6" s="4" t="s">
        <v>77</v>
      </c>
      <c r="I6" s="4" t="s">
        <v>44</v>
      </c>
      <c r="J6" s="4" t="str">
        <f>PROPER(Sales_Data!J6)</f>
        <v>North</v>
      </c>
      <c r="K6" s="4" t="str">
        <f>PROPER(Sales_Data!K6)</f>
        <v>Electronics</v>
      </c>
      <c r="L6" s="4" t="s">
        <v>78</v>
      </c>
      <c r="M6" s="4">
        <v>8</v>
      </c>
      <c r="N6" s="4">
        <v>1200</v>
      </c>
      <c r="O6" s="4">
        <v>5</v>
      </c>
      <c r="P6" s="4">
        <v>9120</v>
      </c>
      <c r="Q6" s="4">
        <v>2</v>
      </c>
      <c r="R6" s="4" t="s">
        <v>79</v>
      </c>
      <c r="S6" s="4" t="s">
        <v>61</v>
      </c>
      <c r="T6" s="4" t="s">
        <v>80</v>
      </c>
      <c r="U6" s="6" t="s">
        <v>81</v>
      </c>
      <c r="V6" s="4" t="s">
        <v>64</v>
      </c>
      <c r="X6" s="56" t="s">
        <v>45</v>
      </c>
      <c r="Y6">
        <v>9197852.5</v>
      </c>
      <c r="AA6" s="56" t="s">
        <v>32</v>
      </c>
      <c r="AB6">
        <v>6816975</v>
      </c>
      <c r="AD6" s="57">
        <v>45660</v>
      </c>
      <c r="AE6">
        <v>47085</v>
      </c>
    </row>
    <row r="7" spans="1:31" x14ac:dyDescent="0.3">
      <c r="A7" s="7" t="s">
        <v>82</v>
      </c>
      <c r="B7" s="8" t="s">
        <v>83</v>
      </c>
      <c r="C7" s="8" t="s">
        <v>24</v>
      </c>
      <c r="D7" s="53">
        <v>46026</v>
      </c>
      <c r="E7" s="49" t="s">
        <v>85</v>
      </c>
      <c r="F7" s="4" t="str">
        <f>TRIM(PROPER(Sales_Data!F7))</f>
        <v>Arjun Rao</v>
      </c>
      <c r="G7" s="8" t="s">
        <v>76</v>
      </c>
      <c r="H7" s="8" t="s">
        <v>87</v>
      </c>
      <c r="I7" s="8" t="s">
        <v>30</v>
      </c>
      <c r="J7" s="4" t="str">
        <f>PROPER(Sales_Data!J7)</f>
        <v>South</v>
      </c>
      <c r="K7" s="4" t="str">
        <f>PROPER(Sales_Data!K7)</f>
        <v>Home Appliances</v>
      </c>
      <c r="L7" s="8" t="s">
        <v>33</v>
      </c>
      <c r="M7" s="8">
        <v>4</v>
      </c>
      <c r="N7" s="8">
        <v>2200</v>
      </c>
      <c r="O7" s="8">
        <v>0</v>
      </c>
      <c r="P7" s="8">
        <v>8800</v>
      </c>
      <c r="Q7" s="8">
        <v>1</v>
      </c>
      <c r="R7" s="8" t="s">
        <v>88</v>
      </c>
      <c r="S7" s="8" t="s">
        <v>35</v>
      </c>
      <c r="T7" s="8" t="s">
        <v>89</v>
      </c>
      <c r="U7" s="9" t="s">
        <v>90</v>
      </c>
      <c r="V7" s="8" t="s">
        <v>38</v>
      </c>
      <c r="X7" s="56" t="s">
        <v>31</v>
      </c>
      <c r="Y7">
        <v>7490491.5</v>
      </c>
      <c r="AA7" s="56" t="s">
        <v>122</v>
      </c>
      <c r="AB7">
        <v>115503.5</v>
      </c>
      <c r="AD7" s="57">
        <v>45666</v>
      </c>
      <c r="AE7">
        <v>161500</v>
      </c>
    </row>
    <row r="8" spans="1:31" x14ac:dyDescent="0.3">
      <c r="A8" s="3" t="s">
        <v>91</v>
      </c>
      <c r="B8" s="4" t="s">
        <v>23</v>
      </c>
      <c r="C8" s="4" t="s">
        <v>92</v>
      </c>
      <c r="D8" s="52">
        <v>45719</v>
      </c>
      <c r="E8" s="48" t="s">
        <v>94</v>
      </c>
      <c r="F8" s="4" t="str">
        <f>TRIM(PROPER(Sales_Data!F8))</f>
        <v>Kavya Nair</v>
      </c>
      <c r="G8" s="4" t="s">
        <v>28</v>
      </c>
      <c r="H8" s="4" t="s">
        <v>96</v>
      </c>
      <c r="I8" s="4" t="s">
        <v>30</v>
      </c>
      <c r="J8" s="4" t="str">
        <f>PROPER(Sales_Data!J8)</f>
        <v>South</v>
      </c>
      <c r="K8" s="4" t="str">
        <f>PROPER(Sales_Data!K8)</f>
        <v>Home Appliances</v>
      </c>
      <c r="L8" s="4" t="s">
        <v>97</v>
      </c>
      <c r="M8" s="4">
        <v>2</v>
      </c>
      <c r="N8" s="4">
        <v>3500</v>
      </c>
      <c r="O8" s="4">
        <v>5</v>
      </c>
      <c r="P8" s="4">
        <v>6650</v>
      </c>
      <c r="Q8" s="4">
        <v>1</v>
      </c>
      <c r="R8" s="4" t="s">
        <v>88</v>
      </c>
      <c r="S8" s="4" t="s">
        <v>35</v>
      </c>
      <c r="T8" s="4" t="s">
        <v>50</v>
      </c>
      <c r="U8" s="6" t="s">
        <v>98</v>
      </c>
      <c r="V8" s="4" t="s">
        <v>38</v>
      </c>
      <c r="X8" s="56" t="s">
        <v>106</v>
      </c>
      <c r="Y8">
        <v>13201746.5</v>
      </c>
      <c r="AA8" s="56" t="s">
        <v>2143</v>
      </c>
      <c r="AB8">
        <v>33932012.5</v>
      </c>
      <c r="AD8" s="57">
        <v>45667</v>
      </c>
      <c r="AE8">
        <v>29700</v>
      </c>
    </row>
    <row r="9" spans="1:31" x14ac:dyDescent="0.3">
      <c r="A9" s="7" t="s">
        <v>99</v>
      </c>
      <c r="B9" s="8" t="s">
        <v>100</v>
      </c>
      <c r="C9" s="8" t="s">
        <v>40</v>
      </c>
      <c r="D9" s="53">
        <v>45760</v>
      </c>
      <c r="E9" s="49" t="s">
        <v>102</v>
      </c>
      <c r="F9" s="4" t="str">
        <f>TRIM(PROPER(Sales_Data!F9))</f>
        <v>Priya Patel</v>
      </c>
      <c r="G9" s="8" t="s">
        <v>28</v>
      </c>
      <c r="H9" s="8" t="s">
        <v>104</v>
      </c>
      <c r="I9" s="8" t="s">
        <v>105</v>
      </c>
      <c r="J9" s="4" t="str">
        <f>PROPER(Sales_Data!J9)</f>
        <v>West</v>
      </c>
      <c r="K9" s="4" t="str">
        <f>PROPER(Sales_Data!K9)</f>
        <v>Electronics</v>
      </c>
      <c r="L9" s="8" t="s">
        <v>47</v>
      </c>
      <c r="M9" s="8">
        <v>14</v>
      </c>
      <c r="N9" s="8">
        <v>12000</v>
      </c>
      <c r="O9" s="8">
        <v>15</v>
      </c>
      <c r="P9" s="8">
        <v>142800</v>
      </c>
      <c r="Q9" s="8">
        <v>4</v>
      </c>
      <c r="R9" s="8" t="s">
        <v>48</v>
      </c>
      <c r="S9" s="8" t="s">
        <v>35</v>
      </c>
      <c r="T9" s="10" t="s">
        <v>107</v>
      </c>
      <c r="U9" s="9" t="s">
        <v>108</v>
      </c>
      <c r="V9" s="8" t="s">
        <v>38</v>
      </c>
      <c r="X9" s="56" t="s">
        <v>2143</v>
      </c>
      <c r="Y9">
        <v>33932012.5</v>
      </c>
      <c r="AD9" s="57">
        <v>45669</v>
      </c>
      <c r="AE9">
        <v>128</v>
      </c>
    </row>
    <row r="10" spans="1:31" x14ac:dyDescent="0.3">
      <c r="A10" s="3" t="s">
        <v>109</v>
      </c>
      <c r="B10" s="4" t="s">
        <v>23</v>
      </c>
      <c r="C10" s="4" t="s">
        <v>40</v>
      </c>
      <c r="D10" s="52">
        <v>46053</v>
      </c>
      <c r="E10" s="48" t="s">
        <v>111</v>
      </c>
      <c r="F10" s="4" t="str">
        <f>TRIM(PROPER(Sales_Data!F10))</f>
        <v>Kavya Nair</v>
      </c>
      <c r="G10" s="4" t="s">
        <v>28</v>
      </c>
      <c r="H10" s="4" t="s">
        <v>113</v>
      </c>
      <c r="I10" s="4" t="s">
        <v>114</v>
      </c>
      <c r="J10" s="4" t="str">
        <f>PROPER(Sales_Data!J10)</f>
        <v>West</v>
      </c>
      <c r="K10" s="4" t="str">
        <f>PROPER(Sales_Data!K10)</f>
        <v>Electronics</v>
      </c>
      <c r="L10" s="4" t="s">
        <v>47</v>
      </c>
      <c r="M10" s="4">
        <v>4</v>
      </c>
      <c r="N10" s="4">
        <v>12000</v>
      </c>
      <c r="O10" s="4">
        <v>15</v>
      </c>
      <c r="P10" s="4">
        <v>40800</v>
      </c>
      <c r="Q10" s="4">
        <v>4</v>
      </c>
      <c r="R10" s="4" t="s">
        <v>88</v>
      </c>
      <c r="S10" s="4" t="s">
        <v>115</v>
      </c>
      <c r="T10" s="4" t="s">
        <v>50</v>
      </c>
      <c r="U10" s="6" t="s">
        <v>116</v>
      </c>
      <c r="V10" s="4" t="s">
        <v>38</v>
      </c>
      <c r="AD10" s="57">
        <v>45670</v>
      </c>
      <c r="AE10">
        <v>574930</v>
      </c>
    </row>
    <row r="11" spans="1:31" x14ac:dyDescent="0.3">
      <c r="A11" s="7" t="s">
        <v>117</v>
      </c>
      <c r="B11" s="8" t="s">
        <v>100</v>
      </c>
      <c r="C11" s="8" t="s">
        <v>118</v>
      </c>
      <c r="D11" s="53">
        <v>45741</v>
      </c>
      <c r="E11" s="49" t="s">
        <v>120</v>
      </c>
      <c r="F11" s="4" t="str">
        <f>TRIM(PROPER(Sales_Data!F11))</f>
        <v>Priya Patel</v>
      </c>
      <c r="G11" s="8" t="s">
        <v>28</v>
      </c>
      <c r="H11" s="8" t="s">
        <v>121</v>
      </c>
      <c r="I11" s="8" t="s">
        <v>105</v>
      </c>
      <c r="J11" s="4" t="str">
        <f>PROPER(Sales_Data!J11)</f>
        <v>West</v>
      </c>
      <c r="K11" s="4" t="str">
        <f>PROPER(Sales_Data!K11)</f>
        <v>Stationery</v>
      </c>
      <c r="L11" s="8" t="s">
        <v>123</v>
      </c>
      <c r="M11" s="8">
        <v>6</v>
      </c>
      <c r="N11" s="8">
        <v>60</v>
      </c>
      <c r="O11" s="8">
        <v>0</v>
      </c>
      <c r="P11" s="8">
        <v>360</v>
      </c>
      <c r="Q11" s="8">
        <v>4</v>
      </c>
      <c r="R11" s="8" t="s">
        <v>79</v>
      </c>
      <c r="S11" s="8" t="s">
        <v>115</v>
      </c>
      <c r="T11" s="10" t="s">
        <v>124</v>
      </c>
      <c r="U11" s="9" t="s">
        <v>125</v>
      </c>
      <c r="V11" s="8" t="s">
        <v>38</v>
      </c>
      <c r="AD11" s="57">
        <v>45672</v>
      </c>
      <c r="AE11">
        <v>20505</v>
      </c>
    </row>
    <row r="12" spans="1:31" x14ac:dyDescent="0.3">
      <c r="A12" s="3" t="s">
        <v>126</v>
      </c>
      <c r="B12" s="4" t="s">
        <v>127</v>
      </c>
      <c r="C12" s="4" t="s">
        <v>24</v>
      </c>
      <c r="D12" s="52">
        <v>45919</v>
      </c>
      <c r="E12" s="48" t="s">
        <v>129</v>
      </c>
      <c r="F12" s="4" t="str">
        <f>TRIM(PROPER(Sales_Data!F12))</f>
        <v>Rohit Singh</v>
      </c>
      <c r="G12" s="4" t="s">
        <v>76</v>
      </c>
      <c r="H12" s="4" t="s">
        <v>131</v>
      </c>
      <c r="I12" s="4" t="s">
        <v>44</v>
      </c>
      <c r="J12" s="4" t="str">
        <f>PROPER(Sales_Data!J12)</f>
        <v>North</v>
      </c>
      <c r="K12" s="4" t="str">
        <f>PROPER(Sales_Data!K12)</f>
        <v>Home Appliances</v>
      </c>
      <c r="L12" s="4" t="s">
        <v>33</v>
      </c>
      <c r="M12" s="4">
        <v>-3</v>
      </c>
      <c r="N12" s="4">
        <v>2200</v>
      </c>
      <c r="O12" s="4">
        <v>0</v>
      </c>
      <c r="P12" s="4">
        <v>35200</v>
      </c>
      <c r="Q12" s="4">
        <v>2</v>
      </c>
      <c r="R12" s="4" t="s">
        <v>79</v>
      </c>
      <c r="S12" s="4" t="s">
        <v>49</v>
      </c>
      <c r="T12" s="4" t="s">
        <v>132</v>
      </c>
      <c r="U12" s="6" t="s">
        <v>133</v>
      </c>
      <c r="V12" s="4" t="s">
        <v>64</v>
      </c>
      <c r="AD12" s="57">
        <v>45673</v>
      </c>
      <c r="AE12">
        <v>360</v>
      </c>
    </row>
    <row r="13" spans="1:31" x14ac:dyDescent="0.3">
      <c r="A13" s="7" t="s">
        <v>134</v>
      </c>
      <c r="B13" s="8" t="s">
        <v>23</v>
      </c>
      <c r="C13" s="8" t="s">
        <v>92</v>
      </c>
      <c r="D13" s="53">
        <v>45724</v>
      </c>
      <c r="E13" s="49" t="s">
        <v>136</v>
      </c>
      <c r="F13" s="4" t="str">
        <f>TRIM(PROPER(Sales_Data!F13))</f>
        <v>Kavya Nair</v>
      </c>
      <c r="G13" s="8" t="s">
        <v>28</v>
      </c>
      <c r="H13" s="8" t="s">
        <v>137</v>
      </c>
      <c r="I13" s="8" t="s">
        <v>138</v>
      </c>
      <c r="J13" s="4" t="str">
        <f>PROPER(Sales_Data!J13)</f>
        <v>West</v>
      </c>
      <c r="K13" s="4" t="str">
        <f>PROPER(Sales_Data!K13)</f>
        <v>Home Appliances</v>
      </c>
      <c r="L13" s="8" t="s">
        <v>97</v>
      </c>
      <c r="M13" s="8">
        <v>10</v>
      </c>
      <c r="N13" s="8">
        <v>3500</v>
      </c>
      <c r="O13" s="8">
        <v>5</v>
      </c>
      <c r="P13" s="8">
        <v>33250</v>
      </c>
      <c r="Q13" s="8">
        <v>5</v>
      </c>
      <c r="R13" s="8" t="s">
        <v>79</v>
      </c>
      <c r="S13" s="8" t="s">
        <v>61</v>
      </c>
      <c r="T13" s="8" t="s">
        <v>50</v>
      </c>
      <c r="U13" s="9" t="s">
        <v>139</v>
      </c>
      <c r="V13" s="8" t="s">
        <v>69</v>
      </c>
      <c r="AD13" s="57">
        <v>45674</v>
      </c>
      <c r="AE13">
        <v>20220</v>
      </c>
    </row>
    <row r="14" spans="1:31" x14ac:dyDescent="0.3">
      <c r="A14" s="3" t="s">
        <v>140</v>
      </c>
      <c r="B14" s="4" t="s">
        <v>100</v>
      </c>
      <c r="C14" s="4" t="s">
        <v>24</v>
      </c>
      <c r="D14" s="52">
        <v>45667</v>
      </c>
      <c r="E14" s="48" t="s">
        <v>142</v>
      </c>
      <c r="F14" s="4" t="str">
        <f>TRIM(PROPER(Sales_Data!F14))</f>
        <v>Priya Patel</v>
      </c>
      <c r="G14" s="4" t="s">
        <v>28</v>
      </c>
      <c r="H14" s="4" t="s">
        <v>143</v>
      </c>
      <c r="I14" s="4" t="s">
        <v>114</v>
      </c>
      <c r="J14" s="4" t="str">
        <f>PROPER(Sales_Data!J14)</f>
        <v>West</v>
      </c>
      <c r="K14" s="4" t="str">
        <f>PROPER(Sales_Data!K14)</f>
        <v>Home Appliances</v>
      </c>
      <c r="L14" s="4" t="s">
        <v>33</v>
      </c>
      <c r="M14" s="4">
        <v>15</v>
      </c>
      <c r="N14" s="4">
        <v>2200</v>
      </c>
      <c r="O14" s="4">
        <v>10</v>
      </c>
      <c r="P14" s="4">
        <v>29700</v>
      </c>
      <c r="Q14" s="4">
        <v>1</v>
      </c>
      <c r="R14" s="4" t="s">
        <v>88</v>
      </c>
      <c r="S14" s="4" t="s">
        <v>115</v>
      </c>
      <c r="T14" s="4" t="s">
        <v>144</v>
      </c>
      <c r="U14" s="6" t="s">
        <v>145</v>
      </c>
      <c r="V14" s="4" t="s">
        <v>64</v>
      </c>
      <c r="AD14" s="57">
        <v>45678</v>
      </c>
      <c r="AE14">
        <v>576</v>
      </c>
    </row>
    <row r="15" spans="1:31" x14ac:dyDescent="0.3">
      <c r="A15" s="7" t="s">
        <v>146</v>
      </c>
      <c r="B15" s="8" t="s">
        <v>127</v>
      </c>
      <c r="C15" s="8" t="s">
        <v>24</v>
      </c>
      <c r="D15" s="53">
        <v>45725</v>
      </c>
      <c r="E15" s="49" t="s">
        <v>148</v>
      </c>
      <c r="F15" s="4" t="str">
        <f>TRIM(PROPER(Sales_Data!F15))</f>
        <v>Rohit Singh</v>
      </c>
      <c r="G15" s="8" t="s">
        <v>76</v>
      </c>
      <c r="H15" s="8" t="s">
        <v>150</v>
      </c>
      <c r="I15" s="8" t="s">
        <v>105</v>
      </c>
      <c r="J15" s="4" t="str">
        <f>PROPER(Sales_Data!J15)</f>
        <v>West</v>
      </c>
      <c r="K15" s="4" t="str">
        <f>PROPER(Sales_Data!K15)</f>
        <v>Home Appliances</v>
      </c>
      <c r="L15" s="8" t="s">
        <v>33</v>
      </c>
      <c r="M15" s="8">
        <v>17</v>
      </c>
      <c r="N15" s="8">
        <v>2200</v>
      </c>
      <c r="O15" s="8">
        <v>5</v>
      </c>
      <c r="P15" s="8">
        <v>35530</v>
      </c>
      <c r="Q15" s="8">
        <v>1</v>
      </c>
      <c r="R15" s="8" t="s">
        <v>34</v>
      </c>
      <c r="S15" s="8" t="s">
        <v>151</v>
      </c>
      <c r="T15" s="10" t="s">
        <v>152</v>
      </c>
      <c r="U15" s="9" t="s">
        <v>153</v>
      </c>
      <c r="V15" s="8" t="s">
        <v>38</v>
      </c>
      <c r="AD15" s="57">
        <v>45679</v>
      </c>
      <c r="AE15">
        <v>1077300</v>
      </c>
    </row>
    <row r="16" spans="1:31" x14ac:dyDescent="0.3">
      <c r="A16" s="3" t="s">
        <v>154</v>
      </c>
      <c r="B16" s="4" t="s">
        <v>23</v>
      </c>
      <c r="C16" s="4" t="s">
        <v>92</v>
      </c>
      <c r="D16" s="52">
        <v>45864</v>
      </c>
      <c r="E16" s="48" t="s">
        <v>156</v>
      </c>
      <c r="F16" s="4" t="str">
        <f>TRIM(PROPER(Sales_Data!F16))</f>
        <v>Kavya Nair</v>
      </c>
      <c r="G16" s="4" t="s">
        <v>28</v>
      </c>
      <c r="H16" s="4" t="s">
        <v>158</v>
      </c>
      <c r="I16" s="4" t="s">
        <v>105</v>
      </c>
      <c r="J16" s="4" t="str">
        <f>PROPER(Sales_Data!J16)</f>
        <v>West</v>
      </c>
      <c r="K16" s="4" t="str">
        <f>PROPER(Sales_Data!K16)</f>
        <v>Home Appliances</v>
      </c>
      <c r="L16" s="4" t="s">
        <v>97</v>
      </c>
      <c r="M16" s="4">
        <v>15</v>
      </c>
      <c r="N16" s="4">
        <v>3500</v>
      </c>
      <c r="O16" s="4">
        <v>15</v>
      </c>
      <c r="P16" s="4">
        <v>44625</v>
      </c>
      <c r="Q16" s="4">
        <v>2</v>
      </c>
      <c r="R16" s="4" t="s">
        <v>34</v>
      </c>
      <c r="S16" s="4" t="s">
        <v>115</v>
      </c>
      <c r="T16" s="5" t="s">
        <v>50</v>
      </c>
      <c r="U16" s="6" t="s">
        <v>159</v>
      </c>
      <c r="V16" s="4" t="s">
        <v>69</v>
      </c>
      <c r="AD16" s="57">
        <v>45681</v>
      </c>
      <c r="AE16">
        <v>952</v>
      </c>
    </row>
    <row r="17" spans="1:31" x14ac:dyDescent="0.3">
      <c r="A17" s="7" t="s">
        <v>160</v>
      </c>
      <c r="B17" s="8" t="s">
        <v>53</v>
      </c>
      <c r="C17" s="8" t="s">
        <v>72</v>
      </c>
      <c r="D17" s="53">
        <v>46120</v>
      </c>
      <c r="E17" s="49" t="s">
        <v>162</v>
      </c>
      <c r="F17" s="4" t="str">
        <f>TRIM(PROPER(Sales_Data!F17))</f>
        <v>Pooja Shah</v>
      </c>
      <c r="G17" s="8" t="s">
        <v>28</v>
      </c>
      <c r="H17" s="8" t="s">
        <v>164</v>
      </c>
      <c r="I17" s="8" t="s">
        <v>30</v>
      </c>
      <c r="J17" s="4" t="str">
        <f>PROPER(Sales_Data!J17)</f>
        <v>South</v>
      </c>
      <c r="K17" s="4" t="str">
        <f>PROPER(Sales_Data!K17)</f>
        <v>Electronics</v>
      </c>
      <c r="L17" s="8" t="s">
        <v>78</v>
      </c>
      <c r="M17" s="8">
        <v>3</v>
      </c>
      <c r="N17" s="8">
        <v>1200</v>
      </c>
      <c r="O17" s="8">
        <v>5</v>
      </c>
      <c r="P17" s="8">
        <v>3420</v>
      </c>
      <c r="Q17" s="8">
        <v>5</v>
      </c>
      <c r="R17" s="8" t="s">
        <v>88</v>
      </c>
      <c r="S17" s="8" t="s">
        <v>35</v>
      </c>
      <c r="T17" s="8" t="s">
        <v>165</v>
      </c>
      <c r="U17" s="9" t="s">
        <v>166</v>
      </c>
      <c r="V17" s="8" t="s">
        <v>38</v>
      </c>
      <c r="AD17" s="57">
        <v>45682</v>
      </c>
      <c r="AE17">
        <v>20570</v>
      </c>
    </row>
    <row r="18" spans="1:31" x14ac:dyDescent="0.3">
      <c r="A18" s="3" t="s">
        <v>167</v>
      </c>
      <c r="B18" s="4" t="s">
        <v>168</v>
      </c>
      <c r="C18" s="4" t="s">
        <v>169</v>
      </c>
      <c r="D18" s="52">
        <v>46075</v>
      </c>
      <c r="E18" s="48" t="s">
        <v>171</v>
      </c>
      <c r="F18" s="4" t="str">
        <f>TRIM(PROPER(Sales_Data!F18))</f>
        <v>Amit Sharma</v>
      </c>
      <c r="G18" s="4" t="s">
        <v>28</v>
      </c>
      <c r="H18" s="4" t="s">
        <v>173</v>
      </c>
      <c r="I18" s="4" t="s">
        <v>114</v>
      </c>
      <c r="J18" s="4" t="str">
        <f>PROPER(Sales_Data!J18)</f>
        <v>West</v>
      </c>
      <c r="K18" s="4" t="str">
        <f>PROPER(Sales_Data!K18)</f>
        <v>Home Appliances</v>
      </c>
      <c r="L18" s="4" t="s">
        <v>174</v>
      </c>
      <c r="M18" s="4">
        <v>13</v>
      </c>
      <c r="N18" s="4">
        <v>8500</v>
      </c>
      <c r="O18" s="4">
        <v>20</v>
      </c>
      <c r="P18" s="4">
        <v>88400</v>
      </c>
      <c r="Q18" s="4">
        <v>4</v>
      </c>
      <c r="R18" s="4" t="s">
        <v>79</v>
      </c>
      <c r="S18" s="4" t="s">
        <v>49</v>
      </c>
      <c r="T18" s="4" t="s">
        <v>175</v>
      </c>
      <c r="U18" s="6" t="s">
        <v>176</v>
      </c>
      <c r="V18" s="4" t="s">
        <v>64</v>
      </c>
      <c r="AD18" s="57">
        <v>45683</v>
      </c>
      <c r="AE18">
        <v>28800</v>
      </c>
    </row>
    <row r="19" spans="1:31" x14ac:dyDescent="0.3">
      <c r="A19" s="7" t="s">
        <v>177</v>
      </c>
      <c r="B19" s="8" t="s">
        <v>83</v>
      </c>
      <c r="C19" s="8" t="s">
        <v>169</v>
      </c>
      <c r="D19" s="53">
        <v>46081</v>
      </c>
      <c r="E19" s="49" t="s">
        <v>179</v>
      </c>
      <c r="F19" s="4" t="str">
        <f>TRIM(PROPER(Sales_Data!F19))</f>
        <v>Arjun Rao</v>
      </c>
      <c r="G19" s="8" t="s">
        <v>76</v>
      </c>
      <c r="H19" s="8" t="s">
        <v>181</v>
      </c>
      <c r="I19" s="8" t="s">
        <v>138</v>
      </c>
      <c r="J19" s="4" t="str">
        <f>PROPER(Sales_Data!J19)</f>
        <v>West</v>
      </c>
      <c r="K19" s="4" t="str">
        <f>PROPER(Sales_Data!K19)</f>
        <v>Home Appliances</v>
      </c>
      <c r="L19" s="8" t="s">
        <v>174</v>
      </c>
      <c r="M19" s="8">
        <v>4</v>
      </c>
      <c r="N19" s="8">
        <v>8500</v>
      </c>
      <c r="O19" s="8">
        <v>20</v>
      </c>
      <c r="P19" s="8">
        <v>27200</v>
      </c>
      <c r="Q19" s="8">
        <v>5</v>
      </c>
      <c r="R19" s="8" t="s">
        <v>79</v>
      </c>
      <c r="S19" s="8" t="s">
        <v>61</v>
      </c>
      <c r="T19" s="8" t="s">
        <v>89</v>
      </c>
      <c r="U19" s="9" t="s">
        <v>182</v>
      </c>
      <c r="V19" s="8" t="s">
        <v>64</v>
      </c>
      <c r="AD19" s="57">
        <v>45684</v>
      </c>
      <c r="AE19">
        <v>729</v>
      </c>
    </row>
    <row r="20" spans="1:31" x14ac:dyDescent="0.3">
      <c r="A20" s="3" t="s">
        <v>183</v>
      </c>
      <c r="B20" s="4" t="s">
        <v>83</v>
      </c>
      <c r="C20" s="4" t="s">
        <v>184</v>
      </c>
      <c r="D20" s="52">
        <v>45992</v>
      </c>
      <c r="E20" s="48" t="s">
        <v>186</v>
      </c>
      <c r="F20" s="4" t="str">
        <f>TRIM(PROPER(Sales_Data!F20))</f>
        <v>Arjun Rao</v>
      </c>
      <c r="G20" s="4" t="s">
        <v>76</v>
      </c>
      <c r="H20" s="4" t="s">
        <v>188</v>
      </c>
      <c r="I20" s="4" t="s">
        <v>105</v>
      </c>
      <c r="J20" s="4" t="str">
        <f>PROPER(Sales_Data!J20)</f>
        <v>West</v>
      </c>
      <c r="K20" s="4" t="str">
        <f>PROPER(Sales_Data!K20)</f>
        <v>Electronics</v>
      </c>
      <c r="L20" s="4" t="s">
        <v>189</v>
      </c>
      <c r="M20" s="4">
        <v>9</v>
      </c>
      <c r="N20" s="4">
        <v>700</v>
      </c>
      <c r="O20" s="4">
        <v>5</v>
      </c>
      <c r="P20" s="4">
        <v>5985</v>
      </c>
      <c r="Q20" s="4">
        <v>3</v>
      </c>
      <c r="R20" s="4" t="s">
        <v>88</v>
      </c>
      <c r="S20" s="4" t="s">
        <v>35</v>
      </c>
      <c r="T20" s="5" t="s">
        <v>190</v>
      </c>
      <c r="U20" s="6" t="s">
        <v>191</v>
      </c>
      <c r="V20" s="4" t="s">
        <v>64</v>
      </c>
      <c r="AD20" s="57">
        <v>45685</v>
      </c>
      <c r="AE20">
        <v>48450</v>
      </c>
    </row>
    <row r="21" spans="1:31" x14ac:dyDescent="0.3">
      <c r="A21" s="7" t="s">
        <v>192</v>
      </c>
      <c r="B21" s="8" t="s">
        <v>23</v>
      </c>
      <c r="C21" s="8" t="s">
        <v>54</v>
      </c>
      <c r="D21" s="53">
        <v>45833</v>
      </c>
      <c r="E21" s="49" t="s">
        <v>194</v>
      </c>
      <c r="F21" s="4" t="str">
        <f>TRIM(PROPER(Sales_Data!F21))</f>
        <v>Kavya Nair</v>
      </c>
      <c r="G21" s="8" t="s">
        <v>28</v>
      </c>
      <c r="H21" s="8" t="s">
        <v>195</v>
      </c>
      <c r="I21" s="8" t="s">
        <v>138</v>
      </c>
      <c r="J21" s="4" t="str">
        <f>PROPER(Sales_Data!J21)</f>
        <v>West</v>
      </c>
      <c r="K21" s="4" t="str">
        <f>PROPER(Sales_Data!K21)</f>
        <v>Electronics</v>
      </c>
      <c r="L21" s="8" t="s">
        <v>60</v>
      </c>
      <c r="M21" s="8">
        <v>8</v>
      </c>
      <c r="N21" s="8">
        <v>55000</v>
      </c>
      <c r="O21" s="8">
        <v>20</v>
      </c>
      <c r="P21" s="8">
        <v>352000</v>
      </c>
      <c r="Q21" s="8">
        <v>1</v>
      </c>
      <c r="R21" s="8" t="s">
        <v>34</v>
      </c>
      <c r="S21" s="8" t="s">
        <v>151</v>
      </c>
      <c r="T21" s="8" t="s">
        <v>50</v>
      </c>
      <c r="U21" s="9" t="s">
        <v>196</v>
      </c>
      <c r="V21" s="8" t="s">
        <v>38</v>
      </c>
      <c r="AD21" s="57">
        <v>45688</v>
      </c>
      <c r="AE21">
        <v>228000</v>
      </c>
    </row>
    <row r="22" spans="1:31" x14ac:dyDescent="0.3">
      <c r="A22" s="3" t="s">
        <v>197</v>
      </c>
      <c r="B22" s="4" t="s">
        <v>127</v>
      </c>
      <c r="C22" s="4" t="s">
        <v>184</v>
      </c>
      <c r="D22" s="52">
        <v>45773</v>
      </c>
      <c r="E22" s="48" t="s">
        <v>199</v>
      </c>
      <c r="F22" s="4" t="str">
        <f>TRIM(PROPER(Sales_Data!F22))</f>
        <v>Rohit Singh</v>
      </c>
      <c r="G22" s="4" t="s">
        <v>76</v>
      </c>
      <c r="H22" s="4" t="s">
        <v>201</v>
      </c>
      <c r="I22" s="4" t="s">
        <v>44</v>
      </c>
      <c r="J22" s="4" t="str">
        <f>PROPER(Sales_Data!J22)</f>
        <v>North</v>
      </c>
      <c r="K22" s="4" t="str">
        <f>PROPER(Sales_Data!K22)</f>
        <v>Electronics</v>
      </c>
      <c r="L22" s="4" t="s">
        <v>189</v>
      </c>
      <c r="M22" s="4">
        <v>10</v>
      </c>
      <c r="N22" s="4">
        <v>700</v>
      </c>
      <c r="O22" s="4">
        <v>20</v>
      </c>
      <c r="P22" s="4">
        <v>5600</v>
      </c>
      <c r="Q22" s="4">
        <v>4</v>
      </c>
      <c r="R22" s="4" t="s">
        <v>79</v>
      </c>
      <c r="S22" s="4" t="s">
        <v>61</v>
      </c>
      <c r="T22" s="4" t="s">
        <v>132</v>
      </c>
      <c r="U22" s="6" t="s">
        <v>203</v>
      </c>
      <c r="V22" s="4" t="s">
        <v>69</v>
      </c>
      <c r="AD22" s="57">
        <v>45689</v>
      </c>
      <c r="AE22">
        <v>53200</v>
      </c>
    </row>
    <row r="23" spans="1:31" x14ac:dyDescent="0.3">
      <c r="A23" s="7" t="s">
        <v>204</v>
      </c>
      <c r="B23" s="8" t="s">
        <v>23</v>
      </c>
      <c r="C23" s="8" t="s">
        <v>92</v>
      </c>
      <c r="D23" s="53">
        <v>45660</v>
      </c>
      <c r="E23" s="49" t="s">
        <v>206</v>
      </c>
      <c r="F23" s="4" t="str">
        <f>TRIM(PROPER(Sales_Data!F23))</f>
        <v>Kavya Nair</v>
      </c>
      <c r="G23" s="8" t="s">
        <v>28</v>
      </c>
      <c r="H23" s="8" t="s">
        <v>207</v>
      </c>
      <c r="I23" s="8" t="s">
        <v>59</v>
      </c>
      <c r="J23" s="4" t="str">
        <f>PROPER(Sales_Data!J23)</f>
        <v>South</v>
      </c>
      <c r="K23" s="4" t="str">
        <f>PROPER(Sales_Data!K23)</f>
        <v>Home Appliances</v>
      </c>
      <c r="L23" s="8" t="s">
        <v>97</v>
      </c>
      <c r="M23" s="8">
        <v>1</v>
      </c>
      <c r="N23" s="8">
        <v>3500</v>
      </c>
      <c r="O23" s="8">
        <v>5</v>
      </c>
      <c r="P23" s="8">
        <v>3325</v>
      </c>
      <c r="Q23" s="8">
        <v>3</v>
      </c>
      <c r="R23" s="8" t="s">
        <v>88</v>
      </c>
      <c r="S23" s="8" t="s">
        <v>115</v>
      </c>
      <c r="T23" s="8" t="s">
        <v>50</v>
      </c>
      <c r="U23" s="9" t="s">
        <v>208</v>
      </c>
      <c r="V23" s="8" t="s">
        <v>69</v>
      </c>
      <c r="AD23" s="57">
        <v>45691</v>
      </c>
      <c r="AE23">
        <v>522600</v>
      </c>
    </row>
    <row r="24" spans="1:31" x14ac:dyDescent="0.3">
      <c r="A24" s="3" t="s">
        <v>209</v>
      </c>
      <c r="B24" s="4" t="s">
        <v>100</v>
      </c>
      <c r="C24" s="4" t="s">
        <v>184</v>
      </c>
      <c r="D24" s="52">
        <v>45766</v>
      </c>
      <c r="E24" s="48" t="s">
        <v>210</v>
      </c>
      <c r="F24" s="4" t="str">
        <f>TRIM(PROPER(Sales_Data!F24))</f>
        <v>Priya Patel</v>
      </c>
      <c r="G24" s="4" t="s">
        <v>28</v>
      </c>
      <c r="H24" s="4" t="s">
        <v>211</v>
      </c>
      <c r="I24" s="4" t="s">
        <v>212</v>
      </c>
      <c r="J24" s="4" t="str">
        <f>PROPER(Sales_Data!J24)</f>
        <v>North</v>
      </c>
      <c r="K24" s="4" t="str">
        <f>PROPER(Sales_Data!K24)</f>
        <v>Electronics</v>
      </c>
      <c r="L24" s="4" t="s">
        <v>189</v>
      </c>
      <c r="M24" s="4">
        <v>19</v>
      </c>
      <c r="N24" s="4">
        <v>700</v>
      </c>
      <c r="O24" s="4">
        <v>15</v>
      </c>
      <c r="P24" s="4">
        <v>11305</v>
      </c>
      <c r="Q24" s="4">
        <v>3</v>
      </c>
      <c r="R24" s="4" t="s">
        <v>48</v>
      </c>
      <c r="S24" s="4" t="s">
        <v>151</v>
      </c>
      <c r="T24" s="4" t="s">
        <v>144</v>
      </c>
      <c r="U24" s="6" t="s">
        <v>213</v>
      </c>
      <c r="V24" s="4" t="s">
        <v>64</v>
      </c>
      <c r="AD24" s="57">
        <v>45692</v>
      </c>
      <c r="AE24">
        <v>680476.25</v>
      </c>
    </row>
    <row r="25" spans="1:31" x14ac:dyDescent="0.3">
      <c r="A25" s="7" t="s">
        <v>214</v>
      </c>
      <c r="B25" s="8" t="s">
        <v>71</v>
      </c>
      <c r="C25" s="8" t="s">
        <v>54</v>
      </c>
      <c r="D25" s="53">
        <v>46013</v>
      </c>
      <c r="E25" s="49" t="s">
        <v>216</v>
      </c>
      <c r="F25" s="4" t="str">
        <f>TRIM(PROPER(Sales_Data!F25))</f>
        <v>Mohit Verma</v>
      </c>
      <c r="G25" s="8" t="s">
        <v>76</v>
      </c>
      <c r="H25" s="8" t="s">
        <v>218</v>
      </c>
      <c r="I25" s="8" t="s">
        <v>59</v>
      </c>
      <c r="J25" s="4" t="str">
        <f>PROPER(Sales_Data!J25)</f>
        <v>South</v>
      </c>
      <c r="K25" s="4" t="str">
        <f>PROPER(Sales_Data!K25)</f>
        <v>Electronics</v>
      </c>
      <c r="L25" s="8" t="s">
        <v>60</v>
      </c>
      <c r="M25" s="8">
        <v>12</v>
      </c>
      <c r="N25" s="8">
        <v>55000</v>
      </c>
      <c r="O25" s="8">
        <v>0</v>
      </c>
      <c r="P25" s="8">
        <v>660000</v>
      </c>
      <c r="Q25" s="8">
        <v>1</v>
      </c>
      <c r="R25" s="8" t="s">
        <v>79</v>
      </c>
      <c r="S25" s="8" t="s">
        <v>49</v>
      </c>
      <c r="T25" s="8" t="s">
        <v>80</v>
      </c>
      <c r="U25" s="9" t="s">
        <v>219</v>
      </c>
      <c r="V25" s="8" t="s">
        <v>64</v>
      </c>
      <c r="AD25" s="57">
        <v>45694</v>
      </c>
      <c r="AE25">
        <v>81834.25</v>
      </c>
    </row>
    <row r="26" spans="1:31" x14ac:dyDescent="0.3">
      <c r="A26" s="3" t="s">
        <v>220</v>
      </c>
      <c r="B26" s="4" t="s">
        <v>221</v>
      </c>
      <c r="C26" s="4" t="s">
        <v>222</v>
      </c>
      <c r="D26" s="52">
        <v>46121</v>
      </c>
      <c r="E26" s="48" t="s">
        <v>224</v>
      </c>
      <c r="F26" s="4" t="str">
        <f>TRIM(PROPER(Sales_Data!F26))</f>
        <v>Vikas Mehta</v>
      </c>
      <c r="G26" s="4" t="s">
        <v>76</v>
      </c>
      <c r="H26" s="4" t="s">
        <v>226</v>
      </c>
      <c r="I26" s="4" t="s">
        <v>105</v>
      </c>
      <c r="J26" s="4" t="str">
        <f>PROPER(Sales_Data!J26)</f>
        <v>West</v>
      </c>
      <c r="K26" s="4" t="str">
        <f>PROPER(Sales_Data!K26)</f>
        <v>Stationery</v>
      </c>
      <c r="L26" s="4" t="s">
        <v>227</v>
      </c>
      <c r="M26" s="4">
        <v>1</v>
      </c>
      <c r="N26" s="4">
        <v>20</v>
      </c>
      <c r="O26" s="4">
        <v>5</v>
      </c>
      <c r="P26" s="4">
        <v>19</v>
      </c>
      <c r="Q26" s="4">
        <v>5</v>
      </c>
      <c r="R26" s="4" t="s">
        <v>79</v>
      </c>
      <c r="S26" s="4" t="s">
        <v>35</v>
      </c>
      <c r="T26" s="4" t="s">
        <v>228</v>
      </c>
      <c r="U26" s="6" t="s">
        <v>229</v>
      </c>
      <c r="V26" s="4" t="s">
        <v>69</v>
      </c>
      <c r="AD26" s="57">
        <v>45695</v>
      </c>
      <c r="AE26">
        <v>71330</v>
      </c>
    </row>
    <row r="27" spans="1:31" x14ac:dyDescent="0.3">
      <c r="A27" s="7" t="s">
        <v>230</v>
      </c>
      <c r="B27" s="8" t="s">
        <v>83</v>
      </c>
      <c r="C27" s="8" t="s">
        <v>222</v>
      </c>
      <c r="D27" s="53">
        <v>45832</v>
      </c>
      <c r="E27" s="49" t="s">
        <v>232</v>
      </c>
      <c r="F27" s="4" t="str">
        <f>TRIM(PROPER(Sales_Data!F27))</f>
        <v>Arjun Rao</v>
      </c>
      <c r="G27" s="8" t="s">
        <v>76</v>
      </c>
      <c r="H27" s="8" t="s">
        <v>233</v>
      </c>
      <c r="I27" s="8" t="s">
        <v>105</v>
      </c>
      <c r="J27" s="4" t="str">
        <f>PROPER(Sales_Data!J27)</f>
        <v>West</v>
      </c>
      <c r="K27" s="4" t="str">
        <f>PROPER(Sales_Data!K27)</f>
        <v>Stationery</v>
      </c>
      <c r="L27" s="8" t="s">
        <v>227</v>
      </c>
      <c r="M27" s="8">
        <v>2</v>
      </c>
      <c r="N27" s="8">
        <v>20</v>
      </c>
      <c r="O27" s="8">
        <v>15</v>
      </c>
      <c r="P27" s="8">
        <v>34</v>
      </c>
      <c r="Q27" s="8">
        <v>1</v>
      </c>
      <c r="R27" s="8" t="s">
        <v>88</v>
      </c>
      <c r="S27" s="8" t="s">
        <v>35</v>
      </c>
      <c r="T27" s="8" t="s">
        <v>89</v>
      </c>
      <c r="U27" s="9" t="s">
        <v>234</v>
      </c>
      <c r="V27" s="8" t="s">
        <v>64</v>
      </c>
      <c r="Y27">
        <f>COUNTIF(K2:K501,"stationary")</f>
        <v>0</v>
      </c>
      <c r="AD27" s="57">
        <v>45696</v>
      </c>
      <c r="AE27">
        <v>251200</v>
      </c>
    </row>
    <row r="28" spans="1:31" x14ac:dyDescent="0.3">
      <c r="A28" s="3" t="s">
        <v>235</v>
      </c>
      <c r="B28" s="4" t="s">
        <v>71</v>
      </c>
      <c r="C28" s="4" t="s">
        <v>92</v>
      </c>
      <c r="D28" s="52">
        <v>45799</v>
      </c>
      <c r="E28" s="48" t="s">
        <v>237</v>
      </c>
      <c r="F28" s="4" t="str">
        <f>TRIM(PROPER(Sales_Data!F28))</f>
        <v>Mohit Verma</v>
      </c>
      <c r="G28" s="4" t="s">
        <v>76</v>
      </c>
      <c r="H28" s="4" t="s">
        <v>238</v>
      </c>
      <c r="I28" s="4" t="s">
        <v>138</v>
      </c>
      <c r="J28" s="4" t="str">
        <f>PROPER(Sales_Data!J28)</f>
        <v>West</v>
      </c>
      <c r="K28" s="4" t="str">
        <f>PROPER(Sales_Data!K28)</f>
        <v>Home Appliances</v>
      </c>
      <c r="L28" s="4" t="s">
        <v>97</v>
      </c>
      <c r="M28" s="4">
        <v>12</v>
      </c>
      <c r="N28" s="4">
        <v>3500</v>
      </c>
      <c r="O28" s="4">
        <v>15</v>
      </c>
      <c r="P28" s="4">
        <v>35700</v>
      </c>
      <c r="Q28" s="4">
        <v>4</v>
      </c>
      <c r="R28" s="4" t="s">
        <v>34</v>
      </c>
      <c r="S28" s="4" t="s">
        <v>49</v>
      </c>
      <c r="T28" s="4" t="s">
        <v>80</v>
      </c>
      <c r="U28" s="6" t="s">
        <v>239</v>
      </c>
      <c r="V28" s="4" t="s">
        <v>69</v>
      </c>
      <c r="AD28" s="57">
        <v>45697</v>
      </c>
      <c r="AE28">
        <v>114.75</v>
      </c>
    </row>
    <row r="29" spans="1:31" x14ac:dyDescent="0.3">
      <c r="A29" s="7" t="s">
        <v>240</v>
      </c>
      <c r="B29" s="8" t="s">
        <v>23</v>
      </c>
      <c r="C29" s="8" t="s">
        <v>72</v>
      </c>
      <c r="D29" s="53">
        <v>46094</v>
      </c>
      <c r="E29" s="49" t="s">
        <v>242</v>
      </c>
      <c r="F29" s="4" t="str">
        <f>TRIM(PROPER(Sales_Data!F29))</f>
        <v>Kavya Nair</v>
      </c>
      <c r="G29" s="8" t="s">
        <v>28</v>
      </c>
      <c r="H29" s="8" t="s">
        <v>243</v>
      </c>
      <c r="I29" s="8" t="s">
        <v>138</v>
      </c>
      <c r="J29" s="4" t="str">
        <f>PROPER(Sales_Data!J29)</f>
        <v>West</v>
      </c>
      <c r="K29" s="4" t="str">
        <f>PROPER(Sales_Data!K29)</f>
        <v>Electronics</v>
      </c>
      <c r="L29" s="8" t="s">
        <v>78</v>
      </c>
      <c r="M29" s="8">
        <v>11</v>
      </c>
      <c r="N29" s="8">
        <v>1200</v>
      </c>
      <c r="O29" s="8">
        <v>0</v>
      </c>
      <c r="P29" s="8">
        <v>13200</v>
      </c>
      <c r="Q29" s="8">
        <v>2</v>
      </c>
      <c r="R29" s="8" t="s">
        <v>88</v>
      </c>
      <c r="S29" s="8" t="s">
        <v>151</v>
      </c>
      <c r="T29" s="8" t="s">
        <v>50</v>
      </c>
      <c r="U29" s="9" t="s">
        <v>244</v>
      </c>
      <c r="V29" s="8" t="s">
        <v>38</v>
      </c>
      <c r="AD29" s="57">
        <v>45699</v>
      </c>
      <c r="AE29">
        <v>478</v>
      </c>
    </row>
    <row r="30" spans="1:31" x14ac:dyDescent="0.3">
      <c r="A30" s="3" t="s">
        <v>245</v>
      </c>
      <c r="B30" s="4" t="s">
        <v>127</v>
      </c>
      <c r="C30" s="4" t="s">
        <v>169</v>
      </c>
      <c r="D30" s="52">
        <v>45908</v>
      </c>
      <c r="E30" s="48" t="s">
        <v>247</v>
      </c>
      <c r="F30" s="4" t="str">
        <f>TRIM(PROPER(Sales_Data!F30))</f>
        <v>Rohit Singh</v>
      </c>
      <c r="G30" s="4" t="s">
        <v>76</v>
      </c>
      <c r="H30" s="4" t="s">
        <v>248</v>
      </c>
      <c r="I30" s="4" t="s">
        <v>114</v>
      </c>
      <c r="J30" s="4" t="str">
        <f>PROPER(Sales_Data!J30)</f>
        <v>West</v>
      </c>
      <c r="K30" s="4" t="str">
        <f>PROPER(Sales_Data!K30)</f>
        <v>Home Appliances</v>
      </c>
      <c r="L30" s="4" t="s">
        <v>174</v>
      </c>
      <c r="M30" s="4">
        <v>6</v>
      </c>
      <c r="N30" s="4">
        <v>8500</v>
      </c>
      <c r="O30" s="4">
        <v>65</v>
      </c>
      <c r="P30" s="4">
        <v>51000</v>
      </c>
      <c r="Q30" s="4">
        <v>1</v>
      </c>
      <c r="R30" s="4" t="s">
        <v>79</v>
      </c>
      <c r="S30" s="4" t="s">
        <v>61</v>
      </c>
      <c r="T30" s="4" t="s">
        <v>132</v>
      </c>
      <c r="U30" s="6" t="s">
        <v>249</v>
      </c>
      <c r="V30" s="4" t="s">
        <v>38</v>
      </c>
      <c r="AD30" s="57">
        <v>45701</v>
      </c>
      <c r="AE30">
        <v>100</v>
      </c>
    </row>
    <row r="31" spans="1:31" x14ac:dyDescent="0.3">
      <c r="A31" s="7" t="s">
        <v>250</v>
      </c>
      <c r="B31" s="8" t="s">
        <v>251</v>
      </c>
      <c r="C31" s="8" t="s">
        <v>118</v>
      </c>
      <c r="D31" s="53">
        <v>46033</v>
      </c>
      <c r="E31" s="49" t="s">
        <v>253</v>
      </c>
      <c r="F31" s="4" t="str">
        <f>TRIM(PROPER(Sales_Data!F31))</f>
        <v>Sneha Joshi</v>
      </c>
      <c r="G31" s="8" t="s">
        <v>28</v>
      </c>
      <c r="H31" s="8" t="s">
        <v>255</v>
      </c>
      <c r="I31" s="8" t="s">
        <v>114</v>
      </c>
      <c r="J31" s="4" t="str">
        <f>PROPER(Sales_Data!J31)</f>
        <v>West</v>
      </c>
      <c r="K31" s="4" t="str">
        <f>PROPER(Sales_Data!K31)</f>
        <v>Stationery</v>
      </c>
      <c r="L31" s="8" t="s">
        <v>123</v>
      </c>
      <c r="M31" s="8">
        <v>2</v>
      </c>
      <c r="N31" s="8">
        <v>60</v>
      </c>
      <c r="O31" s="8">
        <v>5</v>
      </c>
      <c r="P31" s="8">
        <v>114</v>
      </c>
      <c r="Q31" s="8">
        <v>3</v>
      </c>
      <c r="R31" s="8" t="s">
        <v>34</v>
      </c>
      <c r="S31" s="8" t="s">
        <v>151</v>
      </c>
      <c r="T31" s="8" t="s">
        <v>256</v>
      </c>
      <c r="U31" s="9" t="s">
        <v>257</v>
      </c>
      <c r="V31" s="8" t="s">
        <v>69</v>
      </c>
      <c r="AD31" s="57">
        <v>45704</v>
      </c>
      <c r="AE31">
        <v>26580</v>
      </c>
    </row>
    <row r="32" spans="1:31" x14ac:dyDescent="0.3">
      <c r="A32" s="3" t="s">
        <v>258</v>
      </c>
      <c r="B32" s="4" t="s">
        <v>23</v>
      </c>
      <c r="C32" s="4" t="s">
        <v>259</v>
      </c>
      <c r="D32" s="52">
        <v>45824</v>
      </c>
      <c r="E32" s="48" t="s">
        <v>261</v>
      </c>
      <c r="F32" s="4" t="str">
        <f>TRIM(PROPER(Sales_Data!F32))</f>
        <v>Kavya Nair</v>
      </c>
      <c r="G32" s="4" t="s">
        <v>28</v>
      </c>
      <c r="H32" s="4" t="s">
        <v>262</v>
      </c>
      <c r="I32" s="4" t="s">
        <v>59</v>
      </c>
      <c r="J32" s="4" t="str">
        <f>PROPER(Sales_Data!J32)</f>
        <v>South</v>
      </c>
      <c r="K32" s="4" t="str">
        <f>PROPER(Sales_Data!K32)</f>
        <v>Stationery</v>
      </c>
      <c r="L32" s="4" t="s">
        <v>263</v>
      </c>
      <c r="M32" s="4">
        <v>19</v>
      </c>
      <c r="N32" s="4">
        <v>45</v>
      </c>
      <c r="O32" s="4">
        <v>20</v>
      </c>
      <c r="P32" s="4">
        <v>684</v>
      </c>
      <c r="Q32" s="4">
        <v>4</v>
      </c>
      <c r="R32" s="4" t="s">
        <v>48</v>
      </c>
      <c r="S32" s="4" t="s">
        <v>61</v>
      </c>
      <c r="T32" s="4" t="s">
        <v>50</v>
      </c>
      <c r="U32" s="6" t="s">
        <v>264</v>
      </c>
      <c r="V32" s="4" t="s">
        <v>69</v>
      </c>
      <c r="AD32" s="57">
        <v>45705</v>
      </c>
      <c r="AE32">
        <v>748000</v>
      </c>
    </row>
    <row r="33" spans="1:31" x14ac:dyDescent="0.3">
      <c r="A33" s="7" t="s">
        <v>265</v>
      </c>
      <c r="B33" s="8" t="s">
        <v>100</v>
      </c>
      <c r="C33" s="8" t="s">
        <v>40</v>
      </c>
      <c r="D33" s="53">
        <v>45839</v>
      </c>
      <c r="E33" s="49" t="s">
        <v>267</v>
      </c>
      <c r="F33" s="4" t="str">
        <f>TRIM(PROPER(Sales_Data!F33))</f>
        <v>Priya Patel</v>
      </c>
      <c r="G33" s="8" t="s">
        <v>28</v>
      </c>
      <c r="H33" s="8" t="s">
        <v>269</v>
      </c>
      <c r="I33" s="8" t="s">
        <v>138</v>
      </c>
      <c r="J33" s="4" t="str">
        <f>PROPER(Sales_Data!J33)</f>
        <v>West</v>
      </c>
      <c r="K33" s="4" t="str">
        <f>PROPER(Sales_Data!K33)</f>
        <v>Electronics</v>
      </c>
      <c r="L33" s="8" t="s">
        <v>47</v>
      </c>
      <c r="M33" s="8">
        <v>11</v>
      </c>
      <c r="N33" s="8">
        <v>12000</v>
      </c>
      <c r="O33" s="8">
        <v>0</v>
      </c>
      <c r="P33" s="8">
        <v>132000</v>
      </c>
      <c r="Q33" s="8">
        <v>3</v>
      </c>
      <c r="R33" s="8" t="s">
        <v>88</v>
      </c>
      <c r="S33" s="8" t="s">
        <v>35</v>
      </c>
      <c r="T33" s="8" t="s">
        <v>144</v>
      </c>
      <c r="U33" s="9" t="s">
        <v>270</v>
      </c>
      <c r="V33" s="8" t="s">
        <v>64</v>
      </c>
      <c r="AD33" s="57">
        <v>45706</v>
      </c>
      <c r="AE33">
        <v>20825</v>
      </c>
    </row>
    <row r="34" spans="1:31" x14ac:dyDescent="0.3">
      <c r="A34" s="3" t="s">
        <v>271</v>
      </c>
      <c r="B34" s="4" t="s">
        <v>251</v>
      </c>
      <c r="C34" s="4" t="s">
        <v>24</v>
      </c>
      <c r="D34" s="52">
        <v>45723</v>
      </c>
      <c r="E34" s="48" t="s">
        <v>136</v>
      </c>
      <c r="F34" s="4" t="str">
        <f>TRIM(PROPER(Sales_Data!F34))</f>
        <v>Sneha Joshi</v>
      </c>
      <c r="G34" s="4" t="s">
        <v>28</v>
      </c>
      <c r="H34" s="4" t="s">
        <v>273</v>
      </c>
      <c r="I34" s="4" t="s">
        <v>59</v>
      </c>
      <c r="J34" s="4" t="str">
        <f>PROPER(Sales_Data!J34)</f>
        <v>South</v>
      </c>
      <c r="K34" s="4" t="str">
        <f>PROPER(Sales_Data!K34)</f>
        <v>Home Appliances</v>
      </c>
      <c r="L34" s="4" t="s">
        <v>33</v>
      </c>
      <c r="M34" s="4">
        <v>20</v>
      </c>
      <c r="N34" s="4">
        <v>2200</v>
      </c>
      <c r="O34" s="4">
        <v>5</v>
      </c>
      <c r="P34" s="4">
        <v>41800</v>
      </c>
      <c r="Q34" s="4">
        <v>1</v>
      </c>
      <c r="R34" s="4" t="s">
        <v>34</v>
      </c>
      <c r="S34" s="4" t="s">
        <v>49</v>
      </c>
      <c r="T34" s="4" t="s">
        <v>256</v>
      </c>
      <c r="U34" s="6" t="s">
        <v>274</v>
      </c>
      <c r="V34" s="4" t="s">
        <v>64</v>
      </c>
      <c r="AD34" s="57">
        <v>45707</v>
      </c>
      <c r="AE34">
        <v>136</v>
      </c>
    </row>
    <row r="35" spans="1:31" x14ac:dyDescent="0.3">
      <c r="A35" s="7" t="s">
        <v>275</v>
      </c>
      <c r="B35" s="8" t="s">
        <v>83</v>
      </c>
      <c r="C35" s="8" t="s">
        <v>222</v>
      </c>
      <c r="D35" s="53">
        <v>45832</v>
      </c>
      <c r="E35" s="49" t="s">
        <v>276</v>
      </c>
      <c r="F35" s="4" t="str">
        <f>TRIM(PROPER(Sales_Data!F35))</f>
        <v>Arjun Rao</v>
      </c>
      <c r="G35" s="8" t="s">
        <v>76</v>
      </c>
      <c r="H35" s="8" t="s">
        <v>277</v>
      </c>
      <c r="I35" s="8" t="s">
        <v>138</v>
      </c>
      <c r="J35" s="4" t="str">
        <f>PROPER(Sales_Data!J35)</f>
        <v>West</v>
      </c>
      <c r="K35" s="4" t="str">
        <f>PROPER(Sales_Data!K35)</f>
        <v>Stationery</v>
      </c>
      <c r="L35" s="8" t="s">
        <v>227</v>
      </c>
      <c r="M35" s="8">
        <v>3</v>
      </c>
      <c r="N35" s="8">
        <v>20</v>
      </c>
      <c r="O35" s="8">
        <v>0</v>
      </c>
      <c r="P35" s="8">
        <v>60</v>
      </c>
      <c r="Q35" s="8">
        <v>2</v>
      </c>
      <c r="R35" s="8" t="s">
        <v>79</v>
      </c>
      <c r="S35" s="8" t="s">
        <v>35</v>
      </c>
      <c r="T35" s="8" t="s">
        <v>278</v>
      </c>
      <c r="U35" s="9" t="s">
        <v>279</v>
      </c>
      <c r="V35" s="8" t="s">
        <v>69</v>
      </c>
      <c r="AD35" s="57">
        <v>45708</v>
      </c>
      <c r="AE35">
        <v>880000</v>
      </c>
    </row>
    <row r="36" spans="1:31" x14ac:dyDescent="0.3">
      <c r="A36" s="3" t="s">
        <v>280</v>
      </c>
      <c r="B36" s="4" t="s">
        <v>127</v>
      </c>
      <c r="C36" s="4" t="s">
        <v>259</v>
      </c>
      <c r="D36" s="52">
        <v>45939</v>
      </c>
      <c r="E36" s="48" t="s">
        <v>282</v>
      </c>
      <c r="F36" s="4" t="str">
        <f>TRIM(PROPER(Sales_Data!F36))</f>
        <v>Rohit Singh</v>
      </c>
      <c r="G36" s="4" t="s">
        <v>76</v>
      </c>
      <c r="H36" s="4" t="s">
        <v>283</v>
      </c>
      <c r="I36" s="4" t="s">
        <v>114</v>
      </c>
      <c r="J36" s="4" t="str">
        <f>PROPER(Sales_Data!J36)</f>
        <v>West</v>
      </c>
      <c r="K36" s="4" t="str">
        <f>PROPER(Sales_Data!K36)</f>
        <v>Stationery</v>
      </c>
      <c r="L36" s="4" t="s">
        <v>263</v>
      </c>
      <c r="M36" s="4">
        <v>18</v>
      </c>
      <c r="N36" s="4">
        <v>45</v>
      </c>
      <c r="O36" s="4">
        <v>20</v>
      </c>
      <c r="P36" s="4">
        <v>648</v>
      </c>
      <c r="Q36" s="4">
        <v>4</v>
      </c>
      <c r="R36" s="4" t="s">
        <v>48</v>
      </c>
      <c r="S36" s="4" t="s">
        <v>35</v>
      </c>
      <c r="T36" s="4" t="s">
        <v>132</v>
      </c>
      <c r="U36" s="6" t="s">
        <v>284</v>
      </c>
      <c r="V36" s="4" t="s">
        <v>69</v>
      </c>
      <c r="AD36" s="57">
        <v>45709</v>
      </c>
      <c r="AE36">
        <v>969</v>
      </c>
    </row>
    <row r="37" spans="1:31" x14ac:dyDescent="0.3">
      <c r="A37" s="7" t="s">
        <v>285</v>
      </c>
      <c r="B37" s="8" t="s">
        <v>127</v>
      </c>
      <c r="C37" s="8" t="s">
        <v>72</v>
      </c>
      <c r="D37" s="53">
        <v>45980</v>
      </c>
      <c r="E37" s="49" t="s">
        <v>287</v>
      </c>
      <c r="F37" s="4" t="str">
        <f>TRIM(PROPER(Sales_Data!F37))</f>
        <v>Rohit Singh</v>
      </c>
      <c r="G37" s="8" t="s">
        <v>76</v>
      </c>
      <c r="H37" s="8" t="s">
        <v>288</v>
      </c>
      <c r="I37" s="8" t="s">
        <v>59</v>
      </c>
      <c r="J37" s="4" t="str">
        <f>PROPER(Sales_Data!J37)</f>
        <v>South</v>
      </c>
      <c r="K37" s="4" t="str">
        <f>PROPER(Sales_Data!K37)</f>
        <v>Electronics</v>
      </c>
      <c r="L37" s="8" t="s">
        <v>78</v>
      </c>
      <c r="M37" s="8">
        <v>4</v>
      </c>
      <c r="N37" s="8">
        <v>1200</v>
      </c>
      <c r="O37" s="8">
        <v>20</v>
      </c>
      <c r="P37" s="8">
        <v>3840</v>
      </c>
      <c r="Q37" s="8">
        <v>3</v>
      </c>
      <c r="R37" s="8" t="s">
        <v>48</v>
      </c>
      <c r="S37" s="8" t="s">
        <v>61</v>
      </c>
      <c r="T37" s="8" t="s">
        <v>132</v>
      </c>
      <c r="U37" s="9" t="s">
        <v>289</v>
      </c>
      <c r="V37" s="8" t="s">
        <v>38</v>
      </c>
      <c r="AD37" s="57">
        <v>45710</v>
      </c>
      <c r="AE37">
        <v>91800</v>
      </c>
    </row>
    <row r="38" spans="1:31" x14ac:dyDescent="0.3">
      <c r="A38" s="3" t="s">
        <v>290</v>
      </c>
      <c r="B38" s="4" t="s">
        <v>71</v>
      </c>
      <c r="C38" s="4" t="s">
        <v>54</v>
      </c>
      <c r="D38" s="52">
        <v>45966</v>
      </c>
      <c r="E38" s="48" t="s">
        <v>292</v>
      </c>
      <c r="F38" s="4" t="str">
        <f>TRIM(PROPER(Sales_Data!F38))</f>
        <v>Mohit Verma</v>
      </c>
      <c r="G38" s="4" t="s">
        <v>76</v>
      </c>
      <c r="H38" s="4" t="s">
        <v>293</v>
      </c>
      <c r="I38" s="4" t="s">
        <v>294</v>
      </c>
      <c r="J38" s="4" t="str">
        <f>PROPER(Sales_Data!J38)</f>
        <v>East</v>
      </c>
      <c r="K38" s="4" t="str">
        <f>PROPER(Sales_Data!K38)</f>
        <v>Electronics</v>
      </c>
      <c r="L38" s="4" t="s">
        <v>60</v>
      </c>
      <c r="M38" s="4">
        <v>10</v>
      </c>
      <c r="N38" s="4">
        <v>55000</v>
      </c>
      <c r="O38" s="4">
        <v>0</v>
      </c>
      <c r="P38" s="4">
        <v>550000</v>
      </c>
      <c r="Q38" s="4">
        <v>1</v>
      </c>
      <c r="R38" s="4" t="s">
        <v>88</v>
      </c>
      <c r="S38" s="4" t="s">
        <v>49</v>
      </c>
      <c r="T38" s="4" t="s">
        <v>80</v>
      </c>
      <c r="U38" s="6" t="s">
        <v>296</v>
      </c>
      <c r="V38" s="4" t="s">
        <v>69</v>
      </c>
      <c r="AD38" s="57">
        <v>45711</v>
      </c>
      <c r="AE38">
        <v>241200</v>
      </c>
    </row>
    <row r="39" spans="1:31" x14ac:dyDescent="0.3">
      <c r="A39" s="7" t="s">
        <v>297</v>
      </c>
      <c r="B39" s="8" t="s">
        <v>251</v>
      </c>
      <c r="C39" s="8" t="s">
        <v>92</v>
      </c>
      <c r="D39" s="53">
        <v>46089</v>
      </c>
      <c r="E39" s="49" t="s">
        <v>242</v>
      </c>
      <c r="F39" s="4" t="str">
        <f>TRIM(PROPER(Sales_Data!F39))</f>
        <v>Sneha Joshi</v>
      </c>
      <c r="G39" s="8" t="s">
        <v>28</v>
      </c>
      <c r="H39" s="8" t="s">
        <v>299</v>
      </c>
      <c r="I39" s="8" t="s">
        <v>44</v>
      </c>
      <c r="J39" s="4" t="str">
        <f>PROPER(Sales_Data!J39)</f>
        <v>North</v>
      </c>
      <c r="K39" s="4" t="str">
        <f>PROPER(Sales_Data!K39)</f>
        <v>Home Appliances</v>
      </c>
      <c r="L39" s="8" t="s">
        <v>97</v>
      </c>
      <c r="M39" s="8">
        <v>20</v>
      </c>
      <c r="N39" s="8">
        <v>3500</v>
      </c>
      <c r="O39" s="8">
        <v>10</v>
      </c>
      <c r="P39" s="8">
        <v>63000</v>
      </c>
      <c r="Q39" s="8">
        <v>3</v>
      </c>
      <c r="R39" s="8" t="s">
        <v>79</v>
      </c>
      <c r="S39" s="8" t="s">
        <v>49</v>
      </c>
      <c r="T39" s="8" t="s">
        <v>256</v>
      </c>
      <c r="U39" s="9" t="s">
        <v>300</v>
      </c>
      <c r="V39" s="8" t="s">
        <v>69</v>
      </c>
      <c r="AD39" s="57">
        <v>45713</v>
      </c>
      <c r="AE39">
        <v>11029.5</v>
      </c>
    </row>
    <row r="40" spans="1:31" x14ac:dyDescent="0.3">
      <c r="A40" s="3" t="s">
        <v>301</v>
      </c>
      <c r="B40" s="4" t="s">
        <v>23</v>
      </c>
      <c r="C40" s="4" t="s">
        <v>222</v>
      </c>
      <c r="D40" s="52">
        <v>45701</v>
      </c>
      <c r="E40" s="48" t="s">
        <v>303</v>
      </c>
      <c r="F40" s="4" t="str">
        <f>TRIM(PROPER(Sales_Data!F40))</f>
        <v>Kavya Nair</v>
      </c>
      <c r="G40" s="4" t="s">
        <v>28</v>
      </c>
      <c r="H40" s="4" t="s">
        <v>304</v>
      </c>
      <c r="I40" s="4" t="s">
        <v>114</v>
      </c>
      <c r="J40" s="4" t="str">
        <f>PROPER(Sales_Data!J40)</f>
        <v>West</v>
      </c>
      <c r="K40" s="4" t="str">
        <f>PROPER(Sales_Data!K40)</f>
        <v>Stationery</v>
      </c>
      <c r="L40" s="4" t="s">
        <v>227</v>
      </c>
      <c r="M40" s="4">
        <v>5</v>
      </c>
      <c r="N40" s="4" t="s">
        <v>305</v>
      </c>
      <c r="O40" s="4">
        <v>0</v>
      </c>
      <c r="P40" s="4">
        <v>100</v>
      </c>
      <c r="Q40" s="4">
        <v>1</v>
      </c>
      <c r="R40" s="4" t="s">
        <v>34</v>
      </c>
      <c r="S40" s="4" t="s">
        <v>49</v>
      </c>
      <c r="T40" s="4" t="s">
        <v>50</v>
      </c>
      <c r="U40" s="6" t="s">
        <v>306</v>
      </c>
      <c r="V40" s="4" t="s">
        <v>69</v>
      </c>
      <c r="AD40" s="57">
        <v>45714</v>
      </c>
      <c r="AE40">
        <v>9450</v>
      </c>
    </row>
    <row r="41" spans="1:31" x14ac:dyDescent="0.3">
      <c r="A41" s="7" t="s">
        <v>307</v>
      </c>
      <c r="B41" s="8" t="s">
        <v>53</v>
      </c>
      <c r="C41" s="8" t="s">
        <v>169</v>
      </c>
      <c r="D41" s="53">
        <v>45935</v>
      </c>
      <c r="E41" s="49" t="s">
        <v>309</v>
      </c>
      <c r="F41" s="4" t="str">
        <f>TRIM(PROPER(Sales_Data!F41))</f>
        <v>Pooja Shah</v>
      </c>
      <c r="G41" s="8" t="s">
        <v>28</v>
      </c>
      <c r="H41" s="8" t="s">
        <v>310</v>
      </c>
      <c r="I41" s="8" t="s">
        <v>105</v>
      </c>
      <c r="J41" s="4" t="str">
        <f>PROPER(Sales_Data!J41)</f>
        <v>West</v>
      </c>
      <c r="K41" s="4" t="str">
        <f>PROPER(Sales_Data!K41)</f>
        <v>Home Appliances</v>
      </c>
      <c r="L41" s="8" t="s">
        <v>174</v>
      </c>
      <c r="M41" s="8">
        <v>20</v>
      </c>
      <c r="N41" s="8">
        <v>8500</v>
      </c>
      <c r="O41" s="8">
        <v>0</v>
      </c>
      <c r="P41" s="8">
        <v>170000</v>
      </c>
      <c r="Q41" s="8">
        <v>1</v>
      </c>
      <c r="R41" s="8" t="s">
        <v>88</v>
      </c>
      <c r="S41" s="8" t="s">
        <v>115</v>
      </c>
      <c r="T41" s="8" t="s">
        <v>62</v>
      </c>
      <c r="U41" s="9" t="s">
        <v>311</v>
      </c>
      <c r="V41" s="8" t="s">
        <v>69</v>
      </c>
      <c r="AD41" s="57">
        <v>45715</v>
      </c>
      <c r="AE41">
        <v>8330</v>
      </c>
    </row>
    <row r="42" spans="1:31" x14ac:dyDescent="0.3">
      <c r="A42" s="3" t="s">
        <v>312</v>
      </c>
      <c r="B42" s="4" t="s">
        <v>83</v>
      </c>
      <c r="C42" s="4" t="s">
        <v>118</v>
      </c>
      <c r="D42" s="52">
        <v>46063</v>
      </c>
      <c r="E42" s="48" t="s">
        <v>314</v>
      </c>
      <c r="F42" s="4" t="str">
        <f>TRIM(PROPER(Sales_Data!F42))</f>
        <v>Arjun Rao</v>
      </c>
      <c r="G42" s="4" t="s">
        <v>76</v>
      </c>
      <c r="H42" s="4" t="s">
        <v>315</v>
      </c>
      <c r="I42" s="4" t="s">
        <v>59</v>
      </c>
      <c r="J42" s="4" t="str">
        <f>PROPER(Sales_Data!J42)</f>
        <v>South</v>
      </c>
      <c r="K42" s="4" t="str">
        <f>PROPER(Sales_Data!K42)</f>
        <v>Stationery</v>
      </c>
      <c r="L42" s="4" t="s">
        <v>123</v>
      </c>
      <c r="M42" s="4">
        <v>8</v>
      </c>
      <c r="N42" s="4">
        <v>60</v>
      </c>
      <c r="O42" s="4">
        <v>15</v>
      </c>
      <c r="P42" s="4">
        <v>408</v>
      </c>
      <c r="Q42" s="4">
        <v>5</v>
      </c>
      <c r="R42" s="4" t="s">
        <v>88</v>
      </c>
      <c r="S42" s="4" t="s">
        <v>49</v>
      </c>
      <c r="T42" s="4" t="s">
        <v>89</v>
      </c>
      <c r="U42" s="6" t="s">
        <v>316</v>
      </c>
      <c r="V42" s="4" t="s">
        <v>64</v>
      </c>
      <c r="AD42" s="57">
        <v>45716</v>
      </c>
      <c r="AE42">
        <v>168361</v>
      </c>
    </row>
    <row r="43" spans="1:31" x14ac:dyDescent="0.3">
      <c r="A43" s="7" t="s">
        <v>317</v>
      </c>
      <c r="B43" s="8" t="s">
        <v>53</v>
      </c>
      <c r="C43" s="8" t="s">
        <v>92</v>
      </c>
      <c r="D43" s="53">
        <v>45812</v>
      </c>
      <c r="E43" s="49" t="s">
        <v>260</v>
      </c>
      <c r="F43" s="4" t="str">
        <f>TRIM(PROPER(Sales_Data!F43))</f>
        <v>Pooja Shah</v>
      </c>
      <c r="G43" s="8" t="s">
        <v>28</v>
      </c>
      <c r="H43" s="8" t="s">
        <v>319</v>
      </c>
      <c r="I43" s="8" t="s">
        <v>114</v>
      </c>
      <c r="J43" s="4" t="str">
        <f>PROPER(Sales_Data!J43)</f>
        <v>West</v>
      </c>
      <c r="K43" s="4" t="str">
        <f>PROPER(Sales_Data!K43)</f>
        <v>Home Appliances</v>
      </c>
      <c r="L43" s="8" t="s">
        <v>97</v>
      </c>
      <c r="M43" s="8">
        <v>8</v>
      </c>
      <c r="N43" s="8">
        <v>3500</v>
      </c>
      <c r="O43" s="8">
        <v>5</v>
      </c>
      <c r="P43" s="8">
        <v>26600</v>
      </c>
      <c r="Q43" s="8">
        <v>1</v>
      </c>
      <c r="R43" s="8" t="s">
        <v>79</v>
      </c>
      <c r="S43" s="8" t="s">
        <v>115</v>
      </c>
      <c r="T43" s="8" t="s">
        <v>62</v>
      </c>
      <c r="U43" s="9" t="s">
        <v>320</v>
      </c>
      <c r="V43" s="8" t="s">
        <v>64</v>
      </c>
      <c r="AD43" s="57">
        <v>45717</v>
      </c>
      <c r="AE43">
        <v>10410</v>
      </c>
    </row>
    <row r="44" spans="1:31" x14ac:dyDescent="0.3">
      <c r="A44" s="3" t="s">
        <v>321</v>
      </c>
      <c r="B44" s="4" t="s">
        <v>71</v>
      </c>
      <c r="C44" s="4" t="s">
        <v>169</v>
      </c>
      <c r="D44" s="52">
        <v>46061</v>
      </c>
      <c r="E44" s="48" t="s">
        <v>323</v>
      </c>
      <c r="F44" s="4" t="str">
        <f>TRIM(PROPER(Sales_Data!F44))</f>
        <v>Mohit Verma</v>
      </c>
      <c r="G44" s="4" t="s">
        <v>76</v>
      </c>
      <c r="H44" s="4" t="s">
        <v>324</v>
      </c>
      <c r="I44" s="4" t="s">
        <v>212</v>
      </c>
      <c r="J44" s="4" t="str">
        <f>PROPER(Sales_Data!J44)</f>
        <v>North</v>
      </c>
      <c r="K44" s="4" t="str">
        <f>PROPER(Sales_Data!K44)</f>
        <v>Home Appliances</v>
      </c>
      <c r="L44" s="4" t="s">
        <v>174</v>
      </c>
      <c r="M44" s="4">
        <v>1</v>
      </c>
      <c r="N44" s="4">
        <v>8500</v>
      </c>
      <c r="O44" s="4">
        <v>0</v>
      </c>
      <c r="P44" s="4">
        <v>8500</v>
      </c>
      <c r="Q44" s="4">
        <v>2</v>
      </c>
      <c r="R44" s="4" t="s">
        <v>79</v>
      </c>
      <c r="S44" s="4" t="s">
        <v>115</v>
      </c>
      <c r="T44" s="4" t="s">
        <v>80</v>
      </c>
      <c r="U44" s="6" t="s">
        <v>325</v>
      </c>
      <c r="V44" s="4" t="s">
        <v>64</v>
      </c>
      <c r="AD44" s="57">
        <v>45718</v>
      </c>
      <c r="AE44">
        <v>17340</v>
      </c>
    </row>
    <row r="45" spans="1:31" x14ac:dyDescent="0.3">
      <c r="A45" s="7" t="s">
        <v>326</v>
      </c>
      <c r="B45" s="8" t="s">
        <v>327</v>
      </c>
      <c r="C45" s="8" t="s">
        <v>259</v>
      </c>
      <c r="D45" s="53">
        <v>45746</v>
      </c>
      <c r="E45" s="49" t="s">
        <v>329</v>
      </c>
      <c r="F45" s="4" t="str">
        <f>TRIM(PROPER(Sales_Data!F45))</f>
        <v>Amit Sharma</v>
      </c>
      <c r="G45" s="8" t="s">
        <v>76</v>
      </c>
      <c r="H45" s="8" t="s">
        <v>331</v>
      </c>
      <c r="I45" s="8" t="s">
        <v>114</v>
      </c>
      <c r="J45" s="4" t="str">
        <f>PROPER(Sales_Data!J45)</f>
        <v>West</v>
      </c>
      <c r="K45" s="4" t="str">
        <f>PROPER(Sales_Data!K45)</f>
        <v>Stationery</v>
      </c>
      <c r="L45" s="8" t="s">
        <v>263</v>
      </c>
      <c r="M45" s="8">
        <v>8</v>
      </c>
      <c r="N45" s="8">
        <v>45</v>
      </c>
      <c r="O45" s="8">
        <v>15</v>
      </c>
      <c r="P45" s="8">
        <v>306</v>
      </c>
      <c r="Q45" s="8">
        <v>2</v>
      </c>
      <c r="R45" s="8" t="s">
        <v>79</v>
      </c>
      <c r="S45" s="8" t="s">
        <v>61</v>
      </c>
      <c r="T45" s="8" t="s">
        <v>332</v>
      </c>
      <c r="U45" s="9" t="s">
        <v>333</v>
      </c>
      <c r="V45" s="8" t="s">
        <v>38</v>
      </c>
      <c r="AD45" s="57">
        <v>45719</v>
      </c>
      <c r="AE45">
        <v>446650</v>
      </c>
    </row>
    <row r="46" spans="1:31" x14ac:dyDescent="0.3">
      <c r="A46" s="3" t="s">
        <v>334</v>
      </c>
      <c r="B46" s="4" t="s">
        <v>251</v>
      </c>
      <c r="C46" s="4" t="s">
        <v>24</v>
      </c>
      <c r="D46" s="52">
        <v>45772</v>
      </c>
      <c r="E46" s="48" t="s">
        <v>336</v>
      </c>
      <c r="F46" s="4" t="str">
        <f>TRIM(PROPER(Sales_Data!F46))</f>
        <v>Sneha Joshi</v>
      </c>
      <c r="G46" s="4" t="s">
        <v>28</v>
      </c>
      <c r="H46" s="4" t="s">
        <v>337</v>
      </c>
      <c r="I46" s="4" t="s">
        <v>114</v>
      </c>
      <c r="J46" s="4" t="str">
        <f>PROPER(Sales_Data!J46)</f>
        <v>West</v>
      </c>
      <c r="K46" s="4" t="str">
        <f>PROPER(Sales_Data!K46)</f>
        <v>Home Appliances</v>
      </c>
      <c r="L46" s="4" t="s">
        <v>33</v>
      </c>
      <c r="M46" s="4">
        <v>16</v>
      </c>
      <c r="N46" s="4">
        <v>2200</v>
      </c>
      <c r="O46" s="4">
        <v>5</v>
      </c>
      <c r="P46" s="4">
        <v>33440</v>
      </c>
      <c r="Q46" s="4">
        <v>5</v>
      </c>
      <c r="R46" s="4" t="s">
        <v>79</v>
      </c>
      <c r="S46" s="4" t="s">
        <v>61</v>
      </c>
      <c r="T46" s="4" t="s">
        <v>256</v>
      </c>
      <c r="U46" s="6" t="s">
        <v>338</v>
      </c>
      <c r="V46" s="4" t="s">
        <v>69</v>
      </c>
      <c r="AD46" s="57">
        <v>45721</v>
      </c>
      <c r="AE46">
        <v>89040</v>
      </c>
    </row>
    <row r="47" spans="1:31" x14ac:dyDescent="0.3">
      <c r="A47" s="7" t="s">
        <v>339</v>
      </c>
      <c r="B47" s="8" t="s">
        <v>71</v>
      </c>
      <c r="C47" s="8" t="s">
        <v>92</v>
      </c>
      <c r="D47" s="53">
        <v>45943</v>
      </c>
      <c r="E47" s="49" t="s">
        <v>341</v>
      </c>
      <c r="F47" s="4" t="str">
        <f>TRIM(PROPER(Sales_Data!F47))</f>
        <v>Mohit Verma</v>
      </c>
      <c r="G47" s="8" t="s">
        <v>76</v>
      </c>
      <c r="H47" s="8" t="s">
        <v>342</v>
      </c>
      <c r="I47" s="8" t="s">
        <v>59</v>
      </c>
      <c r="J47" s="4" t="str">
        <f>PROPER(Sales_Data!J47)</f>
        <v>South</v>
      </c>
      <c r="K47" s="4" t="str">
        <f>PROPER(Sales_Data!K47)</f>
        <v>Home Appliances</v>
      </c>
      <c r="L47" s="8" t="s">
        <v>97</v>
      </c>
      <c r="M47" s="8">
        <v>19</v>
      </c>
      <c r="N47" s="8">
        <v>3500</v>
      </c>
      <c r="O47" s="8">
        <v>20</v>
      </c>
      <c r="P47" s="8">
        <v>53200</v>
      </c>
      <c r="Q47" s="8">
        <v>3</v>
      </c>
      <c r="R47" s="8" t="s">
        <v>34</v>
      </c>
      <c r="S47" s="8" t="s">
        <v>151</v>
      </c>
      <c r="T47" s="8" t="s">
        <v>80</v>
      </c>
      <c r="U47" s="9" t="s">
        <v>343</v>
      </c>
      <c r="V47" s="8" t="s">
        <v>69</v>
      </c>
      <c r="AD47" s="57">
        <v>45722</v>
      </c>
      <c r="AE47">
        <v>33660</v>
      </c>
    </row>
    <row r="48" spans="1:31" x14ac:dyDescent="0.3">
      <c r="A48" s="3" t="s">
        <v>344</v>
      </c>
      <c r="B48" s="4" t="s">
        <v>251</v>
      </c>
      <c r="C48" s="4" t="s">
        <v>184</v>
      </c>
      <c r="D48" s="52">
        <v>45941</v>
      </c>
      <c r="E48" s="48" t="s">
        <v>346</v>
      </c>
      <c r="F48" s="4" t="str">
        <f>TRIM(PROPER(Sales_Data!F48))</f>
        <v>Sneha Joshi</v>
      </c>
      <c r="G48" s="4" t="s">
        <v>28</v>
      </c>
      <c r="H48" s="4" t="s">
        <v>347</v>
      </c>
      <c r="I48" s="4" t="s">
        <v>114</v>
      </c>
      <c r="J48" s="4" t="str">
        <f>PROPER(Sales_Data!J48)</f>
        <v>West</v>
      </c>
      <c r="K48" s="4" t="str">
        <f>PROPER(Sales_Data!K48)</f>
        <v>Electronics</v>
      </c>
      <c r="L48" s="4" t="s">
        <v>189</v>
      </c>
      <c r="M48" s="4">
        <v>15</v>
      </c>
      <c r="N48" s="4">
        <v>700</v>
      </c>
      <c r="O48" s="4">
        <v>15</v>
      </c>
      <c r="P48" s="4">
        <v>8925</v>
      </c>
      <c r="Q48" s="4">
        <v>4</v>
      </c>
      <c r="R48" s="4" t="s">
        <v>88</v>
      </c>
      <c r="S48" s="4" t="s">
        <v>115</v>
      </c>
      <c r="T48" s="4" t="s">
        <v>348</v>
      </c>
      <c r="U48" s="6" t="s">
        <v>349</v>
      </c>
      <c r="V48" s="4" t="s">
        <v>38</v>
      </c>
      <c r="AD48" s="57">
        <v>45723</v>
      </c>
      <c r="AE48">
        <v>41800</v>
      </c>
    </row>
    <row r="49" spans="1:31" x14ac:dyDescent="0.3">
      <c r="A49" s="7" t="s">
        <v>350</v>
      </c>
      <c r="B49" s="8" t="s">
        <v>251</v>
      </c>
      <c r="C49" s="8" t="s">
        <v>184</v>
      </c>
      <c r="D49" s="53">
        <v>45988</v>
      </c>
      <c r="E49" s="49" t="s">
        <v>352</v>
      </c>
      <c r="F49" s="4" t="str">
        <f>TRIM(PROPER(Sales_Data!F49))</f>
        <v>Sneha Joshi</v>
      </c>
      <c r="G49" s="8" t="s">
        <v>28</v>
      </c>
      <c r="H49" s="8" t="s">
        <v>353</v>
      </c>
      <c r="I49" s="8" t="s">
        <v>212</v>
      </c>
      <c r="J49" s="4" t="str">
        <f>PROPER(Sales_Data!J49)</f>
        <v>North</v>
      </c>
      <c r="K49" s="4" t="str">
        <f>PROPER(Sales_Data!K49)</f>
        <v>Electronics</v>
      </c>
      <c r="L49" s="8" t="s">
        <v>189</v>
      </c>
      <c r="M49" s="8">
        <v>19</v>
      </c>
      <c r="N49" s="8">
        <v>700</v>
      </c>
      <c r="O49" s="8">
        <v>20</v>
      </c>
      <c r="P49" s="8">
        <v>10640</v>
      </c>
      <c r="Q49" s="8">
        <v>1</v>
      </c>
      <c r="R49" s="8" t="s">
        <v>34</v>
      </c>
      <c r="S49" s="8" t="s">
        <v>115</v>
      </c>
      <c r="T49" s="8" t="s">
        <v>256</v>
      </c>
      <c r="U49" s="9" t="s">
        <v>354</v>
      </c>
      <c r="V49" s="8" t="s">
        <v>38</v>
      </c>
      <c r="AD49" s="57">
        <v>45724</v>
      </c>
      <c r="AE49">
        <v>39850</v>
      </c>
    </row>
    <row r="50" spans="1:31" x14ac:dyDescent="0.3">
      <c r="A50" s="3" t="s">
        <v>355</v>
      </c>
      <c r="B50" s="4" t="s">
        <v>71</v>
      </c>
      <c r="C50" s="4" t="s">
        <v>40</v>
      </c>
      <c r="D50" s="52">
        <v>46131</v>
      </c>
      <c r="E50" s="48" t="s">
        <v>64</v>
      </c>
      <c r="F50" s="4" t="str">
        <f>TRIM(PROPER(Sales_Data!F50))</f>
        <v>Mohit Verma</v>
      </c>
      <c r="G50" s="4" t="s">
        <v>76</v>
      </c>
      <c r="H50" s="4" t="s">
        <v>357</v>
      </c>
      <c r="I50" s="4" t="s">
        <v>44</v>
      </c>
      <c r="J50" s="4" t="str">
        <f>PROPER(Sales_Data!J50)</f>
        <v>North</v>
      </c>
      <c r="K50" s="4" t="str">
        <f>PROPER(Sales_Data!K50)</f>
        <v>Electronics</v>
      </c>
      <c r="L50" s="4" t="s">
        <v>47</v>
      </c>
      <c r="M50" s="4">
        <v>19</v>
      </c>
      <c r="N50" s="4">
        <v>12000</v>
      </c>
      <c r="O50" s="4">
        <v>0</v>
      </c>
      <c r="P50" s="4">
        <v>228000</v>
      </c>
      <c r="Q50" s="4">
        <v>1</v>
      </c>
      <c r="R50" s="4" t="s">
        <v>48</v>
      </c>
      <c r="S50" s="4" t="s">
        <v>61</v>
      </c>
      <c r="T50" s="4" t="s">
        <v>80</v>
      </c>
      <c r="U50" s="6" t="s">
        <v>358</v>
      </c>
      <c r="V50" s="4" t="s">
        <v>38</v>
      </c>
      <c r="AD50" s="57">
        <v>45725</v>
      </c>
      <c r="AE50">
        <v>35530</v>
      </c>
    </row>
    <row r="51" spans="1:31" x14ac:dyDescent="0.3">
      <c r="A51" s="7" t="s">
        <v>359</v>
      </c>
      <c r="B51" s="8" t="s">
        <v>168</v>
      </c>
      <c r="C51" s="8" t="s">
        <v>72</v>
      </c>
      <c r="D51" s="53">
        <v>46131</v>
      </c>
      <c r="E51" s="49" t="s">
        <v>360</v>
      </c>
      <c r="F51" s="4" t="str">
        <f>TRIM(PROPER(Sales_Data!F51))</f>
        <v>Anita Gupta</v>
      </c>
      <c r="G51" s="8" t="s">
        <v>28</v>
      </c>
      <c r="H51" s="8" t="s">
        <v>362</v>
      </c>
      <c r="I51" s="8" t="s">
        <v>114</v>
      </c>
      <c r="J51" s="4" t="str">
        <f>PROPER(Sales_Data!J51)</f>
        <v>West</v>
      </c>
      <c r="K51" s="4" t="str">
        <f>PROPER(Sales_Data!K51)</f>
        <v>Electronics</v>
      </c>
      <c r="L51" s="8" t="s">
        <v>78</v>
      </c>
      <c r="M51" s="8">
        <v>6</v>
      </c>
      <c r="N51" s="8">
        <v>1200</v>
      </c>
      <c r="O51" s="8">
        <v>5</v>
      </c>
      <c r="P51" s="8">
        <v>6840</v>
      </c>
      <c r="Q51" s="8">
        <v>2</v>
      </c>
      <c r="R51" s="8" t="s">
        <v>34</v>
      </c>
      <c r="S51" s="8" t="s">
        <v>35</v>
      </c>
      <c r="T51" s="8" t="s">
        <v>175</v>
      </c>
      <c r="U51" s="9" t="s">
        <v>363</v>
      </c>
      <c r="V51" s="8" t="s">
        <v>64</v>
      </c>
      <c r="AD51" s="57">
        <v>45728</v>
      </c>
      <c r="AE51">
        <v>9600</v>
      </c>
    </row>
    <row r="52" spans="1:31" x14ac:dyDescent="0.3">
      <c r="A52" s="3" t="s">
        <v>364</v>
      </c>
      <c r="B52" s="4" t="s">
        <v>53</v>
      </c>
      <c r="C52" s="4" t="s">
        <v>24</v>
      </c>
      <c r="D52" s="52">
        <v>45744</v>
      </c>
      <c r="E52" s="48" t="s">
        <v>366</v>
      </c>
      <c r="F52" s="4" t="str">
        <f>TRIM(PROPER(Sales_Data!F52))</f>
        <v>Pooja Shah</v>
      </c>
      <c r="G52" s="4" t="s">
        <v>28</v>
      </c>
      <c r="H52" s="4" t="s">
        <v>368</v>
      </c>
      <c r="I52" s="4" t="s">
        <v>59</v>
      </c>
      <c r="J52" s="4" t="str">
        <f>PROPER(Sales_Data!J52)</f>
        <v>South</v>
      </c>
      <c r="K52" s="4" t="str">
        <f>PROPER(Sales_Data!K52)</f>
        <v>Home Appliances</v>
      </c>
      <c r="L52" s="4" t="s">
        <v>33</v>
      </c>
      <c r="M52" s="4">
        <v>7</v>
      </c>
      <c r="N52" s="4">
        <v>2200</v>
      </c>
      <c r="O52" s="4">
        <v>15</v>
      </c>
      <c r="P52" s="4">
        <v>13090</v>
      </c>
      <c r="Q52" s="4">
        <v>1</v>
      </c>
      <c r="R52" s="4" t="s">
        <v>88</v>
      </c>
      <c r="S52" s="4" t="s">
        <v>61</v>
      </c>
      <c r="T52" s="4" t="s">
        <v>62</v>
      </c>
      <c r="U52" s="6" t="s">
        <v>369</v>
      </c>
      <c r="V52" s="4" t="s">
        <v>38</v>
      </c>
      <c r="AD52" s="57">
        <v>45729</v>
      </c>
      <c r="AE52">
        <v>180000</v>
      </c>
    </row>
    <row r="53" spans="1:31" x14ac:dyDescent="0.3">
      <c r="A53" s="7" t="s">
        <v>370</v>
      </c>
      <c r="B53" s="8" t="s">
        <v>100</v>
      </c>
      <c r="C53" s="8" t="s">
        <v>118</v>
      </c>
      <c r="D53" s="53">
        <v>45894</v>
      </c>
      <c r="E53" s="49" t="s">
        <v>372</v>
      </c>
      <c r="F53" s="4" t="str">
        <f>TRIM(PROPER(Sales_Data!F53))</f>
        <v>Priya Patel</v>
      </c>
      <c r="G53" s="8" t="s">
        <v>28</v>
      </c>
      <c r="H53" s="8" t="s">
        <v>373</v>
      </c>
      <c r="I53" s="8" t="s">
        <v>212</v>
      </c>
      <c r="J53" s="4" t="str">
        <f>PROPER(Sales_Data!J53)</f>
        <v>North</v>
      </c>
      <c r="K53" s="4" t="str">
        <f>PROPER(Sales_Data!K53)</f>
        <v>Stationery</v>
      </c>
      <c r="L53" s="8" t="s">
        <v>123</v>
      </c>
      <c r="M53" s="8">
        <v>8</v>
      </c>
      <c r="N53" s="8">
        <v>60</v>
      </c>
      <c r="O53" s="8">
        <v>10</v>
      </c>
      <c r="P53" s="8">
        <v>432</v>
      </c>
      <c r="Q53" s="8">
        <v>5</v>
      </c>
      <c r="R53" s="8" t="s">
        <v>79</v>
      </c>
      <c r="S53" s="8" t="s">
        <v>61</v>
      </c>
      <c r="T53" s="8" t="s">
        <v>144</v>
      </c>
      <c r="U53" s="9" t="s">
        <v>374</v>
      </c>
      <c r="V53" s="8" t="s">
        <v>69</v>
      </c>
      <c r="AD53" s="57">
        <v>45730</v>
      </c>
      <c r="AE53">
        <v>650.25</v>
      </c>
    </row>
    <row r="54" spans="1:31" x14ac:dyDescent="0.3">
      <c r="A54" s="3" t="s">
        <v>375</v>
      </c>
      <c r="B54" s="4" t="s">
        <v>221</v>
      </c>
      <c r="C54" s="4" t="s">
        <v>54</v>
      </c>
      <c r="D54" s="52">
        <v>45888</v>
      </c>
      <c r="E54" s="48" t="s">
        <v>377</v>
      </c>
      <c r="F54" s="4" t="str">
        <f>TRIM(PROPER(Sales_Data!F54))</f>
        <v>Vikas Mehta</v>
      </c>
      <c r="G54" s="4" t="s">
        <v>76</v>
      </c>
      <c r="H54" s="4" t="s">
        <v>378</v>
      </c>
      <c r="I54" s="4" t="s">
        <v>294</v>
      </c>
      <c r="J54" s="4" t="str">
        <f>PROPER(Sales_Data!J54)</f>
        <v>East</v>
      </c>
      <c r="K54" s="4" t="str">
        <f>PROPER(Sales_Data!K54)</f>
        <v>Electronics</v>
      </c>
      <c r="L54" s="4" t="s">
        <v>60</v>
      </c>
      <c r="M54" s="4">
        <v>12</v>
      </c>
      <c r="N54" s="4">
        <v>55000</v>
      </c>
      <c r="O54" s="4">
        <v>5</v>
      </c>
      <c r="P54" s="4">
        <v>627000</v>
      </c>
      <c r="Q54" s="4">
        <v>2</v>
      </c>
      <c r="R54" s="4" t="s">
        <v>88</v>
      </c>
      <c r="S54" s="4" t="s">
        <v>49</v>
      </c>
      <c r="T54" s="4" t="s">
        <v>228</v>
      </c>
      <c r="U54" s="6" t="s">
        <v>379</v>
      </c>
      <c r="V54" s="4" t="s">
        <v>64</v>
      </c>
      <c r="AD54" s="57">
        <v>45732</v>
      </c>
      <c r="AE54">
        <v>200</v>
      </c>
    </row>
    <row r="55" spans="1:31" x14ac:dyDescent="0.3">
      <c r="A55" s="7" t="s">
        <v>380</v>
      </c>
      <c r="B55" s="8" t="s">
        <v>23</v>
      </c>
      <c r="C55" s="8" t="s">
        <v>184</v>
      </c>
      <c r="D55" s="53">
        <v>45865</v>
      </c>
      <c r="E55" s="49" t="s">
        <v>382</v>
      </c>
      <c r="F55" s="4" t="str">
        <f>TRIM(PROPER(Sales_Data!F55))</f>
        <v>Kavya Nair</v>
      </c>
      <c r="G55" s="8" t="s">
        <v>28</v>
      </c>
      <c r="H55" s="8" t="s">
        <v>383</v>
      </c>
      <c r="I55" s="8" t="s">
        <v>212</v>
      </c>
      <c r="J55" s="4" t="str">
        <f>PROPER(Sales_Data!J55)</f>
        <v>North</v>
      </c>
      <c r="K55" s="4" t="str">
        <f>PROPER(Sales_Data!K55)</f>
        <v>Electronics</v>
      </c>
      <c r="L55" s="8" t="s">
        <v>189</v>
      </c>
      <c r="M55" s="8">
        <v>3</v>
      </c>
      <c r="N55" s="8">
        <v>700</v>
      </c>
      <c r="O55" s="8">
        <v>0</v>
      </c>
      <c r="P55" s="8">
        <v>2100</v>
      </c>
      <c r="Q55" s="8">
        <v>3</v>
      </c>
      <c r="R55" s="8" t="s">
        <v>79</v>
      </c>
      <c r="S55" s="8" t="s">
        <v>151</v>
      </c>
      <c r="T55" s="8" t="s">
        <v>50</v>
      </c>
      <c r="U55" s="9" t="s">
        <v>384</v>
      </c>
      <c r="V55" s="8" t="s">
        <v>69</v>
      </c>
      <c r="AD55" s="57">
        <v>45733</v>
      </c>
      <c r="AE55">
        <v>30087</v>
      </c>
    </row>
    <row r="56" spans="1:31" x14ac:dyDescent="0.3">
      <c r="A56" s="3" t="s">
        <v>385</v>
      </c>
      <c r="B56" s="4" t="s">
        <v>127</v>
      </c>
      <c r="C56" s="4" t="s">
        <v>118</v>
      </c>
      <c r="D56" s="52">
        <v>45709</v>
      </c>
      <c r="E56" s="48" t="s">
        <v>387</v>
      </c>
      <c r="F56" s="4" t="str">
        <f>TRIM(PROPER(Sales_Data!F56))</f>
        <v>Rohit Singh</v>
      </c>
      <c r="G56" s="4" t="s">
        <v>76</v>
      </c>
      <c r="H56" s="4" t="s">
        <v>389</v>
      </c>
      <c r="I56" s="4" t="s">
        <v>138</v>
      </c>
      <c r="J56" s="4" t="str">
        <f>PROPER(Sales_Data!J56)</f>
        <v>West</v>
      </c>
      <c r="K56" s="4" t="str">
        <f>PROPER(Sales_Data!K56)</f>
        <v>Stationery</v>
      </c>
      <c r="L56" s="4" t="s">
        <v>123</v>
      </c>
      <c r="M56" s="4">
        <v>19</v>
      </c>
      <c r="N56" s="4">
        <v>60</v>
      </c>
      <c r="O56" s="4">
        <v>15</v>
      </c>
      <c r="P56" s="4">
        <v>969</v>
      </c>
      <c r="Q56" s="4">
        <v>4</v>
      </c>
      <c r="R56" s="4" t="s">
        <v>79</v>
      </c>
      <c r="S56" s="4" t="s">
        <v>49</v>
      </c>
      <c r="T56" s="4" t="s">
        <v>132</v>
      </c>
      <c r="U56" s="6" t="s">
        <v>390</v>
      </c>
      <c r="V56" s="4" t="s">
        <v>69</v>
      </c>
      <c r="AD56" s="57">
        <v>45734</v>
      </c>
      <c r="AE56">
        <v>18360</v>
      </c>
    </row>
    <row r="57" spans="1:31" x14ac:dyDescent="0.3">
      <c r="A57" s="7" t="s">
        <v>391</v>
      </c>
      <c r="B57" s="8" t="s">
        <v>327</v>
      </c>
      <c r="C57" s="8" t="s">
        <v>118</v>
      </c>
      <c r="D57" s="53">
        <v>45879</v>
      </c>
      <c r="E57" s="49" t="s">
        <v>393</v>
      </c>
      <c r="F57" s="4" t="str">
        <f>TRIM(PROPER(Sales_Data!F57))</f>
        <v>Amit Sharma</v>
      </c>
      <c r="G57" s="8" t="s">
        <v>76</v>
      </c>
      <c r="H57" s="8" t="s">
        <v>395</v>
      </c>
      <c r="I57" s="8" t="s">
        <v>212</v>
      </c>
      <c r="J57" s="4" t="str">
        <f>PROPER(Sales_Data!J57)</f>
        <v>North</v>
      </c>
      <c r="K57" s="4" t="str">
        <f>PROPER(Sales_Data!K57)</f>
        <v>Stationery</v>
      </c>
      <c r="L57" s="8" t="s">
        <v>123</v>
      </c>
      <c r="M57" s="8">
        <v>9</v>
      </c>
      <c r="N57" s="8">
        <v>60</v>
      </c>
      <c r="O57" s="8">
        <v>20</v>
      </c>
      <c r="P57" s="8">
        <v>432</v>
      </c>
      <c r="Q57" s="8">
        <v>1</v>
      </c>
      <c r="R57" s="8" t="s">
        <v>48</v>
      </c>
      <c r="S57" s="8" t="s">
        <v>115</v>
      </c>
      <c r="T57" s="8" t="s">
        <v>332</v>
      </c>
      <c r="U57" s="9" t="s">
        <v>396</v>
      </c>
      <c r="V57" s="8" t="s">
        <v>64</v>
      </c>
      <c r="AD57" s="57">
        <v>45736</v>
      </c>
      <c r="AE57">
        <v>5950</v>
      </c>
    </row>
    <row r="58" spans="1:31" x14ac:dyDescent="0.3">
      <c r="A58" s="3" t="s">
        <v>397</v>
      </c>
      <c r="B58" s="4" t="s">
        <v>327</v>
      </c>
      <c r="C58" s="4" t="s">
        <v>184</v>
      </c>
      <c r="D58" s="52">
        <v>46105</v>
      </c>
      <c r="E58" s="48" t="s">
        <v>399</v>
      </c>
      <c r="F58" s="4" t="str">
        <f>TRIM(PROPER(Sales_Data!F58))</f>
        <v>Amit Sharma</v>
      </c>
      <c r="G58" s="4" t="s">
        <v>76</v>
      </c>
      <c r="H58" s="4" t="s">
        <v>400</v>
      </c>
      <c r="I58" s="4" t="s">
        <v>59</v>
      </c>
      <c r="J58" s="4" t="str">
        <f>PROPER(Sales_Data!J58)</f>
        <v>South</v>
      </c>
      <c r="K58" s="4" t="str">
        <f>PROPER(Sales_Data!K58)</f>
        <v>Electronics</v>
      </c>
      <c r="L58" s="4" t="s">
        <v>189</v>
      </c>
      <c r="M58" s="4">
        <v>6</v>
      </c>
      <c r="N58" s="4">
        <v>700</v>
      </c>
      <c r="O58" s="4">
        <v>0</v>
      </c>
      <c r="P58" s="4">
        <v>4200</v>
      </c>
      <c r="Q58" s="4">
        <v>4</v>
      </c>
      <c r="R58" s="4" t="s">
        <v>88</v>
      </c>
      <c r="S58" s="4" t="s">
        <v>49</v>
      </c>
      <c r="T58" s="4" t="s">
        <v>401</v>
      </c>
      <c r="U58" s="6" t="s">
        <v>402</v>
      </c>
      <c r="V58" s="4" t="s">
        <v>69</v>
      </c>
      <c r="AD58" s="57">
        <v>45739</v>
      </c>
      <c r="AE58">
        <v>136650.25</v>
      </c>
    </row>
    <row r="59" spans="1:31" x14ac:dyDescent="0.3">
      <c r="A59" s="7" t="s">
        <v>403</v>
      </c>
      <c r="B59" s="8" t="s">
        <v>127</v>
      </c>
      <c r="C59" s="8" t="s">
        <v>259</v>
      </c>
      <c r="D59" s="53">
        <v>46094</v>
      </c>
      <c r="E59" s="49" t="s">
        <v>404</v>
      </c>
      <c r="F59" s="4" t="str">
        <f>TRIM(PROPER(Sales_Data!F59))</f>
        <v>Rohit Singh</v>
      </c>
      <c r="G59" s="8" t="s">
        <v>76</v>
      </c>
      <c r="H59" s="8" t="s">
        <v>405</v>
      </c>
      <c r="I59" s="8" t="s">
        <v>44</v>
      </c>
      <c r="J59" s="4" t="str">
        <f>PROPER(Sales_Data!J59)</f>
        <v>North</v>
      </c>
      <c r="K59" s="4" t="str">
        <f>PROPER(Sales_Data!K59)</f>
        <v>Stationery</v>
      </c>
      <c r="L59" s="8" t="s">
        <v>263</v>
      </c>
      <c r="M59" s="8">
        <v>18</v>
      </c>
      <c r="N59" s="8">
        <v>45</v>
      </c>
      <c r="O59" s="8">
        <v>5</v>
      </c>
      <c r="P59" s="8">
        <v>769.5</v>
      </c>
      <c r="Q59" s="8">
        <v>1</v>
      </c>
      <c r="R59" s="8" t="s">
        <v>79</v>
      </c>
      <c r="S59" s="8" t="s">
        <v>61</v>
      </c>
      <c r="T59" s="8" t="s">
        <v>132</v>
      </c>
      <c r="U59" s="9" t="s">
        <v>406</v>
      </c>
      <c r="V59" s="8" t="s">
        <v>64</v>
      </c>
      <c r="AD59" s="57">
        <v>45741</v>
      </c>
      <c r="AE59">
        <v>116410</v>
      </c>
    </row>
    <row r="60" spans="1:31" x14ac:dyDescent="0.3">
      <c r="A60" s="3" t="s">
        <v>407</v>
      </c>
      <c r="B60" s="4" t="s">
        <v>83</v>
      </c>
      <c r="C60" s="4" t="s">
        <v>222</v>
      </c>
      <c r="D60" s="52">
        <v>45823</v>
      </c>
      <c r="E60" s="48" t="s">
        <v>261</v>
      </c>
      <c r="F60" s="4" t="str">
        <f>TRIM(PROPER(Sales_Data!F60))</f>
        <v>Arjun Rao</v>
      </c>
      <c r="G60" s="4" t="s">
        <v>76</v>
      </c>
      <c r="H60" s="4" t="s">
        <v>409</v>
      </c>
      <c r="I60" s="4" t="s">
        <v>212</v>
      </c>
      <c r="J60" s="4" t="str">
        <f>PROPER(Sales_Data!J60)</f>
        <v>North</v>
      </c>
      <c r="K60" s="4" t="str">
        <f>PROPER(Sales_Data!K60)</f>
        <v>Stationery</v>
      </c>
      <c r="L60" s="4" t="s">
        <v>227</v>
      </c>
      <c r="M60" s="4">
        <v>8</v>
      </c>
      <c r="N60" s="4">
        <v>20</v>
      </c>
      <c r="O60" s="4">
        <v>5</v>
      </c>
      <c r="P60" s="4">
        <v>152</v>
      </c>
      <c r="Q60" s="4">
        <v>1</v>
      </c>
      <c r="R60" s="4" t="s">
        <v>79</v>
      </c>
      <c r="S60" s="4" t="s">
        <v>35</v>
      </c>
      <c r="T60" s="4" t="s">
        <v>89</v>
      </c>
      <c r="U60" s="6" t="s">
        <v>410</v>
      </c>
      <c r="V60" s="4" t="s">
        <v>411</v>
      </c>
      <c r="AD60" s="57">
        <v>45742</v>
      </c>
      <c r="AE60">
        <v>63175</v>
      </c>
    </row>
    <row r="61" spans="1:31" x14ac:dyDescent="0.3">
      <c r="A61" s="7" t="s">
        <v>412</v>
      </c>
      <c r="B61" s="8" t="s">
        <v>221</v>
      </c>
      <c r="C61" s="8" t="s">
        <v>184</v>
      </c>
      <c r="D61" s="53">
        <v>45721</v>
      </c>
      <c r="E61" s="49" t="s">
        <v>414</v>
      </c>
      <c r="F61" s="4" t="str">
        <f>TRIM(PROPER(Sales_Data!F61))</f>
        <v>Vikas Mehta</v>
      </c>
      <c r="G61" s="8" t="s">
        <v>76</v>
      </c>
      <c r="H61" s="8" t="s">
        <v>415</v>
      </c>
      <c r="I61" s="8" t="s">
        <v>212</v>
      </c>
      <c r="J61" s="4" t="str">
        <f>PROPER(Sales_Data!J61)</f>
        <v>North</v>
      </c>
      <c r="K61" s="4" t="str">
        <f>PROPER(Sales_Data!K61)</f>
        <v>Electronics</v>
      </c>
      <c r="L61" s="8" t="s">
        <v>189</v>
      </c>
      <c r="M61" s="8">
        <v>8</v>
      </c>
      <c r="N61" s="8">
        <v>700</v>
      </c>
      <c r="O61" s="8">
        <v>10</v>
      </c>
      <c r="P61" s="8">
        <v>5040</v>
      </c>
      <c r="Q61" s="8">
        <v>1</v>
      </c>
      <c r="R61" s="8" t="s">
        <v>48</v>
      </c>
      <c r="S61" s="8" t="s">
        <v>61</v>
      </c>
      <c r="T61" s="10" t="s">
        <v>416</v>
      </c>
      <c r="U61" s="9" t="s">
        <v>417</v>
      </c>
      <c r="V61" s="8" t="s">
        <v>69</v>
      </c>
      <c r="AD61" s="57">
        <v>45743</v>
      </c>
      <c r="AE61">
        <v>4800</v>
      </c>
    </row>
    <row r="62" spans="1:31" x14ac:dyDescent="0.3">
      <c r="A62" s="3" t="s">
        <v>418</v>
      </c>
      <c r="B62" s="4" t="s">
        <v>23</v>
      </c>
      <c r="C62" s="4" t="s">
        <v>222</v>
      </c>
      <c r="D62" s="52">
        <v>46121</v>
      </c>
      <c r="E62" s="48" t="s">
        <v>356</v>
      </c>
      <c r="F62" s="4" t="str">
        <f>TRIM(PROPER(Sales_Data!F62))</f>
        <v>Kavya Nair</v>
      </c>
      <c r="G62" s="4" t="s">
        <v>28</v>
      </c>
      <c r="H62" s="4" t="s">
        <v>419</v>
      </c>
      <c r="I62" s="4" t="s">
        <v>44</v>
      </c>
      <c r="J62" s="4" t="str">
        <f>PROPER(Sales_Data!J62)</f>
        <v>North</v>
      </c>
      <c r="K62" s="4" t="str">
        <f>PROPER(Sales_Data!K62)</f>
        <v>Stationery</v>
      </c>
      <c r="L62" s="4" t="s">
        <v>227</v>
      </c>
      <c r="M62" s="4">
        <v>7</v>
      </c>
      <c r="N62" s="4">
        <v>20</v>
      </c>
      <c r="O62" s="4">
        <v>15</v>
      </c>
      <c r="P62" s="4">
        <v>119</v>
      </c>
      <c r="Q62" s="4">
        <v>5</v>
      </c>
      <c r="R62" s="4" t="s">
        <v>79</v>
      </c>
      <c r="S62" s="4" t="s">
        <v>49</v>
      </c>
      <c r="T62" s="4" t="s">
        <v>50</v>
      </c>
      <c r="U62" s="6" t="s">
        <v>420</v>
      </c>
      <c r="V62" s="4" t="s">
        <v>38</v>
      </c>
      <c r="AD62" s="57">
        <v>45744</v>
      </c>
      <c r="AE62">
        <v>13090</v>
      </c>
    </row>
    <row r="63" spans="1:31" x14ac:dyDescent="0.3">
      <c r="A63" s="7" t="s">
        <v>421</v>
      </c>
      <c r="B63" s="8" t="s">
        <v>100</v>
      </c>
      <c r="C63" s="8" t="s">
        <v>222</v>
      </c>
      <c r="D63" s="53">
        <v>45885</v>
      </c>
      <c r="E63" s="49" t="s">
        <v>371</v>
      </c>
      <c r="F63" s="4" t="str">
        <f>TRIM(PROPER(Sales_Data!F63))</f>
        <v>Priya Patel</v>
      </c>
      <c r="G63" s="8" t="s">
        <v>28</v>
      </c>
      <c r="H63" s="8" t="s">
        <v>423</v>
      </c>
      <c r="I63" s="8" t="s">
        <v>114</v>
      </c>
      <c r="J63" s="4" t="str">
        <f>PROPER(Sales_Data!J63)</f>
        <v>West</v>
      </c>
      <c r="K63" s="4" t="str">
        <f>PROPER(Sales_Data!K63)</f>
        <v>Stationery</v>
      </c>
      <c r="L63" s="8" t="s">
        <v>227</v>
      </c>
      <c r="M63" s="8">
        <v>16</v>
      </c>
      <c r="N63" s="8">
        <v>20</v>
      </c>
      <c r="O63" s="8">
        <v>0</v>
      </c>
      <c r="P63" s="8">
        <v>320</v>
      </c>
      <c r="Q63" s="8">
        <v>5</v>
      </c>
      <c r="R63" s="8" t="s">
        <v>48</v>
      </c>
      <c r="S63" s="8" t="s">
        <v>61</v>
      </c>
      <c r="T63" s="8" t="s">
        <v>144</v>
      </c>
      <c r="U63" s="9" t="s">
        <v>424</v>
      </c>
      <c r="V63" s="8" t="s">
        <v>64</v>
      </c>
      <c r="AD63" s="57">
        <v>45745</v>
      </c>
      <c r="AE63">
        <v>726.75</v>
      </c>
    </row>
    <row r="64" spans="1:31" x14ac:dyDescent="0.3">
      <c r="A64" s="3" t="s">
        <v>425</v>
      </c>
      <c r="B64" s="4" t="s">
        <v>53</v>
      </c>
      <c r="C64" s="4" t="s">
        <v>259</v>
      </c>
      <c r="D64" s="52">
        <v>46155</v>
      </c>
      <c r="E64" s="48" t="s">
        <v>427</v>
      </c>
      <c r="F64" s="4" t="str">
        <f>TRIM(PROPER(Sales_Data!F64))</f>
        <v>Pooja Shah</v>
      </c>
      <c r="G64" s="4" t="s">
        <v>28</v>
      </c>
      <c r="H64" s="4" t="s">
        <v>428</v>
      </c>
      <c r="I64" s="4" t="s">
        <v>105</v>
      </c>
      <c r="J64" s="4" t="str">
        <f>PROPER(Sales_Data!J64)</f>
        <v>West</v>
      </c>
      <c r="K64" s="4" t="str">
        <f>PROPER(Sales_Data!K64)</f>
        <v>Stationery</v>
      </c>
      <c r="L64" s="4" t="s">
        <v>263</v>
      </c>
      <c r="M64" s="4">
        <v>15</v>
      </c>
      <c r="N64" s="4">
        <v>45</v>
      </c>
      <c r="O64" s="4">
        <v>0</v>
      </c>
      <c r="P64" s="4">
        <v>675</v>
      </c>
      <c r="Q64" s="4">
        <v>4</v>
      </c>
      <c r="R64" s="4" t="s">
        <v>34</v>
      </c>
      <c r="S64" s="4" t="s">
        <v>61</v>
      </c>
      <c r="T64" s="4" t="s">
        <v>62</v>
      </c>
      <c r="U64" s="6" t="s">
        <v>429</v>
      </c>
      <c r="V64" s="4" t="s">
        <v>69</v>
      </c>
      <c r="AD64" s="57">
        <v>45746</v>
      </c>
      <c r="AE64">
        <v>15706</v>
      </c>
    </row>
    <row r="65" spans="1:31" x14ac:dyDescent="0.3">
      <c r="A65" s="7" t="s">
        <v>430</v>
      </c>
      <c r="B65" s="8" t="s">
        <v>251</v>
      </c>
      <c r="C65" s="8" t="s">
        <v>184</v>
      </c>
      <c r="D65" s="53">
        <v>45717</v>
      </c>
      <c r="E65" s="49" t="s">
        <v>413</v>
      </c>
      <c r="F65" s="4" t="str">
        <f>TRIM(PROPER(Sales_Data!F65))</f>
        <v>Sneha Joshi</v>
      </c>
      <c r="G65" s="8" t="s">
        <v>28</v>
      </c>
      <c r="H65" s="8" t="s">
        <v>432</v>
      </c>
      <c r="I65" s="8" t="s">
        <v>138</v>
      </c>
      <c r="J65" s="4" t="str">
        <f>PROPER(Sales_Data!J65)</f>
        <v>West</v>
      </c>
      <c r="K65" s="4" t="str">
        <f>PROPER(Sales_Data!K65)</f>
        <v>Electronics</v>
      </c>
      <c r="L65" s="8" t="s">
        <v>189</v>
      </c>
      <c r="M65" s="8">
        <v>15</v>
      </c>
      <c r="N65" s="8">
        <v>700</v>
      </c>
      <c r="O65" s="8">
        <v>10</v>
      </c>
      <c r="P65" s="8">
        <v>9450</v>
      </c>
      <c r="Q65" s="8">
        <v>3</v>
      </c>
      <c r="R65" s="8" t="s">
        <v>48</v>
      </c>
      <c r="S65" s="8" t="s">
        <v>151</v>
      </c>
      <c r="T65" s="8" t="s">
        <v>256</v>
      </c>
      <c r="U65" s="9" t="s">
        <v>433</v>
      </c>
      <c r="V65" s="8" t="s">
        <v>38</v>
      </c>
      <c r="AD65" s="57">
        <v>45748</v>
      </c>
      <c r="AE65">
        <v>17050</v>
      </c>
    </row>
    <row r="66" spans="1:31" x14ac:dyDescent="0.3">
      <c r="A66" s="3" t="s">
        <v>434</v>
      </c>
      <c r="B66" s="4" t="s">
        <v>53</v>
      </c>
      <c r="C66" s="4" t="s">
        <v>259</v>
      </c>
      <c r="D66" s="52">
        <v>45697</v>
      </c>
      <c r="E66" s="48" t="s">
        <v>436</v>
      </c>
      <c r="F66" s="4" t="str">
        <f>TRIM(PROPER(Sales_Data!F66))</f>
        <v>Pooja Shah</v>
      </c>
      <c r="G66" s="4" t="s">
        <v>28</v>
      </c>
      <c r="H66" s="4" t="s">
        <v>437</v>
      </c>
      <c r="I66" s="4" t="s">
        <v>294</v>
      </c>
      <c r="J66" s="4" t="str">
        <f>PROPER(Sales_Data!J66)</f>
        <v>East</v>
      </c>
      <c r="K66" s="4" t="str">
        <f>PROPER(Sales_Data!K66)</f>
        <v>Stationery</v>
      </c>
      <c r="L66" s="4" t="s">
        <v>263</v>
      </c>
      <c r="M66" s="4">
        <v>3</v>
      </c>
      <c r="N66" s="4">
        <v>45</v>
      </c>
      <c r="O66" s="4">
        <v>15</v>
      </c>
      <c r="P66" s="4">
        <v>114.75</v>
      </c>
      <c r="Q66" s="4">
        <v>2</v>
      </c>
      <c r="R66" s="4" t="s">
        <v>88</v>
      </c>
      <c r="S66" s="4" t="s">
        <v>115</v>
      </c>
      <c r="T66" s="4" t="s">
        <v>62</v>
      </c>
      <c r="U66" s="6" t="s">
        <v>438</v>
      </c>
      <c r="V66" s="4" t="s">
        <v>64</v>
      </c>
      <c r="AD66" s="57">
        <v>45750</v>
      </c>
      <c r="AE66">
        <v>2100</v>
      </c>
    </row>
    <row r="67" spans="1:31" x14ac:dyDescent="0.3">
      <c r="A67" s="7" t="s">
        <v>439</v>
      </c>
      <c r="B67" s="8" t="s">
        <v>100</v>
      </c>
      <c r="C67" s="8" t="s">
        <v>24</v>
      </c>
      <c r="D67" s="53">
        <v>46031</v>
      </c>
      <c r="E67" s="49" t="s">
        <v>441</v>
      </c>
      <c r="F67" s="4" t="str">
        <f>TRIM(PROPER(Sales_Data!F67))</f>
        <v>Priya Patel</v>
      </c>
      <c r="G67" s="8" t="s">
        <v>28</v>
      </c>
      <c r="H67" s="8" t="s">
        <v>442</v>
      </c>
      <c r="I67" s="8" t="s">
        <v>294</v>
      </c>
      <c r="J67" s="4" t="str">
        <f>PROPER(Sales_Data!J67)</f>
        <v>East</v>
      </c>
      <c r="K67" s="4" t="str">
        <f>PROPER(Sales_Data!K67)</f>
        <v>Home Appliances</v>
      </c>
      <c r="L67" s="8" t="s">
        <v>33</v>
      </c>
      <c r="M67" s="8">
        <v>7</v>
      </c>
      <c r="N67" s="8">
        <v>2200</v>
      </c>
      <c r="O67" s="8">
        <v>15</v>
      </c>
      <c r="P67" s="8">
        <v>13090</v>
      </c>
      <c r="Q67" s="8">
        <v>5</v>
      </c>
      <c r="R67" s="8" t="s">
        <v>88</v>
      </c>
      <c r="S67" s="8" t="s">
        <v>115</v>
      </c>
      <c r="T67" s="8" t="s">
        <v>144</v>
      </c>
      <c r="U67" s="9" t="s">
        <v>443</v>
      </c>
      <c r="V67" s="8" t="s">
        <v>38</v>
      </c>
      <c r="AD67" s="57">
        <v>45752</v>
      </c>
      <c r="AE67">
        <v>432</v>
      </c>
    </row>
    <row r="68" spans="1:31" x14ac:dyDescent="0.3">
      <c r="A68" s="3" t="s">
        <v>444</v>
      </c>
      <c r="B68" s="4" t="s">
        <v>23</v>
      </c>
      <c r="C68" s="4" t="s">
        <v>259</v>
      </c>
      <c r="D68" s="52">
        <v>45901</v>
      </c>
      <c r="E68" s="48" t="s">
        <v>446</v>
      </c>
      <c r="F68" s="4" t="str">
        <f>TRIM(PROPER(Sales_Data!F68))</f>
        <v>Kavya Nair</v>
      </c>
      <c r="G68" s="4" t="s">
        <v>28</v>
      </c>
      <c r="H68" s="4" t="s">
        <v>447</v>
      </c>
      <c r="I68" s="4" t="s">
        <v>44</v>
      </c>
      <c r="J68" s="4" t="str">
        <f>PROPER(Sales_Data!J68)</f>
        <v>North</v>
      </c>
      <c r="K68" s="4" t="str">
        <f>PROPER(Sales_Data!K68)</f>
        <v>Stationery</v>
      </c>
      <c r="L68" s="4" t="s">
        <v>263</v>
      </c>
      <c r="M68" s="4">
        <v>19</v>
      </c>
      <c r="N68" s="4">
        <v>45</v>
      </c>
      <c r="O68" s="4">
        <v>10</v>
      </c>
      <c r="P68" s="4">
        <v>769.5</v>
      </c>
      <c r="Q68" s="4">
        <v>5</v>
      </c>
      <c r="R68" s="4" t="s">
        <v>79</v>
      </c>
      <c r="S68" s="4" t="s">
        <v>115</v>
      </c>
      <c r="T68" s="4" t="s">
        <v>50</v>
      </c>
      <c r="U68" s="6" t="s">
        <v>448</v>
      </c>
      <c r="V68" s="4" t="s">
        <v>69</v>
      </c>
      <c r="AD68" s="57">
        <v>45754</v>
      </c>
      <c r="AE68">
        <v>792285</v>
      </c>
    </row>
    <row r="69" spans="1:31" x14ac:dyDescent="0.3">
      <c r="A69" s="7" t="s">
        <v>449</v>
      </c>
      <c r="B69" s="8" t="s">
        <v>251</v>
      </c>
      <c r="C69" s="8" t="s">
        <v>92</v>
      </c>
      <c r="D69" s="53">
        <v>46062</v>
      </c>
      <c r="E69" s="49" t="s">
        <v>323</v>
      </c>
      <c r="F69" s="4" t="str">
        <f>TRIM(PROPER(Sales_Data!F69))</f>
        <v>Sneha Joshi</v>
      </c>
      <c r="G69" s="8" t="s">
        <v>28</v>
      </c>
      <c r="H69" s="8" t="s">
        <v>451</v>
      </c>
      <c r="I69" s="8" t="s">
        <v>30</v>
      </c>
      <c r="J69" s="4" t="str">
        <f>PROPER(Sales_Data!J69)</f>
        <v>South</v>
      </c>
      <c r="K69" s="4" t="str">
        <f>PROPER(Sales_Data!K69)</f>
        <v>Home Appliances</v>
      </c>
      <c r="L69" s="8" t="s">
        <v>97</v>
      </c>
      <c r="M69" s="8">
        <v>7</v>
      </c>
      <c r="N69" s="8">
        <v>3500</v>
      </c>
      <c r="O69" s="8">
        <v>15</v>
      </c>
      <c r="P69" s="8">
        <v>20825</v>
      </c>
      <c r="Q69" s="8">
        <v>1</v>
      </c>
      <c r="R69" s="8" t="s">
        <v>34</v>
      </c>
      <c r="S69" s="8" t="s">
        <v>151</v>
      </c>
      <c r="T69" s="8" t="s">
        <v>256</v>
      </c>
      <c r="U69" s="9" t="s">
        <v>452</v>
      </c>
      <c r="V69" s="8" t="s">
        <v>64</v>
      </c>
      <c r="AD69" s="57">
        <v>45755</v>
      </c>
      <c r="AE69">
        <v>420.75</v>
      </c>
    </row>
    <row r="70" spans="1:31" x14ac:dyDescent="0.3">
      <c r="A70" s="3" t="s">
        <v>453</v>
      </c>
      <c r="B70" s="4" t="s">
        <v>53</v>
      </c>
      <c r="C70" s="4" t="s">
        <v>169</v>
      </c>
      <c r="D70" s="52">
        <v>46005</v>
      </c>
      <c r="E70" s="48" t="s">
        <v>455</v>
      </c>
      <c r="F70" s="4" t="str">
        <f>TRIM(PROPER(Sales_Data!F70))</f>
        <v>Pooja Shah</v>
      </c>
      <c r="G70" s="4" t="s">
        <v>28</v>
      </c>
      <c r="H70" s="4" t="s">
        <v>456</v>
      </c>
      <c r="I70" s="4" t="s">
        <v>212</v>
      </c>
      <c r="J70" s="4" t="str">
        <f>PROPER(Sales_Data!J70)</f>
        <v>North</v>
      </c>
      <c r="K70" s="4" t="str">
        <f>PROPER(Sales_Data!K70)</f>
        <v>Home Appliances</v>
      </c>
      <c r="L70" s="4" t="s">
        <v>174</v>
      </c>
      <c r="M70" s="4">
        <v>7</v>
      </c>
      <c r="N70" s="4">
        <v>8500</v>
      </c>
      <c r="O70" s="4">
        <v>20</v>
      </c>
      <c r="P70" s="4">
        <v>47600</v>
      </c>
      <c r="Q70" s="4">
        <v>4</v>
      </c>
      <c r="R70" s="4" t="s">
        <v>48</v>
      </c>
      <c r="S70" s="4" t="s">
        <v>115</v>
      </c>
      <c r="T70" s="4" t="s">
        <v>62</v>
      </c>
      <c r="U70" s="6" t="s">
        <v>457</v>
      </c>
      <c r="V70" s="4" t="s">
        <v>38</v>
      </c>
      <c r="AD70" s="57">
        <v>45756</v>
      </c>
      <c r="AE70">
        <v>104540</v>
      </c>
    </row>
    <row r="71" spans="1:31" x14ac:dyDescent="0.3">
      <c r="A71" s="7" t="s">
        <v>458</v>
      </c>
      <c r="B71" s="8" t="s">
        <v>23</v>
      </c>
      <c r="C71" s="8" t="s">
        <v>54</v>
      </c>
      <c r="D71" s="53">
        <v>45754</v>
      </c>
      <c r="E71" s="49" t="s">
        <v>459</v>
      </c>
      <c r="F71" s="4" t="str">
        <f>TRIM(PROPER(Sales_Data!F71))</f>
        <v>Kavya Nair</v>
      </c>
      <c r="G71" s="8" t="s">
        <v>28</v>
      </c>
      <c r="H71" s="8" t="s">
        <v>460</v>
      </c>
      <c r="I71" s="8" t="s">
        <v>59</v>
      </c>
      <c r="J71" s="4" t="str">
        <f>PROPER(Sales_Data!J71)</f>
        <v>South</v>
      </c>
      <c r="K71" s="4" t="str">
        <f>PROPER(Sales_Data!K71)</f>
        <v>Electronics</v>
      </c>
      <c r="L71" s="8" t="s">
        <v>60</v>
      </c>
      <c r="M71" s="8">
        <v>16</v>
      </c>
      <c r="N71" s="8">
        <v>55000</v>
      </c>
      <c r="O71" s="8">
        <v>10</v>
      </c>
      <c r="P71" s="8">
        <v>792000</v>
      </c>
      <c r="Q71" s="8">
        <v>1</v>
      </c>
      <c r="R71" s="8" t="s">
        <v>79</v>
      </c>
      <c r="S71" s="8" t="s">
        <v>61</v>
      </c>
      <c r="T71" s="8" t="s">
        <v>50</v>
      </c>
      <c r="U71" s="9" t="s">
        <v>461</v>
      </c>
      <c r="V71" s="8" t="s">
        <v>38</v>
      </c>
      <c r="AD71" s="57">
        <v>45757</v>
      </c>
      <c r="AE71">
        <v>56108</v>
      </c>
    </row>
    <row r="72" spans="1:31" x14ac:dyDescent="0.3">
      <c r="A72" s="3" t="s">
        <v>462</v>
      </c>
      <c r="B72" s="4" t="s">
        <v>168</v>
      </c>
      <c r="C72" s="4" t="s">
        <v>40</v>
      </c>
      <c r="D72" s="52">
        <v>46015</v>
      </c>
      <c r="E72" s="48" t="s">
        <v>464</v>
      </c>
      <c r="F72" s="4" t="str">
        <f>TRIM(PROPER(Sales_Data!F72))</f>
        <v>Anita Gupta</v>
      </c>
      <c r="G72" s="4" t="s">
        <v>28</v>
      </c>
      <c r="H72" s="4" t="s">
        <v>465</v>
      </c>
      <c r="I72" s="4" t="s">
        <v>105</v>
      </c>
      <c r="J72" s="4" t="str">
        <f>PROPER(Sales_Data!J72)</f>
        <v>West</v>
      </c>
      <c r="K72" s="4" t="str">
        <f>PROPER(Sales_Data!K72)</f>
        <v>Electronics</v>
      </c>
      <c r="L72" s="4" t="s">
        <v>47</v>
      </c>
      <c r="M72" s="4">
        <v>2</v>
      </c>
      <c r="N72" s="4">
        <v>12000</v>
      </c>
      <c r="O72" s="4">
        <v>20</v>
      </c>
      <c r="P72" s="4">
        <v>19200</v>
      </c>
      <c r="Q72" s="4">
        <v>1</v>
      </c>
      <c r="R72" s="4" t="s">
        <v>34</v>
      </c>
      <c r="S72" s="4" t="s">
        <v>151</v>
      </c>
      <c r="T72" s="5" t="s">
        <v>466</v>
      </c>
      <c r="U72" s="6" t="s">
        <v>467</v>
      </c>
      <c r="V72" s="4" t="s">
        <v>64</v>
      </c>
      <c r="AD72" s="57">
        <v>45758</v>
      </c>
      <c r="AE72">
        <v>56000</v>
      </c>
    </row>
    <row r="73" spans="1:31" x14ac:dyDescent="0.3">
      <c r="A73" s="7" t="s">
        <v>468</v>
      </c>
      <c r="B73" s="8" t="s">
        <v>127</v>
      </c>
      <c r="C73" s="8" t="s">
        <v>259</v>
      </c>
      <c r="D73" s="53">
        <v>45899</v>
      </c>
      <c r="E73" s="49" t="s">
        <v>446</v>
      </c>
      <c r="F73" s="4" t="str">
        <f>TRIM(PROPER(Sales_Data!F73))</f>
        <v>Rohit Singh</v>
      </c>
      <c r="G73" s="8" t="s">
        <v>76</v>
      </c>
      <c r="H73" s="8" t="s">
        <v>470</v>
      </c>
      <c r="I73" s="8" t="s">
        <v>59</v>
      </c>
      <c r="J73" s="4" t="str">
        <f>PROPER(Sales_Data!J73)</f>
        <v>South</v>
      </c>
      <c r="K73" s="4" t="str">
        <f>PROPER(Sales_Data!K73)</f>
        <v>Stationery</v>
      </c>
      <c r="L73" s="8" t="s">
        <v>263</v>
      </c>
      <c r="M73" s="8">
        <v>4</v>
      </c>
      <c r="N73" s="8">
        <v>45</v>
      </c>
      <c r="O73" s="8">
        <v>5</v>
      </c>
      <c r="P73" s="8">
        <v>171</v>
      </c>
      <c r="Q73" s="8">
        <v>1</v>
      </c>
      <c r="R73" s="8" t="s">
        <v>79</v>
      </c>
      <c r="S73" s="8" t="s">
        <v>49</v>
      </c>
      <c r="T73" s="8" t="s">
        <v>132</v>
      </c>
      <c r="U73" s="9" t="s">
        <v>471</v>
      </c>
      <c r="V73" s="8" t="s">
        <v>64</v>
      </c>
      <c r="AD73" s="57">
        <v>45759</v>
      </c>
      <c r="AE73">
        <v>20825</v>
      </c>
    </row>
    <row r="74" spans="1:31" x14ac:dyDescent="0.3">
      <c r="A74" s="3" t="s">
        <v>472</v>
      </c>
      <c r="B74" s="4" t="s">
        <v>23</v>
      </c>
      <c r="C74" s="4" t="s">
        <v>72</v>
      </c>
      <c r="D74" s="52">
        <v>46004</v>
      </c>
      <c r="E74" s="48" t="s">
        <v>474</v>
      </c>
      <c r="F74" s="4" t="str">
        <f>TRIM(PROPER(Sales_Data!F74))</f>
        <v>Kavya Nair</v>
      </c>
      <c r="G74" s="4" t="s">
        <v>28</v>
      </c>
      <c r="H74" s="4" t="s">
        <v>475</v>
      </c>
      <c r="I74" s="4" t="s">
        <v>212</v>
      </c>
      <c r="J74" s="4" t="str">
        <f>PROPER(Sales_Data!J74)</f>
        <v>North</v>
      </c>
      <c r="K74" s="4" t="str">
        <f>PROPER(Sales_Data!K74)</f>
        <v>Electronics</v>
      </c>
      <c r="L74" s="4" t="s">
        <v>78</v>
      </c>
      <c r="M74" s="4">
        <v>1</v>
      </c>
      <c r="N74" s="4">
        <v>1200</v>
      </c>
      <c r="O74" s="4">
        <v>5</v>
      </c>
      <c r="P74" s="4">
        <v>1140</v>
      </c>
      <c r="Q74" s="4">
        <v>3</v>
      </c>
      <c r="R74" s="4" t="s">
        <v>88</v>
      </c>
      <c r="S74" s="4" t="s">
        <v>61</v>
      </c>
      <c r="T74" s="4" t="s">
        <v>50</v>
      </c>
      <c r="U74" s="6" t="s">
        <v>476</v>
      </c>
      <c r="V74" s="4" t="s">
        <v>69</v>
      </c>
      <c r="AD74" s="57">
        <v>45760</v>
      </c>
      <c r="AE74">
        <v>143760</v>
      </c>
    </row>
    <row r="75" spans="1:31" x14ac:dyDescent="0.3">
      <c r="A75" s="7" t="s">
        <v>477</v>
      </c>
      <c r="B75" s="8" t="s">
        <v>53</v>
      </c>
      <c r="C75" s="8" t="s">
        <v>24</v>
      </c>
      <c r="D75" s="53">
        <v>46057</v>
      </c>
      <c r="E75" s="49" t="s">
        <v>479</v>
      </c>
      <c r="F75" s="4" t="str">
        <f>TRIM(PROPER(Sales_Data!F75))</f>
        <v>Pooja Shah</v>
      </c>
      <c r="G75" s="8" t="s">
        <v>28</v>
      </c>
      <c r="H75" s="8" t="s">
        <v>480</v>
      </c>
      <c r="I75" s="8"/>
      <c r="J75" s="4" t="str">
        <f>PROPER(Sales_Data!J75)</f>
        <v>South</v>
      </c>
      <c r="K75" s="4" t="str">
        <f>PROPER(Sales_Data!K75)</f>
        <v>Home Appliances</v>
      </c>
      <c r="L75" s="8" t="s">
        <v>33</v>
      </c>
      <c r="M75" s="8">
        <v>1</v>
      </c>
      <c r="N75" s="8">
        <v>2200</v>
      </c>
      <c r="O75" s="8">
        <v>15</v>
      </c>
      <c r="P75" s="8">
        <v>1870</v>
      </c>
      <c r="Q75" s="8">
        <v>4</v>
      </c>
      <c r="R75" s="8" t="s">
        <v>79</v>
      </c>
      <c r="S75" s="8" t="s">
        <v>61</v>
      </c>
      <c r="T75" s="8" t="s">
        <v>62</v>
      </c>
      <c r="U75" s="9" t="s">
        <v>481</v>
      </c>
      <c r="V75" s="8" t="s">
        <v>38</v>
      </c>
      <c r="AD75" s="57">
        <v>45764</v>
      </c>
      <c r="AE75">
        <v>64600</v>
      </c>
    </row>
    <row r="76" spans="1:31" x14ac:dyDescent="0.3">
      <c r="A76" s="3" t="s">
        <v>482</v>
      </c>
      <c r="B76" s="4" t="s">
        <v>127</v>
      </c>
      <c r="C76" s="4" t="s">
        <v>72</v>
      </c>
      <c r="D76" s="52">
        <v>46048</v>
      </c>
      <c r="E76" s="48" t="s">
        <v>484</v>
      </c>
      <c r="F76" s="4" t="str">
        <f>TRIM(PROPER(Sales_Data!F76))</f>
        <v>Rohit Singh</v>
      </c>
      <c r="G76" s="4" t="s">
        <v>76</v>
      </c>
      <c r="H76" s="4" t="s">
        <v>485</v>
      </c>
      <c r="I76" s="4" t="s">
        <v>114</v>
      </c>
      <c r="J76" s="4" t="str">
        <f>PROPER(Sales_Data!J76)</f>
        <v>West</v>
      </c>
      <c r="K76" s="4" t="str">
        <f>PROPER(Sales_Data!K76)</f>
        <v>Electronics</v>
      </c>
      <c r="L76" s="4" t="s">
        <v>78</v>
      </c>
      <c r="M76" s="4">
        <v>3</v>
      </c>
      <c r="N76" s="4">
        <v>1200</v>
      </c>
      <c r="O76" s="4">
        <v>10</v>
      </c>
      <c r="P76" s="4">
        <v>3240</v>
      </c>
      <c r="Q76" s="4">
        <v>5</v>
      </c>
      <c r="R76" s="4" t="s">
        <v>34</v>
      </c>
      <c r="S76" s="4" t="s">
        <v>49</v>
      </c>
      <c r="T76" s="4" t="s">
        <v>132</v>
      </c>
      <c r="U76" s="6" t="s">
        <v>486</v>
      </c>
      <c r="V76" s="4" t="s">
        <v>38</v>
      </c>
      <c r="AD76" s="57">
        <v>45765</v>
      </c>
      <c r="AE76">
        <v>48</v>
      </c>
    </row>
    <row r="77" spans="1:31" x14ac:dyDescent="0.3">
      <c r="A77" s="7" t="s">
        <v>487</v>
      </c>
      <c r="B77" s="8" t="s">
        <v>23</v>
      </c>
      <c r="C77" s="8" t="s">
        <v>92</v>
      </c>
      <c r="D77" s="53">
        <v>45835</v>
      </c>
      <c r="E77" s="49" t="s">
        <v>489</v>
      </c>
      <c r="F77" s="4" t="str">
        <f>TRIM(PROPER(Sales_Data!F77))</f>
        <v>Kavya Nair</v>
      </c>
      <c r="G77" s="8" t="s">
        <v>28</v>
      </c>
      <c r="H77" s="8" t="s">
        <v>490</v>
      </c>
      <c r="I77" s="8" t="s">
        <v>59</v>
      </c>
      <c r="J77" s="4" t="str">
        <f>PROPER(Sales_Data!J77)</f>
        <v>South</v>
      </c>
      <c r="K77" s="4" t="str">
        <f>PROPER(Sales_Data!K77)</f>
        <v>Home Appliances</v>
      </c>
      <c r="L77" s="8" t="s">
        <v>97</v>
      </c>
      <c r="M77" s="8">
        <v>10</v>
      </c>
      <c r="N77" s="8">
        <v>3500</v>
      </c>
      <c r="O77" s="8">
        <v>20</v>
      </c>
      <c r="P77" s="8">
        <v>28000</v>
      </c>
      <c r="Q77" s="8">
        <v>5</v>
      </c>
      <c r="R77" s="8" t="s">
        <v>79</v>
      </c>
      <c r="S77" s="8" t="s">
        <v>35</v>
      </c>
      <c r="T77" s="8" t="s">
        <v>50</v>
      </c>
      <c r="U77" s="9" t="s">
        <v>491</v>
      </c>
      <c r="V77" s="8" t="s">
        <v>38</v>
      </c>
      <c r="AD77" s="57">
        <v>45766</v>
      </c>
      <c r="AE77">
        <v>638593</v>
      </c>
    </row>
    <row r="78" spans="1:31" x14ac:dyDescent="0.3">
      <c r="A78" s="3" t="s">
        <v>492</v>
      </c>
      <c r="B78" s="4" t="s">
        <v>83</v>
      </c>
      <c r="C78" s="4" t="s">
        <v>184</v>
      </c>
      <c r="D78" s="52">
        <v>46098</v>
      </c>
      <c r="E78" s="48" t="s">
        <v>404</v>
      </c>
      <c r="F78" s="4" t="str">
        <f>TRIM(PROPER(Sales_Data!F78))</f>
        <v>Arjun Rao</v>
      </c>
      <c r="G78" s="4" t="s">
        <v>76</v>
      </c>
      <c r="H78" s="4" t="s">
        <v>494</v>
      </c>
      <c r="I78" s="4" t="s">
        <v>44</v>
      </c>
      <c r="J78" s="4" t="str">
        <f>PROPER(Sales_Data!J78)</f>
        <v>North</v>
      </c>
      <c r="K78" s="4" t="str">
        <f>PROPER(Sales_Data!K78)</f>
        <v>Electronics</v>
      </c>
      <c r="L78" s="4" t="s">
        <v>189</v>
      </c>
      <c r="M78" s="4">
        <v>18</v>
      </c>
      <c r="N78" s="4">
        <v>700</v>
      </c>
      <c r="O78" s="4">
        <v>5</v>
      </c>
      <c r="P78" s="4">
        <v>11970</v>
      </c>
      <c r="Q78" s="4">
        <v>3</v>
      </c>
      <c r="R78" s="4" t="s">
        <v>79</v>
      </c>
      <c r="S78" s="4" t="s">
        <v>115</v>
      </c>
      <c r="T78" s="4" t="s">
        <v>89</v>
      </c>
      <c r="U78" s="6" t="s">
        <v>495</v>
      </c>
      <c r="V78" s="4" t="s">
        <v>69</v>
      </c>
      <c r="AD78" s="57">
        <v>45767</v>
      </c>
      <c r="AE78">
        <v>103512</v>
      </c>
    </row>
    <row r="79" spans="1:31" x14ac:dyDescent="0.3">
      <c r="A79" s="7" t="s">
        <v>496</v>
      </c>
      <c r="B79" s="8" t="s">
        <v>221</v>
      </c>
      <c r="C79" s="8" t="s">
        <v>184</v>
      </c>
      <c r="D79" s="53">
        <v>45817</v>
      </c>
      <c r="E79" s="49" t="s">
        <v>498</v>
      </c>
      <c r="F79" s="4" t="str">
        <f>TRIM(PROPER(Sales_Data!F79))</f>
        <v>Vikas Mehta</v>
      </c>
      <c r="G79" s="8" t="s">
        <v>76</v>
      </c>
      <c r="H79" s="8" t="s">
        <v>499</v>
      </c>
      <c r="I79" s="8" t="s">
        <v>59</v>
      </c>
      <c r="J79" s="4" t="str">
        <f>PROPER(Sales_Data!J79)</f>
        <v>South</v>
      </c>
      <c r="K79" s="4" t="str">
        <f>PROPER(Sales_Data!K79)</f>
        <v>Electronics</v>
      </c>
      <c r="L79" s="8" t="s">
        <v>189</v>
      </c>
      <c r="M79" s="8">
        <v>12</v>
      </c>
      <c r="N79" s="8">
        <v>700</v>
      </c>
      <c r="O79" s="8">
        <v>15</v>
      </c>
      <c r="P79" s="8">
        <v>7140</v>
      </c>
      <c r="Q79" s="8">
        <v>2</v>
      </c>
      <c r="R79" s="8" t="s">
        <v>88</v>
      </c>
      <c r="S79" s="8" t="s">
        <v>49</v>
      </c>
      <c r="T79" s="8" t="s">
        <v>228</v>
      </c>
      <c r="U79" s="9" t="s">
        <v>500</v>
      </c>
      <c r="V79" s="8" t="s">
        <v>38</v>
      </c>
      <c r="AD79" s="57">
        <v>45768</v>
      </c>
      <c r="AE79">
        <v>1026</v>
      </c>
    </row>
    <row r="80" spans="1:31" x14ac:dyDescent="0.3">
      <c r="A80" s="3" t="s">
        <v>501</v>
      </c>
      <c r="B80" s="4" t="s">
        <v>71</v>
      </c>
      <c r="C80" s="4" t="s">
        <v>72</v>
      </c>
      <c r="D80" s="52">
        <v>45976</v>
      </c>
      <c r="E80" s="48" t="s">
        <v>503</v>
      </c>
      <c r="F80" s="4" t="str">
        <f>TRIM(PROPER(Sales_Data!F80))</f>
        <v>Mohit Verma</v>
      </c>
      <c r="G80" s="4" t="s">
        <v>76</v>
      </c>
      <c r="H80" s="4" t="s">
        <v>504</v>
      </c>
      <c r="I80" s="4" t="s">
        <v>105</v>
      </c>
      <c r="J80" s="4" t="str">
        <f>PROPER(Sales_Data!J80)</f>
        <v>West</v>
      </c>
      <c r="K80" s="4" t="str">
        <f>PROPER(Sales_Data!K80)</f>
        <v>Electronics</v>
      </c>
      <c r="L80" s="4" t="s">
        <v>78</v>
      </c>
      <c r="M80" s="4">
        <v>8</v>
      </c>
      <c r="N80" s="4">
        <v>1200</v>
      </c>
      <c r="O80" s="4">
        <v>0</v>
      </c>
      <c r="P80" s="4">
        <v>9600</v>
      </c>
      <c r="Q80" s="4">
        <v>4</v>
      </c>
      <c r="R80" s="4" t="s">
        <v>79</v>
      </c>
      <c r="S80" s="4" t="s">
        <v>49</v>
      </c>
      <c r="T80" s="4" t="s">
        <v>80</v>
      </c>
      <c r="U80" s="6" t="s">
        <v>505</v>
      </c>
      <c r="V80" s="4" t="s">
        <v>64</v>
      </c>
      <c r="AD80" s="57">
        <v>45769</v>
      </c>
      <c r="AE80">
        <v>136000</v>
      </c>
    </row>
    <row r="81" spans="1:31" x14ac:dyDescent="0.3">
      <c r="A81" s="7" t="s">
        <v>506</v>
      </c>
      <c r="B81" s="8" t="s">
        <v>127</v>
      </c>
      <c r="C81" s="8" t="s">
        <v>118</v>
      </c>
      <c r="D81" s="53">
        <v>45967</v>
      </c>
      <c r="E81" s="49" t="s">
        <v>508</v>
      </c>
      <c r="F81" s="4" t="str">
        <f>TRIM(PROPER(Sales_Data!F81))</f>
        <v>Rohit Singh</v>
      </c>
      <c r="G81" s="8" t="s">
        <v>76</v>
      </c>
      <c r="H81" s="8" t="s">
        <v>509</v>
      </c>
      <c r="I81" s="8" t="s">
        <v>114</v>
      </c>
      <c r="J81" s="4" t="str">
        <f>PROPER(Sales_Data!J81)</f>
        <v>West</v>
      </c>
      <c r="K81" s="4" t="str">
        <f>PROPER(Sales_Data!K81)</f>
        <v>Stationery</v>
      </c>
      <c r="L81" s="8" t="s">
        <v>123</v>
      </c>
      <c r="M81" s="8">
        <v>2</v>
      </c>
      <c r="N81" s="8">
        <v>60</v>
      </c>
      <c r="O81" s="8">
        <v>0</v>
      </c>
      <c r="P81" s="8">
        <v>120</v>
      </c>
      <c r="Q81" s="8">
        <v>2</v>
      </c>
      <c r="R81" s="8" t="s">
        <v>88</v>
      </c>
      <c r="S81" s="8" t="s">
        <v>49</v>
      </c>
      <c r="T81" s="8" t="s">
        <v>132</v>
      </c>
      <c r="U81" s="9" t="s">
        <v>510</v>
      </c>
      <c r="V81" s="8" t="s">
        <v>38</v>
      </c>
      <c r="AD81" s="57">
        <v>45770</v>
      </c>
      <c r="AE81">
        <v>3360</v>
      </c>
    </row>
    <row r="82" spans="1:31" x14ac:dyDescent="0.3">
      <c r="A82" s="3" t="s">
        <v>511</v>
      </c>
      <c r="B82" s="4" t="s">
        <v>327</v>
      </c>
      <c r="C82" s="4" t="s">
        <v>259</v>
      </c>
      <c r="D82" s="52">
        <v>45658</v>
      </c>
      <c r="E82" s="48" t="s">
        <v>513</v>
      </c>
      <c r="F82" s="4" t="str">
        <f>TRIM(PROPER(Sales_Data!F82))</f>
        <v>Amit Sharma</v>
      </c>
      <c r="G82" s="4" t="s">
        <v>76</v>
      </c>
      <c r="H82" s="4" t="s">
        <v>514</v>
      </c>
      <c r="I82" s="4" t="s">
        <v>114</v>
      </c>
      <c r="J82" s="4" t="str">
        <f>PROPER(Sales_Data!J82)</f>
        <v>West</v>
      </c>
      <c r="K82" s="4" t="str">
        <f>PROPER(Sales_Data!K82)</f>
        <v>Stationery</v>
      </c>
      <c r="L82" s="4" t="s">
        <v>263</v>
      </c>
      <c r="M82" s="4">
        <v>10</v>
      </c>
      <c r="N82" s="4">
        <v>45</v>
      </c>
      <c r="O82" s="4">
        <v>15</v>
      </c>
      <c r="P82" s="4">
        <v>382.5</v>
      </c>
      <c r="Q82" s="4">
        <v>3</v>
      </c>
      <c r="R82" s="4" t="s">
        <v>48</v>
      </c>
      <c r="S82" s="4" t="s">
        <v>35</v>
      </c>
      <c r="T82" s="4" t="s">
        <v>332</v>
      </c>
      <c r="U82" s="6" t="s">
        <v>515</v>
      </c>
      <c r="V82" s="4" t="s">
        <v>69</v>
      </c>
      <c r="AD82" s="57">
        <v>45772</v>
      </c>
      <c r="AE82">
        <v>33542</v>
      </c>
    </row>
    <row r="83" spans="1:31" x14ac:dyDescent="0.3">
      <c r="A83" s="7" t="s">
        <v>516</v>
      </c>
      <c r="B83" s="8" t="s">
        <v>221</v>
      </c>
      <c r="C83" s="8" t="s">
        <v>92</v>
      </c>
      <c r="D83" s="53">
        <v>46137</v>
      </c>
      <c r="E83" s="49" t="s">
        <v>518</v>
      </c>
      <c r="F83" s="4" t="str">
        <f>TRIM(PROPER(Sales_Data!F83))</f>
        <v>Vikas Mehta</v>
      </c>
      <c r="G83" s="8" t="s">
        <v>76</v>
      </c>
      <c r="H83" s="8" t="s">
        <v>519</v>
      </c>
      <c r="I83" s="8" t="s">
        <v>294</v>
      </c>
      <c r="J83" s="4" t="str">
        <f>PROPER(Sales_Data!J83)</f>
        <v>East</v>
      </c>
      <c r="K83" s="4" t="str">
        <f>PROPER(Sales_Data!K83)</f>
        <v>Home Appliances</v>
      </c>
      <c r="L83" s="8" t="s">
        <v>97</v>
      </c>
      <c r="M83" s="8">
        <v>12</v>
      </c>
      <c r="N83" s="8">
        <v>3500</v>
      </c>
      <c r="O83" s="8">
        <v>5</v>
      </c>
      <c r="P83" s="8">
        <v>39900</v>
      </c>
      <c r="Q83" s="8">
        <v>3</v>
      </c>
      <c r="R83" s="8" t="s">
        <v>48</v>
      </c>
      <c r="S83" s="8" t="s">
        <v>61</v>
      </c>
      <c r="T83" s="8" t="s">
        <v>228</v>
      </c>
      <c r="U83" s="9" t="s">
        <v>520</v>
      </c>
      <c r="V83" s="8" t="s">
        <v>64</v>
      </c>
      <c r="AD83" s="57">
        <v>45773</v>
      </c>
      <c r="AE83">
        <v>5600</v>
      </c>
    </row>
    <row r="84" spans="1:31" x14ac:dyDescent="0.3">
      <c r="A84" s="3" t="s">
        <v>521</v>
      </c>
      <c r="B84" s="4" t="s">
        <v>127</v>
      </c>
      <c r="C84" s="4" t="s">
        <v>118</v>
      </c>
      <c r="D84" s="52">
        <v>45919</v>
      </c>
      <c r="E84" s="48" t="s">
        <v>73</v>
      </c>
      <c r="F84" s="4" t="str">
        <f>TRIM(PROPER(Sales_Data!F84))</f>
        <v>Rohit Singh</v>
      </c>
      <c r="G84" s="4" t="s">
        <v>76</v>
      </c>
      <c r="H84" s="4" t="s">
        <v>522</v>
      </c>
      <c r="I84" s="4" t="s">
        <v>105</v>
      </c>
      <c r="J84" s="4" t="str">
        <f>PROPER(Sales_Data!J84)</f>
        <v>West</v>
      </c>
      <c r="K84" s="4" t="str">
        <f>PROPER(Sales_Data!K84)</f>
        <v>Stationery</v>
      </c>
      <c r="L84" s="4" t="s">
        <v>123</v>
      </c>
      <c r="M84" s="4">
        <v>2</v>
      </c>
      <c r="N84" s="4">
        <v>60</v>
      </c>
      <c r="O84" s="4">
        <v>15</v>
      </c>
      <c r="P84" s="4">
        <v>102</v>
      </c>
      <c r="Q84" s="4">
        <v>1</v>
      </c>
      <c r="R84" s="4" t="s">
        <v>88</v>
      </c>
      <c r="S84" s="4" t="s">
        <v>115</v>
      </c>
      <c r="T84" s="4" t="s">
        <v>132</v>
      </c>
      <c r="U84" s="6" t="s">
        <v>523</v>
      </c>
      <c r="V84" s="4" t="s">
        <v>38</v>
      </c>
      <c r="AD84" s="57">
        <v>45774</v>
      </c>
      <c r="AE84">
        <v>808016</v>
      </c>
    </row>
    <row r="85" spans="1:31" x14ac:dyDescent="0.3">
      <c r="A85" s="7" t="s">
        <v>524</v>
      </c>
      <c r="B85" s="8" t="s">
        <v>127</v>
      </c>
      <c r="C85" s="8" t="s">
        <v>72</v>
      </c>
      <c r="D85" s="53">
        <v>45734</v>
      </c>
      <c r="E85" s="49" t="s">
        <v>526</v>
      </c>
      <c r="F85" s="4" t="str">
        <f>TRIM(PROPER(Sales_Data!F85))</f>
        <v>Rohit Singh</v>
      </c>
      <c r="G85" s="8" t="s">
        <v>76</v>
      </c>
      <c r="H85" s="8" t="s">
        <v>527</v>
      </c>
      <c r="I85" s="8" t="s">
        <v>30</v>
      </c>
      <c r="J85" s="4" t="str">
        <f>PROPER(Sales_Data!J85)</f>
        <v>South</v>
      </c>
      <c r="K85" s="4" t="str">
        <f>PROPER(Sales_Data!K85)</f>
        <v>Electronics</v>
      </c>
      <c r="L85" s="8" t="s">
        <v>78</v>
      </c>
      <c r="M85" s="8">
        <v>18</v>
      </c>
      <c r="N85" s="8">
        <v>1200</v>
      </c>
      <c r="O85" s="8">
        <v>15</v>
      </c>
      <c r="P85" s="8">
        <v>18360</v>
      </c>
      <c r="Q85" s="8">
        <v>3</v>
      </c>
      <c r="R85" s="8" t="s">
        <v>79</v>
      </c>
      <c r="S85" s="8" t="s">
        <v>115</v>
      </c>
      <c r="T85" s="8" t="s">
        <v>132</v>
      </c>
      <c r="U85" s="9" t="s">
        <v>528</v>
      </c>
      <c r="V85" s="8" t="s">
        <v>64</v>
      </c>
      <c r="AD85" s="57">
        <v>45775</v>
      </c>
      <c r="AE85">
        <v>33126</v>
      </c>
    </row>
    <row r="86" spans="1:31" x14ac:dyDescent="0.3">
      <c r="A86" s="3" t="s">
        <v>529</v>
      </c>
      <c r="B86" s="4" t="s">
        <v>23</v>
      </c>
      <c r="C86" s="4" t="s">
        <v>40</v>
      </c>
      <c r="D86" s="52">
        <v>45960</v>
      </c>
      <c r="E86" s="48" t="s">
        <v>531</v>
      </c>
      <c r="F86" s="4" t="str">
        <f>TRIM(PROPER(Sales_Data!F86))</f>
        <v>Kavya Nair</v>
      </c>
      <c r="G86" s="4" t="s">
        <v>28</v>
      </c>
      <c r="H86" s="4" t="s">
        <v>532</v>
      </c>
      <c r="I86" s="4" t="s">
        <v>105</v>
      </c>
      <c r="J86" s="4" t="str">
        <f>PROPER(Sales_Data!J86)</f>
        <v>West</v>
      </c>
      <c r="K86" s="4" t="str">
        <f>PROPER(Sales_Data!K86)</f>
        <v>Electronics</v>
      </c>
      <c r="L86" s="4" t="s">
        <v>47</v>
      </c>
      <c r="M86" s="4">
        <v>18</v>
      </c>
      <c r="N86" s="4">
        <v>12000</v>
      </c>
      <c r="O86" s="4">
        <v>15</v>
      </c>
      <c r="P86" s="4">
        <v>183600</v>
      </c>
      <c r="Q86" s="4">
        <v>2</v>
      </c>
      <c r="R86" s="4" t="s">
        <v>34</v>
      </c>
      <c r="S86" s="4" t="s">
        <v>49</v>
      </c>
      <c r="T86" s="4" t="s">
        <v>50</v>
      </c>
      <c r="U86" s="6" t="s">
        <v>533</v>
      </c>
      <c r="V86" s="4" t="s">
        <v>38</v>
      </c>
      <c r="AD86" s="57">
        <v>45777</v>
      </c>
      <c r="AE86">
        <v>21660</v>
      </c>
    </row>
    <row r="87" spans="1:31" x14ac:dyDescent="0.3">
      <c r="A87" s="7" t="s">
        <v>534</v>
      </c>
      <c r="B87" s="8" t="s">
        <v>83</v>
      </c>
      <c r="C87" s="8" t="s">
        <v>222</v>
      </c>
      <c r="D87" s="53">
        <v>45961</v>
      </c>
      <c r="E87" s="49" t="s">
        <v>535</v>
      </c>
      <c r="F87" s="4" t="str">
        <f>TRIM(PROPER(Sales_Data!F87))</f>
        <v>Arjun Rao</v>
      </c>
      <c r="G87" s="8" t="s">
        <v>76</v>
      </c>
      <c r="H87" s="8" t="s">
        <v>536</v>
      </c>
      <c r="I87" s="8" t="s">
        <v>138</v>
      </c>
      <c r="J87" s="4" t="str">
        <f>PROPER(Sales_Data!J87)</f>
        <v>West</v>
      </c>
      <c r="K87" s="4" t="str">
        <f>PROPER(Sales_Data!K87)</f>
        <v>Stationery</v>
      </c>
      <c r="L87" s="8" t="s">
        <v>227</v>
      </c>
      <c r="M87" s="8">
        <v>7</v>
      </c>
      <c r="N87" s="8">
        <v>20</v>
      </c>
      <c r="O87" s="8">
        <v>0</v>
      </c>
      <c r="P87" s="8">
        <v>140</v>
      </c>
      <c r="Q87" s="8">
        <v>2</v>
      </c>
      <c r="R87" s="8" t="s">
        <v>79</v>
      </c>
      <c r="S87" s="8" t="s">
        <v>35</v>
      </c>
      <c r="T87" s="8" t="s">
        <v>89</v>
      </c>
      <c r="U87" s="9" t="s">
        <v>537</v>
      </c>
      <c r="V87" s="8" t="s">
        <v>69</v>
      </c>
      <c r="AD87" s="57">
        <v>45779</v>
      </c>
      <c r="AE87">
        <v>4800</v>
      </c>
    </row>
    <row r="88" spans="1:31" x14ac:dyDescent="0.3">
      <c r="A88" s="3" t="s">
        <v>538</v>
      </c>
      <c r="B88" s="4" t="s">
        <v>251</v>
      </c>
      <c r="C88" s="4" t="s">
        <v>92</v>
      </c>
      <c r="D88" s="52">
        <v>45757</v>
      </c>
      <c r="E88" s="48" t="s">
        <v>539</v>
      </c>
      <c r="F88" s="4" t="str">
        <f>TRIM(PROPER(Sales_Data!F88))</f>
        <v>Sneha Joshi</v>
      </c>
      <c r="G88" s="4" t="s">
        <v>28</v>
      </c>
      <c r="H88" s="4" t="s">
        <v>540</v>
      </c>
      <c r="I88" s="4" t="s">
        <v>114</v>
      </c>
      <c r="J88" s="4" t="str">
        <f>PROPER(Sales_Data!J88)</f>
        <v>West</v>
      </c>
      <c r="K88" s="4" t="str">
        <f>PROPER(Sales_Data!K88)</f>
        <v>Home Appliances</v>
      </c>
      <c r="L88" s="4" t="s">
        <v>97</v>
      </c>
      <c r="M88" s="4">
        <v>20</v>
      </c>
      <c r="N88" s="4">
        <v>3500</v>
      </c>
      <c r="O88" s="4">
        <v>20</v>
      </c>
      <c r="P88" s="4">
        <v>56000</v>
      </c>
      <c r="Q88" s="4">
        <v>4</v>
      </c>
      <c r="R88" s="4" t="s">
        <v>79</v>
      </c>
      <c r="S88" s="4" t="s">
        <v>115</v>
      </c>
      <c r="T88" s="4" t="s">
        <v>256</v>
      </c>
      <c r="U88" s="6" t="s">
        <v>541</v>
      </c>
      <c r="V88" s="4" t="s">
        <v>64</v>
      </c>
      <c r="AD88" s="57">
        <v>45780</v>
      </c>
      <c r="AE88">
        <v>2322</v>
      </c>
    </row>
    <row r="89" spans="1:31" x14ac:dyDescent="0.3">
      <c r="A89" s="7" t="s">
        <v>542</v>
      </c>
      <c r="B89" s="8" t="s">
        <v>100</v>
      </c>
      <c r="C89" s="8" t="s">
        <v>169</v>
      </c>
      <c r="D89" s="53">
        <v>46097</v>
      </c>
      <c r="E89" s="49" t="s">
        <v>544</v>
      </c>
      <c r="F89" s="4" t="str">
        <f>TRIM(PROPER(Sales_Data!F89))</f>
        <v>Priya Patel</v>
      </c>
      <c r="G89" s="8" t="s">
        <v>28</v>
      </c>
      <c r="H89" s="8" t="s">
        <v>545</v>
      </c>
      <c r="I89" s="8" t="s">
        <v>138</v>
      </c>
      <c r="J89" s="4" t="str">
        <f>PROPER(Sales_Data!J89)</f>
        <v>West</v>
      </c>
      <c r="K89" s="4" t="str">
        <f>PROPER(Sales_Data!K89)</f>
        <v>Home Appliances</v>
      </c>
      <c r="L89" s="8" t="s">
        <v>174</v>
      </c>
      <c r="M89" s="8">
        <v>8</v>
      </c>
      <c r="N89" s="8">
        <v>8500</v>
      </c>
      <c r="O89" s="8">
        <v>20</v>
      </c>
      <c r="P89" s="8">
        <v>54400</v>
      </c>
      <c r="Q89" s="8">
        <v>3</v>
      </c>
      <c r="R89" s="8" t="s">
        <v>79</v>
      </c>
      <c r="S89" s="8" t="s">
        <v>115</v>
      </c>
      <c r="T89" s="8" t="s">
        <v>144</v>
      </c>
      <c r="U89" s="9" t="s">
        <v>546</v>
      </c>
      <c r="V89" s="8" t="s">
        <v>64</v>
      </c>
      <c r="AD89" s="57">
        <v>45781</v>
      </c>
      <c r="AE89">
        <v>378</v>
      </c>
    </row>
    <row r="90" spans="1:31" x14ac:dyDescent="0.3">
      <c r="A90" s="3" t="s">
        <v>547</v>
      </c>
      <c r="B90" s="4" t="s">
        <v>327</v>
      </c>
      <c r="C90" s="4" t="s">
        <v>40</v>
      </c>
      <c r="D90" s="52">
        <v>45915</v>
      </c>
      <c r="E90" s="48" t="s">
        <v>549</v>
      </c>
      <c r="F90" s="4" t="str">
        <f>TRIM(PROPER(Sales_Data!F90))</f>
        <v>Amit Sharma</v>
      </c>
      <c r="G90" s="4" t="s">
        <v>76</v>
      </c>
      <c r="H90" s="4" t="s">
        <v>550</v>
      </c>
      <c r="I90" s="4" t="s">
        <v>138</v>
      </c>
      <c r="J90" s="4" t="str">
        <f>PROPER(Sales_Data!J90)</f>
        <v>North</v>
      </c>
      <c r="K90" s="4" t="str">
        <f>PROPER(Sales_Data!K90)</f>
        <v>Electronics</v>
      </c>
      <c r="L90" s="4" t="s">
        <v>47</v>
      </c>
      <c r="M90" s="4">
        <v>6</v>
      </c>
      <c r="N90" s="4">
        <v>12000</v>
      </c>
      <c r="O90" s="4">
        <v>5</v>
      </c>
      <c r="P90" s="4">
        <v>68400</v>
      </c>
      <c r="Q90" s="4">
        <v>4</v>
      </c>
      <c r="R90" s="4" t="s">
        <v>48</v>
      </c>
      <c r="S90" s="4" t="s">
        <v>35</v>
      </c>
      <c r="T90" s="4" t="s">
        <v>332</v>
      </c>
      <c r="U90" s="6" t="s">
        <v>552</v>
      </c>
      <c r="V90" s="4" t="s">
        <v>38</v>
      </c>
      <c r="AD90" s="57">
        <v>45785</v>
      </c>
      <c r="AE90">
        <v>679250</v>
      </c>
    </row>
    <row r="91" spans="1:31" x14ac:dyDescent="0.3">
      <c r="A91" s="7" t="s">
        <v>553</v>
      </c>
      <c r="B91" s="8" t="s">
        <v>23</v>
      </c>
      <c r="C91" s="8" t="s">
        <v>169</v>
      </c>
      <c r="D91" s="53">
        <v>46092</v>
      </c>
      <c r="E91" s="49" t="s">
        <v>404</v>
      </c>
      <c r="F91" s="4" t="str">
        <f>TRIM(PROPER(Sales_Data!F91))</f>
        <v>Kavya Nair</v>
      </c>
      <c r="G91" s="8" t="s">
        <v>28</v>
      </c>
      <c r="H91" s="8" t="s">
        <v>555</v>
      </c>
      <c r="I91" s="8" t="s">
        <v>114</v>
      </c>
      <c r="J91" s="4" t="str">
        <f>PROPER(Sales_Data!J91)</f>
        <v>West</v>
      </c>
      <c r="K91" s="4" t="str">
        <f>PROPER(Sales_Data!K91)</f>
        <v>Home Appliances</v>
      </c>
      <c r="L91" s="8" t="s">
        <v>174</v>
      </c>
      <c r="M91" s="8">
        <v>15</v>
      </c>
      <c r="N91" s="8">
        <v>8500</v>
      </c>
      <c r="O91" s="8">
        <v>0</v>
      </c>
      <c r="P91" s="8">
        <v>127500</v>
      </c>
      <c r="Q91" s="8">
        <v>4</v>
      </c>
      <c r="R91" s="8" t="s">
        <v>48</v>
      </c>
      <c r="S91" s="8" t="s">
        <v>35</v>
      </c>
      <c r="T91" s="8" t="s">
        <v>50</v>
      </c>
      <c r="U91" s="9" t="s">
        <v>556</v>
      </c>
      <c r="V91" s="8" t="s">
        <v>69</v>
      </c>
      <c r="AD91" s="57">
        <v>45786</v>
      </c>
      <c r="AE91">
        <v>999999</v>
      </c>
    </row>
    <row r="92" spans="1:31" x14ac:dyDescent="0.3">
      <c r="A92" s="3" t="s">
        <v>557</v>
      </c>
      <c r="B92" s="4" t="s">
        <v>53</v>
      </c>
      <c r="C92" s="4" t="s">
        <v>72</v>
      </c>
      <c r="D92" s="52">
        <v>45889</v>
      </c>
      <c r="E92" s="48" t="s">
        <v>377</v>
      </c>
      <c r="F92" s="4" t="str">
        <f>TRIM(PROPER(Sales_Data!F92))</f>
        <v>Pooja Shah</v>
      </c>
      <c r="G92" s="4" t="s">
        <v>28</v>
      </c>
      <c r="H92" s="4" t="s">
        <v>559</v>
      </c>
      <c r="I92" s="4" t="s">
        <v>212</v>
      </c>
      <c r="J92" s="4" t="str">
        <f>PROPER(Sales_Data!J92)</f>
        <v>North</v>
      </c>
      <c r="K92" s="4" t="str">
        <f>PROPER(Sales_Data!K92)</f>
        <v>Electronics</v>
      </c>
      <c r="L92" s="4" t="s">
        <v>78</v>
      </c>
      <c r="M92" s="4">
        <v>5</v>
      </c>
      <c r="N92" s="4">
        <v>1200</v>
      </c>
      <c r="O92" s="4">
        <v>15</v>
      </c>
      <c r="P92" s="4">
        <v>5100</v>
      </c>
      <c r="Q92" s="4">
        <v>1</v>
      </c>
      <c r="R92" s="4" t="s">
        <v>48</v>
      </c>
      <c r="S92" s="4" t="s">
        <v>35</v>
      </c>
      <c r="T92" s="4" t="s">
        <v>62</v>
      </c>
      <c r="U92" s="6" t="s">
        <v>560</v>
      </c>
      <c r="V92" s="4" t="s">
        <v>69</v>
      </c>
      <c r="AD92" s="57">
        <v>45788</v>
      </c>
      <c r="AE92">
        <v>85.5</v>
      </c>
    </row>
    <row r="93" spans="1:31" x14ac:dyDescent="0.3">
      <c r="A93" s="7" t="s">
        <v>561</v>
      </c>
      <c r="B93" s="8" t="s">
        <v>53</v>
      </c>
      <c r="C93" s="8" t="s">
        <v>222</v>
      </c>
      <c r="D93" s="53">
        <v>45882</v>
      </c>
      <c r="E93" s="49" t="s">
        <v>563</v>
      </c>
      <c r="F93" s="4" t="str">
        <f>TRIM(PROPER(Sales_Data!F93))</f>
        <v>Pooja Shah</v>
      </c>
      <c r="G93" s="8" t="s">
        <v>28</v>
      </c>
      <c r="H93" s="8" t="s">
        <v>564</v>
      </c>
      <c r="I93" s="8" t="s">
        <v>30</v>
      </c>
      <c r="J93" s="4" t="str">
        <f>PROPER(Sales_Data!J93)</f>
        <v>South</v>
      </c>
      <c r="K93" s="4" t="str">
        <f>PROPER(Sales_Data!K93)</f>
        <v>Stationery</v>
      </c>
      <c r="L93" s="8" t="s">
        <v>227</v>
      </c>
      <c r="M93" s="8">
        <v>4</v>
      </c>
      <c r="N93" s="8">
        <v>20</v>
      </c>
      <c r="O93" s="8">
        <v>0</v>
      </c>
      <c r="P93" s="8">
        <v>80</v>
      </c>
      <c r="Q93" s="8">
        <v>4</v>
      </c>
      <c r="R93" s="8" t="s">
        <v>48</v>
      </c>
      <c r="S93" s="8" t="s">
        <v>49</v>
      </c>
      <c r="T93" s="8" t="s">
        <v>62</v>
      </c>
      <c r="U93" s="9" t="s">
        <v>565</v>
      </c>
      <c r="V93" s="8" t="s">
        <v>38</v>
      </c>
      <c r="AD93" s="57">
        <v>45789</v>
      </c>
      <c r="AE93">
        <v>47600</v>
      </c>
    </row>
    <row r="94" spans="1:31" x14ac:dyDescent="0.3">
      <c r="A94" s="3" t="s">
        <v>566</v>
      </c>
      <c r="B94" s="4" t="s">
        <v>23</v>
      </c>
      <c r="C94" s="4" t="s">
        <v>222</v>
      </c>
      <c r="D94" s="52">
        <v>45732</v>
      </c>
      <c r="E94" s="48" t="s">
        <v>568</v>
      </c>
      <c r="F94" s="4" t="str">
        <f>TRIM(PROPER(Sales_Data!F94))</f>
        <v>Kavya Nair</v>
      </c>
      <c r="G94" s="4" t="s">
        <v>28</v>
      </c>
      <c r="H94" s="4" t="s">
        <v>569</v>
      </c>
      <c r="I94" s="4" t="s">
        <v>59</v>
      </c>
      <c r="J94" s="4" t="str">
        <f>PROPER(Sales_Data!J94)</f>
        <v>South</v>
      </c>
      <c r="K94" s="4" t="str">
        <f>PROPER(Sales_Data!K94)</f>
        <v>Stationery</v>
      </c>
      <c r="L94" s="4" t="s">
        <v>227</v>
      </c>
      <c r="M94" s="4">
        <v>10</v>
      </c>
      <c r="N94" s="4">
        <v>20</v>
      </c>
      <c r="O94" s="4">
        <v>0</v>
      </c>
      <c r="P94" s="4">
        <v>200</v>
      </c>
      <c r="Q94" s="4">
        <v>3</v>
      </c>
      <c r="R94" s="4" t="s">
        <v>34</v>
      </c>
      <c r="S94" s="4" t="s">
        <v>151</v>
      </c>
      <c r="T94" s="4" t="s">
        <v>50</v>
      </c>
      <c r="U94" s="6" t="s">
        <v>570</v>
      </c>
      <c r="V94" s="4" t="s">
        <v>64</v>
      </c>
      <c r="AD94" s="57">
        <v>45790</v>
      </c>
      <c r="AE94">
        <v>15360</v>
      </c>
    </row>
    <row r="95" spans="1:31" x14ac:dyDescent="0.3">
      <c r="A95" s="7" t="s">
        <v>571</v>
      </c>
      <c r="B95" s="8" t="s">
        <v>168</v>
      </c>
      <c r="C95" s="8" t="s">
        <v>24</v>
      </c>
      <c r="D95" s="53">
        <v>45904</v>
      </c>
      <c r="E95" s="49" t="s">
        <v>573</v>
      </c>
      <c r="F95" s="4" t="str">
        <f>TRIM(PROPER(Sales_Data!F95))</f>
        <v>Anita Gupta</v>
      </c>
      <c r="G95" s="8" t="s">
        <v>28</v>
      </c>
      <c r="H95" s="8" t="s">
        <v>574</v>
      </c>
      <c r="I95" s="8" t="s">
        <v>44</v>
      </c>
      <c r="J95" s="4" t="str">
        <f>PROPER(Sales_Data!J95)</f>
        <v>North</v>
      </c>
      <c r="K95" s="4" t="str">
        <f>PROPER(Sales_Data!K95)</f>
        <v>Home Appliances</v>
      </c>
      <c r="L95" s="8" t="s">
        <v>33</v>
      </c>
      <c r="M95" s="8">
        <v>18</v>
      </c>
      <c r="N95" s="8">
        <v>2200</v>
      </c>
      <c r="O95" s="8">
        <v>10</v>
      </c>
      <c r="P95" s="8">
        <v>35640</v>
      </c>
      <c r="Q95" s="8">
        <v>3</v>
      </c>
      <c r="R95" s="8" t="s">
        <v>34</v>
      </c>
      <c r="S95" s="8" t="s">
        <v>35</v>
      </c>
      <c r="T95" s="8" t="s">
        <v>175</v>
      </c>
      <c r="U95" s="9" t="s">
        <v>575</v>
      </c>
      <c r="V95" s="8" t="s">
        <v>69</v>
      </c>
      <c r="AD95" s="57">
        <v>45791</v>
      </c>
      <c r="AE95">
        <v>68</v>
      </c>
    </row>
    <row r="96" spans="1:31" x14ac:dyDescent="0.3">
      <c r="A96" s="3" t="s">
        <v>576</v>
      </c>
      <c r="B96" s="4" t="s">
        <v>327</v>
      </c>
      <c r="C96" s="4" t="s">
        <v>92</v>
      </c>
      <c r="D96" s="52">
        <v>45759</v>
      </c>
      <c r="E96" s="48" t="s">
        <v>578</v>
      </c>
      <c r="F96" s="4" t="str">
        <f>TRIM(PROPER(Sales_Data!F96))</f>
        <v>Amit Sharma</v>
      </c>
      <c r="G96" s="4" t="s">
        <v>76</v>
      </c>
      <c r="H96" s="4" t="s">
        <v>579</v>
      </c>
      <c r="I96" s="4" t="s">
        <v>44</v>
      </c>
      <c r="J96" s="4" t="str">
        <f>PROPER(Sales_Data!J96)</f>
        <v>North</v>
      </c>
      <c r="K96" s="4" t="str">
        <f>PROPER(Sales_Data!K96)</f>
        <v>Home Appliances</v>
      </c>
      <c r="L96" s="4" t="s">
        <v>97</v>
      </c>
      <c r="M96" s="4">
        <v>7</v>
      </c>
      <c r="N96" s="4">
        <v>3500</v>
      </c>
      <c r="O96" s="4">
        <v>15</v>
      </c>
      <c r="P96" s="4">
        <v>20825</v>
      </c>
      <c r="Q96" s="4">
        <v>3</v>
      </c>
      <c r="R96" s="4" t="s">
        <v>48</v>
      </c>
      <c r="S96" s="4" t="s">
        <v>49</v>
      </c>
      <c r="T96" s="4" t="s">
        <v>332</v>
      </c>
      <c r="U96" s="6" t="s">
        <v>580</v>
      </c>
      <c r="V96" s="4" t="s">
        <v>38</v>
      </c>
      <c r="AD96" s="57">
        <v>45792</v>
      </c>
      <c r="AE96">
        <v>43732.5</v>
      </c>
    </row>
    <row r="97" spans="1:31" x14ac:dyDescent="0.3">
      <c r="A97" s="7" t="s">
        <v>581</v>
      </c>
      <c r="B97" s="8" t="s">
        <v>100</v>
      </c>
      <c r="C97" s="8" t="s">
        <v>169</v>
      </c>
      <c r="D97" s="53">
        <v>46146</v>
      </c>
      <c r="E97" s="49" t="s">
        <v>583</v>
      </c>
      <c r="F97" s="4" t="str">
        <f>TRIM(PROPER(Sales_Data!F97))</f>
        <v>Priya Patel</v>
      </c>
      <c r="G97" s="8" t="s">
        <v>28</v>
      </c>
      <c r="H97" s="8" t="s">
        <v>584</v>
      </c>
      <c r="I97" s="8" t="s">
        <v>294</v>
      </c>
      <c r="J97" s="4" t="str">
        <f>PROPER(Sales_Data!J97)</f>
        <v>East</v>
      </c>
      <c r="K97" s="4" t="str">
        <f>PROPER(Sales_Data!K97)</f>
        <v>Home Appliances</v>
      </c>
      <c r="L97" s="8" t="s">
        <v>174</v>
      </c>
      <c r="M97" s="8">
        <v>19</v>
      </c>
      <c r="N97" s="8">
        <v>8500</v>
      </c>
      <c r="O97" s="8">
        <v>15</v>
      </c>
      <c r="P97" s="8">
        <v>137275</v>
      </c>
      <c r="Q97" s="8">
        <v>4</v>
      </c>
      <c r="R97" s="8" t="s">
        <v>79</v>
      </c>
      <c r="S97" s="8" t="s">
        <v>151</v>
      </c>
      <c r="T97" s="8" t="s">
        <v>144</v>
      </c>
      <c r="U97" s="9" t="s">
        <v>585</v>
      </c>
      <c r="V97" s="8" t="s">
        <v>64</v>
      </c>
      <c r="AD97" s="57">
        <v>45793</v>
      </c>
      <c r="AE97">
        <v>585</v>
      </c>
    </row>
    <row r="98" spans="1:31" x14ac:dyDescent="0.3">
      <c r="A98" s="3" t="s">
        <v>586</v>
      </c>
      <c r="B98" s="4" t="s">
        <v>251</v>
      </c>
      <c r="C98" s="4" t="s">
        <v>40</v>
      </c>
      <c r="D98" s="52">
        <v>46040</v>
      </c>
      <c r="E98" s="48" t="s">
        <v>588</v>
      </c>
      <c r="F98" s="4" t="str">
        <f>TRIM(PROPER(Sales_Data!F98))</f>
        <v>Sneha Joshi</v>
      </c>
      <c r="G98" s="4" t="s">
        <v>28</v>
      </c>
      <c r="H98" s="4" t="s">
        <v>589</v>
      </c>
      <c r="I98" s="4" t="s">
        <v>138</v>
      </c>
      <c r="J98" s="4" t="str">
        <f>PROPER(Sales_Data!J98)</f>
        <v>West</v>
      </c>
      <c r="K98" s="4" t="str">
        <f>PROPER(Sales_Data!K98)</f>
        <v>Electronics</v>
      </c>
      <c r="L98" s="4" t="s">
        <v>47</v>
      </c>
      <c r="M98" s="4">
        <v>13</v>
      </c>
      <c r="N98" s="4">
        <v>12000</v>
      </c>
      <c r="O98" s="4">
        <v>15</v>
      </c>
      <c r="P98" s="4">
        <v>132600</v>
      </c>
      <c r="Q98" s="4">
        <v>4</v>
      </c>
      <c r="R98" s="4" t="s">
        <v>34</v>
      </c>
      <c r="S98" s="4" t="s">
        <v>49</v>
      </c>
      <c r="T98" s="4" t="s">
        <v>256</v>
      </c>
      <c r="U98" s="6" t="s">
        <v>590</v>
      </c>
      <c r="V98" s="4" t="s">
        <v>38</v>
      </c>
      <c r="AD98" s="57">
        <v>45795</v>
      </c>
      <c r="AE98">
        <v>144640</v>
      </c>
    </row>
    <row r="99" spans="1:31" x14ac:dyDescent="0.3">
      <c r="A99" s="7" t="s">
        <v>591</v>
      </c>
      <c r="B99" s="8" t="s">
        <v>327</v>
      </c>
      <c r="C99" s="8" t="s">
        <v>222</v>
      </c>
      <c r="D99" s="53">
        <v>46095</v>
      </c>
      <c r="E99" s="49" t="s">
        <v>398</v>
      </c>
      <c r="F99" s="4" t="str">
        <f>TRIM(PROPER(Sales_Data!F99))</f>
        <v>Amit Sharma</v>
      </c>
      <c r="G99" s="8" t="s">
        <v>76</v>
      </c>
      <c r="H99" s="8" t="s">
        <v>593</v>
      </c>
      <c r="I99" s="8" t="s">
        <v>114</v>
      </c>
      <c r="J99" s="4" t="str">
        <f>PROPER(Sales_Data!J99)</f>
        <v>West</v>
      </c>
      <c r="K99" s="4" t="str">
        <f>PROPER(Sales_Data!K99)</f>
        <v>Stationery</v>
      </c>
      <c r="L99" s="8" t="s">
        <v>227</v>
      </c>
      <c r="M99" s="8">
        <v>7</v>
      </c>
      <c r="N99" s="8">
        <v>20</v>
      </c>
      <c r="O99" s="8">
        <v>0</v>
      </c>
      <c r="P99" s="8">
        <v>140</v>
      </c>
      <c r="Q99" s="8">
        <v>1</v>
      </c>
      <c r="R99" s="8" t="s">
        <v>79</v>
      </c>
      <c r="S99" s="8" t="s">
        <v>151</v>
      </c>
      <c r="T99" s="8" t="s">
        <v>332</v>
      </c>
      <c r="U99" s="9" t="s">
        <v>594</v>
      </c>
      <c r="V99" s="8" t="s">
        <v>69</v>
      </c>
      <c r="AD99" s="57">
        <v>45796</v>
      </c>
      <c r="AE99">
        <v>304</v>
      </c>
    </row>
    <row r="100" spans="1:31" x14ac:dyDescent="0.3">
      <c r="A100" s="3" t="s">
        <v>595</v>
      </c>
      <c r="B100" s="4" t="s">
        <v>168</v>
      </c>
      <c r="C100" s="4" t="s">
        <v>184</v>
      </c>
      <c r="D100" s="52">
        <v>45786</v>
      </c>
      <c r="E100" s="48" t="s">
        <v>597</v>
      </c>
      <c r="F100" s="4" t="str">
        <f>TRIM(PROPER(Sales_Data!F100))</f>
        <v>Anita Gupta</v>
      </c>
      <c r="G100" s="4" t="s">
        <v>28</v>
      </c>
      <c r="H100" s="4" t="s">
        <v>598</v>
      </c>
      <c r="I100" s="4" t="s">
        <v>44</v>
      </c>
      <c r="J100" s="4" t="str">
        <f>PROPER(Sales_Data!J100)</f>
        <v>North</v>
      </c>
      <c r="K100" s="4" t="str">
        <f>PROPER(Sales_Data!K100)</f>
        <v>Electronics</v>
      </c>
      <c r="L100" s="4" t="s">
        <v>189</v>
      </c>
      <c r="M100" s="4">
        <v>5</v>
      </c>
      <c r="N100" s="4">
        <v>700</v>
      </c>
      <c r="O100" s="4">
        <v>15</v>
      </c>
      <c r="P100" s="4">
        <v>999999</v>
      </c>
      <c r="Q100" s="4">
        <v>4</v>
      </c>
      <c r="R100" s="4" t="s">
        <v>79</v>
      </c>
      <c r="S100" s="4" t="s">
        <v>35</v>
      </c>
      <c r="T100" s="4" t="s">
        <v>175</v>
      </c>
      <c r="U100" s="6" t="s">
        <v>599</v>
      </c>
      <c r="V100" s="4" t="s">
        <v>64</v>
      </c>
      <c r="AD100" s="57">
        <v>45797</v>
      </c>
      <c r="AE100">
        <v>154080</v>
      </c>
    </row>
    <row r="101" spans="1:31" x14ac:dyDescent="0.3">
      <c r="A101" s="7" t="s">
        <v>600</v>
      </c>
      <c r="B101" s="8" t="s">
        <v>83</v>
      </c>
      <c r="C101" s="8" t="s">
        <v>259</v>
      </c>
      <c r="D101" s="53">
        <v>46149</v>
      </c>
      <c r="E101" s="49" t="s">
        <v>601</v>
      </c>
      <c r="F101" s="4" t="str">
        <f>TRIM(PROPER(Sales_Data!F101))</f>
        <v>Arjun Rao</v>
      </c>
      <c r="G101" s="8" t="s">
        <v>76</v>
      </c>
      <c r="H101" s="8" t="s">
        <v>602</v>
      </c>
      <c r="I101" s="8" t="s">
        <v>59</v>
      </c>
      <c r="J101" s="4" t="str">
        <f>PROPER(Sales_Data!J101)</f>
        <v>South</v>
      </c>
      <c r="K101" s="4" t="str">
        <f>PROPER(Sales_Data!K101)</f>
        <v>Stationery</v>
      </c>
      <c r="L101" s="8" t="s">
        <v>263</v>
      </c>
      <c r="M101" s="8">
        <v>9</v>
      </c>
      <c r="N101" s="8">
        <v>45</v>
      </c>
      <c r="O101" s="8">
        <v>5</v>
      </c>
      <c r="P101" s="8">
        <v>384.75</v>
      </c>
      <c r="Q101" s="8">
        <v>3</v>
      </c>
      <c r="R101" s="8" t="s">
        <v>34</v>
      </c>
      <c r="S101" s="8" t="s">
        <v>35</v>
      </c>
      <c r="T101" s="8" t="s">
        <v>89</v>
      </c>
      <c r="U101" s="9" t="s">
        <v>603</v>
      </c>
      <c r="V101" s="8" t="s">
        <v>38</v>
      </c>
      <c r="AD101" s="57">
        <v>45799</v>
      </c>
      <c r="AE101">
        <v>46900</v>
      </c>
    </row>
    <row r="102" spans="1:31" x14ac:dyDescent="0.3">
      <c r="A102" s="3" t="s">
        <v>604</v>
      </c>
      <c r="B102" s="4" t="s">
        <v>127</v>
      </c>
      <c r="C102" s="4" t="s">
        <v>118</v>
      </c>
      <c r="D102" s="52">
        <v>45768</v>
      </c>
      <c r="E102" s="48" t="s">
        <v>606</v>
      </c>
      <c r="F102" s="4" t="str">
        <f>TRIM(PROPER(Sales_Data!F102))</f>
        <v>Rohit Singh</v>
      </c>
      <c r="G102" s="4" t="s">
        <v>76</v>
      </c>
      <c r="H102" s="4" t="s">
        <v>607</v>
      </c>
      <c r="I102" s="4" t="s">
        <v>294</v>
      </c>
      <c r="J102" s="4" t="str">
        <f>PROPER(Sales_Data!J102)</f>
        <v>East</v>
      </c>
      <c r="K102" s="4" t="str">
        <f>PROPER(Sales_Data!K102)</f>
        <v>Stationery</v>
      </c>
      <c r="L102" s="4" t="s">
        <v>123</v>
      </c>
      <c r="M102" s="4">
        <v>19</v>
      </c>
      <c r="N102" s="4">
        <v>60</v>
      </c>
      <c r="O102" s="4">
        <v>10</v>
      </c>
      <c r="P102" s="4">
        <v>1026</v>
      </c>
      <c r="Q102" s="4">
        <v>5</v>
      </c>
      <c r="R102" s="4" t="s">
        <v>48</v>
      </c>
      <c r="S102" s="4" t="s">
        <v>115</v>
      </c>
      <c r="T102" s="4" t="s">
        <v>132</v>
      </c>
      <c r="U102" s="6" t="s">
        <v>608</v>
      </c>
      <c r="V102" s="4" t="s">
        <v>38</v>
      </c>
      <c r="AD102" s="57">
        <v>45801</v>
      </c>
      <c r="AE102">
        <v>76.5</v>
      </c>
    </row>
    <row r="103" spans="1:31" x14ac:dyDescent="0.3">
      <c r="A103" s="7" t="s">
        <v>609</v>
      </c>
      <c r="B103" s="8" t="s">
        <v>327</v>
      </c>
      <c r="C103" s="8" t="s">
        <v>184</v>
      </c>
      <c r="D103" s="53">
        <v>46002</v>
      </c>
      <c r="E103" s="49" t="s">
        <v>611</v>
      </c>
      <c r="F103" s="4" t="str">
        <f>TRIM(PROPER(Sales_Data!F103))</f>
        <v>Amit Sharma</v>
      </c>
      <c r="G103" s="8" t="s">
        <v>76</v>
      </c>
      <c r="H103" s="8" t="s">
        <v>612</v>
      </c>
      <c r="I103" s="8" t="s">
        <v>138</v>
      </c>
      <c r="J103" s="4" t="str">
        <f>PROPER(Sales_Data!J103)</f>
        <v>West</v>
      </c>
      <c r="K103" s="4" t="str">
        <f>PROPER(Sales_Data!K103)</f>
        <v>Electronics</v>
      </c>
      <c r="L103" s="8" t="s">
        <v>189</v>
      </c>
      <c r="M103" s="8">
        <v>4</v>
      </c>
      <c r="N103" s="8">
        <v>700</v>
      </c>
      <c r="O103" s="8">
        <v>5</v>
      </c>
      <c r="P103" s="8">
        <v>2660</v>
      </c>
      <c r="Q103" s="8">
        <v>3</v>
      </c>
      <c r="R103" s="8" t="s">
        <v>48</v>
      </c>
      <c r="S103" s="8" t="s">
        <v>61</v>
      </c>
      <c r="T103" s="8" t="s">
        <v>332</v>
      </c>
      <c r="U103" s="9" t="s">
        <v>613</v>
      </c>
      <c r="V103" s="8" t="s">
        <v>38</v>
      </c>
      <c r="AD103" s="57">
        <v>45802</v>
      </c>
      <c r="AE103">
        <v>12635</v>
      </c>
    </row>
    <row r="104" spans="1:31" x14ac:dyDescent="0.3">
      <c r="A104" s="3" t="s">
        <v>614</v>
      </c>
      <c r="B104" s="4" t="s">
        <v>327</v>
      </c>
      <c r="C104" s="4" t="s">
        <v>92</v>
      </c>
      <c r="D104" s="52">
        <v>46149</v>
      </c>
      <c r="E104" s="48" t="s">
        <v>615</v>
      </c>
      <c r="F104" s="4" t="str">
        <f>TRIM(PROPER(Sales_Data!F104))</f>
        <v>Amit Sharma</v>
      </c>
      <c r="G104" s="4" t="s">
        <v>76</v>
      </c>
      <c r="H104" s="4" t="s">
        <v>616</v>
      </c>
      <c r="I104" s="4" t="s">
        <v>114</v>
      </c>
      <c r="J104" s="4" t="str">
        <f>PROPER(Sales_Data!J104)</f>
        <v>West</v>
      </c>
      <c r="K104" s="4" t="str">
        <f>PROPER(Sales_Data!K104)</f>
        <v>Home Appliances</v>
      </c>
      <c r="L104" s="4" t="s">
        <v>97</v>
      </c>
      <c r="M104" s="4">
        <v>16</v>
      </c>
      <c r="N104" s="4">
        <v>3500</v>
      </c>
      <c r="O104" s="4">
        <v>0</v>
      </c>
      <c r="P104" s="4">
        <v>56000</v>
      </c>
      <c r="Q104" s="4">
        <v>2</v>
      </c>
      <c r="R104" s="4" t="s">
        <v>79</v>
      </c>
      <c r="S104" s="4" t="s">
        <v>49</v>
      </c>
      <c r="T104" s="4" t="s">
        <v>332</v>
      </c>
      <c r="U104" s="6" t="s">
        <v>617</v>
      </c>
      <c r="V104" s="4" t="s">
        <v>38</v>
      </c>
      <c r="AD104" s="57">
        <v>45803</v>
      </c>
      <c r="AE104">
        <v>137275</v>
      </c>
    </row>
    <row r="105" spans="1:31" x14ac:dyDescent="0.3">
      <c r="A105" s="7" t="s">
        <v>618</v>
      </c>
      <c r="B105" s="8" t="s">
        <v>251</v>
      </c>
      <c r="C105" s="8" t="s">
        <v>259</v>
      </c>
      <c r="D105" s="53">
        <v>45670</v>
      </c>
      <c r="E105" s="49" t="s">
        <v>620</v>
      </c>
      <c r="F105" s="4" t="str">
        <f>TRIM(PROPER(Sales_Data!F105))</f>
        <v>Sneha Joshi</v>
      </c>
      <c r="G105" s="8" t="s">
        <v>28</v>
      </c>
      <c r="H105" s="8" t="s">
        <v>621</v>
      </c>
      <c r="I105" s="8" t="s">
        <v>59</v>
      </c>
      <c r="J105" s="4" t="str">
        <f>PROPER(Sales_Data!J105)</f>
        <v>South</v>
      </c>
      <c r="K105" s="4" t="str">
        <f>PROPER(Sales_Data!K105)</f>
        <v>Stationery</v>
      </c>
      <c r="L105" s="8" t="s">
        <v>263</v>
      </c>
      <c r="M105" s="8">
        <v>5</v>
      </c>
      <c r="N105" s="8">
        <v>45</v>
      </c>
      <c r="O105" s="8">
        <v>20</v>
      </c>
      <c r="P105" s="8">
        <v>180</v>
      </c>
      <c r="Q105" s="8">
        <v>3</v>
      </c>
      <c r="R105" s="8" t="s">
        <v>79</v>
      </c>
      <c r="S105" s="8" t="s">
        <v>35</v>
      </c>
      <c r="T105" s="8" t="s">
        <v>256</v>
      </c>
      <c r="U105" s="9" t="s">
        <v>622</v>
      </c>
      <c r="V105" s="8" t="s">
        <v>38</v>
      </c>
      <c r="AD105" s="57">
        <v>45805</v>
      </c>
      <c r="AE105">
        <v>221</v>
      </c>
    </row>
    <row r="106" spans="1:31" x14ac:dyDescent="0.3">
      <c r="A106" s="3" t="s">
        <v>623</v>
      </c>
      <c r="B106" s="4" t="s">
        <v>83</v>
      </c>
      <c r="C106" s="4" t="s">
        <v>222</v>
      </c>
      <c r="D106" s="52">
        <v>45733</v>
      </c>
      <c r="E106" s="48" t="s">
        <v>525</v>
      </c>
      <c r="F106" s="4" t="str">
        <f>TRIM(PROPER(Sales_Data!F106))</f>
        <v>Arjun Rao</v>
      </c>
      <c r="G106" s="4" t="s">
        <v>76</v>
      </c>
      <c r="H106" s="4" t="s">
        <v>625</v>
      </c>
      <c r="I106" s="4" t="s">
        <v>105</v>
      </c>
      <c r="J106" s="4" t="str">
        <f>PROPER(Sales_Data!J106)</f>
        <v>West</v>
      </c>
      <c r="K106" s="4" t="str">
        <f>PROPER(Sales_Data!K106)</f>
        <v>Stationery</v>
      </c>
      <c r="L106" s="4" t="s">
        <v>227</v>
      </c>
      <c r="M106" s="4">
        <v>9</v>
      </c>
      <c r="N106" s="4">
        <v>20</v>
      </c>
      <c r="O106" s="4">
        <v>10</v>
      </c>
      <c r="P106" s="4">
        <v>162</v>
      </c>
      <c r="Q106" s="4">
        <v>4</v>
      </c>
      <c r="R106" s="4" t="s">
        <v>79</v>
      </c>
      <c r="S106" s="4" t="s">
        <v>35</v>
      </c>
      <c r="T106" s="4" t="s">
        <v>89</v>
      </c>
      <c r="U106" s="6" t="s">
        <v>626</v>
      </c>
      <c r="V106" s="4" t="s">
        <v>64</v>
      </c>
      <c r="AD106" s="57">
        <v>45806</v>
      </c>
      <c r="AE106">
        <v>836000</v>
      </c>
    </row>
    <row r="107" spans="1:31" x14ac:dyDescent="0.3">
      <c r="A107" s="7" t="s">
        <v>627</v>
      </c>
      <c r="B107" s="8" t="s">
        <v>53</v>
      </c>
      <c r="C107" s="8" t="s">
        <v>72</v>
      </c>
      <c r="D107" s="53">
        <v>45713</v>
      </c>
      <c r="E107" s="49" t="s">
        <v>431</v>
      </c>
      <c r="F107" s="4" t="str">
        <f>TRIM(PROPER(Sales_Data!F107))</f>
        <v>Pooja Shah</v>
      </c>
      <c r="G107" s="8" t="s">
        <v>28</v>
      </c>
      <c r="H107" s="8" t="s">
        <v>629</v>
      </c>
      <c r="I107" s="8" t="s">
        <v>44</v>
      </c>
      <c r="J107" s="4" t="str">
        <f>PROPER(Sales_Data!J107)</f>
        <v>North</v>
      </c>
      <c r="K107" s="4" t="str">
        <f>PROPER(Sales_Data!K107)</f>
        <v>Electronics</v>
      </c>
      <c r="L107" s="8" t="s">
        <v>78</v>
      </c>
      <c r="M107" s="8">
        <v>9</v>
      </c>
      <c r="N107" s="8">
        <v>1200</v>
      </c>
      <c r="O107" s="8">
        <v>5</v>
      </c>
      <c r="P107" s="8">
        <v>10260</v>
      </c>
      <c r="Q107" s="8">
        <v>3</v>
      </c>
      <c r="R107" s="8" t="s">
        <v>88</v>
      </c>
      <c r="S107" s="8" t="s">
        <v>35</v>
      </c>
      <c r="T107" s="8" t="s">
        <v>62</v>
      </c>
      <c r="U107" s="9" t="s">
        <v>630</v>
      </c>
      <c r="V107" s="8" t="s">
        <v>64</v>
      </c>
      <c r="AD107" s="57">
        <v>45807</v>
      </c>
      <c r="AE107">
        <v>7797</v>
      </c>
    </row>
    <row r="108" spans="1:31" x14ac:dyDescent="0.3">
      <c r="A108" s="3" t="s">
        <v>631</v>
      </c>
      <c r="B108" s="4" t="s">
        <v>100</v>
      </c>
      <c r="C108" s="4" t="s">
        <v>92</v>
      </c>
      <c r="D108" s="52">
        <v>45714</v>
      </c>
      <c r="E108" s="48" t="s">
        <v>632</v>
      </c>
      <c r="F108" s="4" t="str">
        <f>TRIM(PROPER(Sales_Data!F108))</f>
        <v>Priya Patel</v>
      </c>
      <c r="G108" s="4" t="s">
        <v>28</v>
      </c>
      <c r="H108" s="4" t="s">
        <v>633</v>
      </c>
      <c r="I108" s="4" t="s">
        <v>44</v>
      </c>
      <c r="J108" s="4" t="str">
        <f>PROPER(Sales_Data!J108)</f>
        <v>North</v>
      </c>
      <c r="K108" s="4" t="str">
        <f>PROPER(Sales_Data!K108)</f>
        <v>Home Appliances</v>
      </c>
      <c r="L108" s="4" t="s">
        <v>97</v>
      </c>
      <c r="M108" s="4">
        <v>3</v>
      </c>
      <c r="N108" s="4">
        <v>3500</v>
      </c>
      <c r="O108" s="4">
        <v>10</v>
      </c>
      <c r="P108" s="4">
        <v>9450</v>
      </c>
      <c r="Q108" s="4">
        <v>2</v>
      </c>
      <c r="R108" s="4" t="s">
        <v>79</v>
      </c>
      <c r="S108" s="4" t="s">
        <v>151</v>
      </c>
      <c r="T108" s="4" t="s">
        <v>144</v>
      </c>
      <c r="U108" s="6" t="s">
        <v>634</v>
      </c>
      <c r="V108" s="4" t="s">
        <v>69</v>
      </c>
      <c r="AD108" s="57">
        <v>45808</v>
      </c>
      <c r="AE108">
        <v>720</v>
      </c>
    </row>
    <row r="109" spans="1:31" x14ac:dyDescent="0.3">
      <c r="A109" s="7" t="s">
        <v>635</v>
      </c>
      <c r="B109" s="8" t="s">
        <v>221</v>
      </c>
      <c r="C109" s="8" t="s">
        <v>72</v>
      </c>
      <c r="D109" s="53">
        <v>46094</v>
      </c>
      <c r="E109" s="49" t="s">
        <v>636</v>
      </c>
      <c r="F109" s="4" t="str">
        <f>TRIM(PROPER(Sales_Data!F109))</f>
        <v>Vikas Mehta</v>
      </c>
      <c r="G109" s="8" t="s">
        <v>76</v>
      </c>
      <c r="H109" s="8" t="s">
        <v>637</v>
      </c>
      <c r="I109" s="8" t="s">
        <v>105</v>
      </c>
      <c r="J109" s="4" t="str">
        <f>PROPER(Sales_Data!J109)</f>
        <v>West</v>
      </c>
      <c r="K109" s="4" t="str">
        <f>PROPER(Sales_Data!K109)</f>
        <v>Electronics</v>
      </c>
      <c r="L109" s="8" t="s">
        <v>78</v>
      </c>
      <c r="M109" s="8">
        <v>6</v>
      </c>
      <c r="N109" s="8">
        <v>1200</v>
      </c>
      <c r="O109" s="8">
        <v>15</v>
      </c>
      <c r="P109" s="8">
        <v>6120</v>
      </c>
      <c r="Q109" s="8">
        <v>4</v>
      </c>
      <c r="R109" s="8" t="s">
        <v>88</v>
      </c>
      <c r="S109" s="8" t="s">
        <v>35</v>
      </c>
      <c r="T109" s="8" t="s">
        <v>228</v>
      </c>
      <c r="U109" s="9" t="s">
        <v>638</v>
      </c>
      <c r="V109" s="8" t="s">
        <v>69</v>
      </c>
      <c r="AD109" s="57">
        <v>45810</v>
      </c>
      <c r="AE109">
        <v>4143</v>
      </c>
    </row>
    <row r="110" spans="1:31" x14ac:dyDescent="0.3">
      <c r="A110" s="3" t="s">
        <v>639</v>
      </c>
      <c r="B110" s="4" t="s">
        <v>83</v>
      </c>
      <c r="C110" s="4" t="s">
        <v>72</v>
      </c>
      <c r="D110" s="52">
        <v>45848</v>
      </c>
      <c r="E110" s="48" t="s">
        <v>641</v>
      </c>
      <c r="F110" s="4" t="str">
        <f>TRIM(PROPER(Sales_Data!F110))</f>
        <v>Arjun Rao</v>
      </c>
      <c r="G110" s="4" t="s">
        <v>76</v>
      </c>
      <c r="H110" s="4" t="s">
        <v>642</v>
      </c>
      <c r="I110" s="4" t="s">
        <v>212</v>
      </c>
      <c r="J110" s="4" t="str">
        <f>PROPER(Sales_Data!J110)</f>
        <v>North</v>
      </c>
      <c r="K110" s="4" t="str">
        <f>PROPER(Sales_Data!K110)</f>
        <v>Electronics</v>
      </c>
      <c r="L110" s="4" t="s">
        <v>78</v>
      </c>
      <c r="M110" s="4">
        <v>17</v>
      </c>
      <c r="N110" s="4">
        <v>1200</v>
      </c>
      <c r="O110" s="4">
        <v>15</v>
      </c>
      <c r="P110" s="4">
        <v>17340</v>
      </c>
      <c r="Q110" s="4">
        <v>1</v>
      </c>
      <c r="R110" s="4" t="s">
        <v>34</v>
      </c>
      <c r="S110" s="4" t="s">
        <v>61</v>
      </c>
      <c r="T110" s="4" t="s">
        <v>89</v>
      </c>
      <c r="U110" s="6" t="s">
        <v>643</v>
      </c>
      <c r="V110" s="4" t="s">
        <v>38</v>
      </c>
      <c r="AD110" s="57">
        <v>45811</v>
      </c>
      <c r="AE110">
        <v>3420</v>
      </c>
    </row>
    <row r="111" spans="1:31" x14ac:dyDescent="0.3">
      <c r="A111" s="7" t="s">
        <v>644</v>
      </c>
      <c r="B111" s="8" t="s">
        <v>221</v>
      </c>
      <c r="C111" s="8" t="s">
        <v>169</v>
      </c>
      <c r="D111" s="53">
        <v>45979</v>
      </c>
      <c r="E111" s="49" t="s">
        <v>287</v>
      </c>
      <c r="F111" s="4" t="str">
        <f>TRIM(PROPER(Sales_Data!F111))</f>
        <v>Vikas Mehta</v>
      </c>
      <c r="G111" s="8" t="s">
        <v>76</v>
      </c>
      <c r="H111" s="8" t="s">
        <v>646</v>
      </c>
      <c r="I111" s="8" t="s">
        <v>59</v>
      </c>
      <c r="J111" s="4" t="str">
        <f>PROPER(Sales_Data!J111)</f>
        <v>South</v>
      </c>
      <c r="K111" s="4" t="str">
        <f>PROPER(Sales_Data!K111)</f>
        <v>Home Appliances</v>
      </c>
      <c r="L111" s="8" t="s">
        <v>174</v>
      </c>
      <c r="M111" s="8">
        <v>15</v>
      </c>
      <c r="N111" s="8">
        <v>8500</v>
      </c>
      <c r="O111" s="8">
        <v>0</v>
      </c>
      <c r="P111" s="8">
        <v>127500</v>
      </c>
      <c r="Q111" s="8">
        <v>3</v>
      </c>
      <c r="R111" s="8" t="s">
        <v>34</v>
      </c>
      <c r="S111" s="8" t="s">
        <v>115</v>
      </c>
      <c r="T111" s="8" t="s">
        <v>228</v>
      </c>
      <c r="U111" s="9" t="s">
        <v>647</v>
      </c>
      <c r="V111" s="8" t="s">
        <v>64</v>
      </c>
      <c r="AD111" s="57">
        <v>45812</v>
      </c>
      <c r="AE111">
        <v>109725</v>
      </c>
    </row>
    <row r="112" spans="1:31" x14ac:dyDescent="0.3">
      <c r="A112" s="3" t="s">
        <v>648</v>
      </c>
      <c r="B112" s="4" t="s">
        <v>127</v>
      </c>
      <c r="C112" s="4" t="s">
        <v>72</v>
      </c>
      <c r="D112" s="52">
        <v>45760</v>
      </c>
      <c r="E112" s="48" t="s">
        <v>102</v>
      </c>
      <c r="F112" s="4" t="str">
        <f>TRIM(PROPER(Sales_Data!F112))</f>
        <v>Rohit Singh</v>
      </c>
      <c r="G112" s="4" t="s">
        <v>76</v>
      </c>
      <c r="H112" s="4" t="s">
        <v>649</v>
      </c>
      <c r="I112" s="4" t="s">
        <v>30</v>
      </c>
      <c r="J112" s="4" t="str">
        <f>PROPER(Sales_Data!J112)</f>
        <v>South</v>
      </c>
      <c r="K112" s="4" t="str">
        <f>PROPER(Sales_Data!K112)</f>
        <v>Electronics</v>
      </c>
      <c r="L112" s="4" t="s">
        <v>78</v>
      </c>
      <c r="M112" s="4">
        <v>1</v>
      </c>
      <c r="N112" s="4">
        <v>1200</v>
      </c>
      <c r="O112" s="4">
        <v>20</v>
      </c>
      <c r="P112" s="4">
        <v>960</v>
      </c>
      <c r="Q112" s="4">
        <v>1</v>
      </c>
      <c r="R112" s="4" t="s">
        <v>88</v>
      </c>
      <c r="S112" s="4" t="s">
        <v>115</v>
      </c>
      <c r="T112" s="4" t="s">
        <v>132</v>
      </c>
      <c r="U112" s="6" t="s">
        <v>650</v>
      </c>
      <c r="V112" s="4" t="s">
        <v>64</v>
      </c>
      <c r="AD112" s="57">
        <v>45813</v>
      </c>
      <c r="AE112">
        <v>8925</v>
      </c>
    </row>
    <row r="113" spans="1:31" x14ac:dyDescent="0.3">
      <c r="A113" s="7" t="s">
        <v>651</v>
      </c>
      <c r="B113" s="8" t="s">
        <v>127</v>
      </c>
      <c r="C113" s="8" t="s">
        <v>169</v>
      </c>
      <c r="D113" s="53">
        <v>45756</v>
      </c>
      <c r="E113" s="49" t="s">
        <v>539</v>
      </c>
      <c r="F113" s="4" t="str">
        <f>TRIM(PROPER(Sales_Data!F113))</f>
        <v>Rohit Singh</v>
      </c>
      <c r="G113" s="8" t="s">
        <v>76</v>
      </c>
      <c r="H113" s="8" t="s">
        <v>653</v>
      </c>
      <c r="I113" s="8" t="s">
        <v>294</v>
      </c>
      <c r="J113" s="4" t="str">
        <f>PROPER(Sales_Data!J113)</f>
        <v>East</v>
      </c>
      <c r="K113" s="4" t="str">
        <f>PROPER(Sales_Data!K113)</f>
        <v>Home Appliances</v>
      </c>
      <c r="L113" s="8" t="s">
        <v>174</v>
      </c>
      <c r="M113" s="8">
        <v>5</v>
      </c>
      <c r="N113" s="8">
        <v>8500</v>
      </c>
      <c r="O113" s="8">
        <v>10</v>
      </c>
      <c r="P113" s="8">
        <v>38250</v>
      </c>
      <c r="Q113" s="8">
        <v>1</v>
      </c>
      <c r="R113" s="8" t="s">
        <v>79</v>
      </c>
      <c r="S113" s="8" t="s">
        <v>61</v>
      </c>
      <c r="T113" s="8" t="s">
        <v>132</v>
      </c>
      <c r="U113" s="9" t="s">
        <v>654</v>
      </c>
      <c r="V113" s="8" t="s">
        <v>38</v>
      </c>
      <c r="AD113" s="57">
        <v>45816</v>
      </c>
      <c r="AE113">
        <v>34000</v>
      </c>
    </row>
    <row r="114" spans="1:31" x14ac:dyDescent="0.3">
      <c r="A114" s="3" t="s">
        <v>655</v>
      </c>
      <c r="B114" s="4" t="s">
        <v>53</v>
      </c>
      <c r="C114" s="4" t="s">
        <v>259</v>
      </c>
      <c r="D114" s="52">
        <v>46115</v>
      </c>
      <c r="E114" s="48" t="s">
        <v>657</v>
      </c>
      <c r="F114" s="4" t="str">
        <f>TRIM(PROPER(Sales_Data!F114))</f>
        <v>Pooja Shah</v>
      </c>
      <c r="G114" s="4" t="s">
        <v>28</v>
      </c>
      <c r="H114" s="4" t="s">
        <v>658</v>
      </c>
      <c r="I114" s="4" t="s">
        <v>30</v>
      </c>
      <c r="J114" s="4" t="str">
        <f>PROPER(Sales_Data!J114)</f>
        <v>South</v>
      </c>
      <c r="K114" s="4" t="str">
        <f>PROPER(Sales_Data!K114)</f>
        <v>Stationery</v>
      </c>
      <c r="L114" s="4" t="s">
        <v>263</v>
      </c>
      <c r="M114" s="4">
        <v>12</v>
      </c>
      <c r="N114" s="4">
        <v>45</v>
      </c>
      <c r="O114" s="4">
        <v>5</v>
      </c>
      <c r="P114" s="4">
        <v>513</v>
      </c>
      <c r="Q114" s="4">
        <v>2</v>
      </c>
      <c r="R114" s="4" t="s">
        <v>48</v>
      </c>
      <c r="S114" s="4" t="s">
        <v>35</v>
      </c>
      <c r="T114" s="4" t="s">
        <v>62</v>
      </c>
      <c r="U114" s="6" t="s">
        <v>659</v>
      </c>
      <c r="V114" s="4" t="s">
        <v>69</v>
      </c>
      <c r="AD114" s="57">
        <v>45817</v>
      </c>
      <c r="AE114">
        <v>7140</v>
      </c>
    </row>
    <row r="115" spans="1:31" x14ac:dyDescent="0.3">
      <c r="A115" s="7" t="s">
        <v>660</v>
      </c>
      <c r="B115" s="8" t="s">
        <v>221</v>
      </c>
      <c r="C115" s="8" t="s">
        <v>118</v>
      </c>
      <c r="D115" s="53">
        <v>45953</v>
      </c>
      <c r="E115" s="49" t="s">
        <v>661</v>
      </c>
      <c r="F115" s="4" t="str">
        <f>TRIM(PROPER(Sales_Data!F115))</f>
        <v>Vikas Mehta</v>
      </c>
      <c r="G115" s="8" t="s">
        <v>76</v>
      </c>
      <c r="H115" s="8" t="s">
        <v>662</v>
      </c>
      <c r="I115" s="8" t="s">
        <v>114</v>
      </c>
      <c r="J115" s="4" t="str">
        <f>PROPER(Sales_Data!J115)</f>
        <v>West</v>
      </c>
      <c r="K115" s="4" t="str">
        <f>PROPER(Sales_Data!K115)</f>
        <v>Stationery</v>
      </c>
      <c r="L115" s="8" t="s">
        <v>123</v>
      </c>
      <c r="M115" s="8">
        <v>5</v>
      </c>
      <c r="N115" s="8">
        <v>60</v>
      </c>
      <c r="O115" s="8">
        <v>5</v>
      </c>
      <c r="P115" s="8">
        <v>285</v>
      </c>
      <c r="Q115" s="8">
        <v>2</v>
      </c>
      <c r="R115" s="8" t="s">
        <v>34</v>
      </c>
      <c r="S115" s="8" t="s">
        <v>61</v>
      </c>
      <c r="T115" s="8" t="s">
        <v>228</v>
      </c>
      <c r="U115" s="9" t="s">
        <v>663</v>
      </c>
      <c r="V115" s="8" t="s">
        <v>38</v>
      </c>
      <c r="AD115" s="57">
        <v>45819</v>
      </c>
      <c r="AE115">
        <v>50575</v>
      </c>
    </row>
    <row r="116" spans="1:31" x14ac:dyDescent="0.3">
      <c r="A116" s="3" t="s">
        <v>664</v>
      </c>
      <c r="B116" s="4" t="s">
        <v>53</v>
      </c>
      <c r="C116" s="4" t="s">
        <v>184</v>
      </c>
      <c r="D116" s="52">
        <v>45750</v>
      </c>
      <c r="E116" s="48" t="s">
        <v>666</v>
      </c>
      <c r="F116" s="4" t="str">
        <f>TRIM(PROPER(Sales_Data!F116))</f>
        <v>Pooja Shah</v>
      </c>
      <c r="G116" s="4" t="s">
        <v>28</v>
      </c>
      <c r="H116" s="4" t="s">
        <v>667</v>
      </c>
      <c r="I116" s="4" t="s">
        <v>294</v>
      </c>
      <c r="J116" s="4" t="str">
        <f>PROPER(Sales_Data!J116)</f>
        <v>East</v>
      </c>
      <c r="K116" s="4" t="str">
        <f>PROPER(Sales_Data!K116)</f>
        <v>Electronics</v>
      </c>
      <c r="L116" s="4" t="s">
        <v>189</v>
      </c>
      <c r="M116" s="4">
        <v>3</v>
      </c>
      <c r="N116" s="4">
        <v>700</v>
      </c>
      <c r="O116" s="4">
        <v>0</v>
      </c>
      <c r="P116" s="4">
        <v>2100</v>
      </c>
      <c r="Q116" s="4">
        <v>4</v>
      </c>
      <c r="R116" s="4" t="s">
        <v>79</v>
      </c>
      <c r="S116" s="4" t="s">
        <v>61</v>
      </c>
      <c r="T116" s="4" t="s">
        <v>62</v>
      </c>
      <c r="U116" s="6" t="s">
        <v>668</v>
      </c>
      <c r="V116" s="4" t="s">
        <v>38</v>
      </c>
      <c r="AD116" s="57">
        <v>45820</v>
      </c>
      <c r="AE116">
        <v>162</v>
      </c>
    </row>
    <row r="117" spans="1:31" x14ac:dyDescent="0.3">
      <c r="A117" s="7" t="s">
        <v>669</v>
      </c>
      <c r="B117" s="8" t="s">
        <v>168</v>
      </c>
      <c r="C117" s="8" t="s">
        <v>222</v>
      </c>
      <c r="D117" s="53">
        <v>45772</v>
      </c>
      <c r="E117" s="49" t="s">
        <v>606</v>
      </c>
      <c r="F117" s="4" t="str">
        <f>TRIM(PROPER(Sales_Data!F117))</f>
        <v>Anita Gupta</v>
      </c>
      <c r="G117" s="8" t="s">
        <v>28</v>
      </c>
      <c r="H117" s="8" t="s">
        <v>670</v>
      </c>
      <c r="I117" s="8" t="s">
        <v>44</v>
      </c>
      <c r="J117" s="4" t="str">
        <f>PROPER(Sales_Data!J117)</f>
        <v>North</v>
      </c>
      <c r="K117" s="4" t="str">
        <f>PROPER(Sales_Data!K117)</f>
        <v>Stationery</v>
      </c>
      <c r="L117" s="8" t="s">
        <v>227</v>
      </c>
      <c r="M117" s="8">
        <v>6</v>
      </c>
      <c r="N117" s="8">
        <v>20</v>
      </c>
      <c r="O117" s="8">
        <v>15</v>
      </c>
      <c r="P117" s="8">
        <v>102</v>
      </c>
      <c r="Q117" s="8">
        <v>5</v>
      </c>
      <c r="R117" s="8" t="s">
        <v>79</v>
      </c>
      <c r="S117" s="8" t="s">
        <v>151</v>
      </c>
      <c r="T117" s="8" t="s">
        <v>175</v>
      </c>
      <c r="U117" s="9" t="s">
        <v>671</v>
      </c>
      <c r="V117" s="8" t="s">
        <v>38</v>
      </c>
      <c r="AD117" s="57">
        <v>45822</v>
      </c>
      <c r="AE117">
        <v>12320</v>
      </c>
    </row>
    <row r="118" spans="1:31" x14ac:dyDescent="0.3">
      <c r="A118" s="3" t="s">
        <v>672</v>
      </c>
      <c r="B118" s="4" t="s">
        <v>100</v>
      </c>
      <c r="C118" s="4" t="s">
        <v>184</v>
      </c>
      <c r="D118" s="52">
        <v>45893</v>
      </c>
      <c r="E118" s="48" t="s">
        <v>674</v>
      </c>
      <c r="F118" s="4" t="str">
        <f>TRIM(PROPER(Sales_Data!F118))</f>
        <v>Priya Patel</v>
      </c>
      <c r="G118" s="4" t="s">
        <v>28</v>
      </c>
      <c r="H118" s="4" t="s">
        <v>675</v>
      </c>
      <c r="I118" s="4" t="s">
        <v>59</v>
      </c>
      <c r="J118" s="4" t="str">
        <f>PROPER(Sales_Data!J118)</f>
        <v>South</v>
      </c>
      <c r="K118" s="4" t="str">
        <f>PROPER(Sales_Data!K118)</f>
        <v>Electronics</v>
      </c>
      <c r="L118" s="4" t="s">
        <v>189</v>
      </c>
      <c r="M118" s="4">
        <v>2</v>
      </c>
      <c r="N118" s="4">
        <v>700</v>
      </c>
      <c r="O118" s="4">
        <v>15</v>
      </c>
      <c r="P118" s="4">
        <v>1190</v>
      </c>
      <c r="Q118" s="4">
        <v>4</v>
      </c>
      <c r="R118" s="4" t="s">
        <v>34</v>
      </c>
      <c r="S118" s="4" t="s">
        <v>151</v>
      </c>
      <c r="T118" s="4" t="s">
        <v>144</v>
      </c>
      <c r="U118" s="6" t="s">
        <v>676</v>
      </c>
      <c r="V118" s="4" t="s">
        <v>64</v>
      </c>
      <c r="AD118" s="57">
        <v>45823</v>
      </c>
      <c r="AE118">
        <v>10127</v>
      </c>
    </row>
    <row r="119" spans="1:31" x14ac:dyDescent="0.3">
      <c r="A119" s="7" t="s">
        <v>677</v>
      </c>
      <c r="B119" s="8" t="s">
        <v>327</v>
      </c>
      <c r="C119" s="8" t="s">
        <v>259</v>
      </c>
      <c r="D119" s="53">
        <v>45808</v>
      </c>
      <c r="E119" s="49" t="s">
        <v>679</v>
      </c>
      <c r="F119" s="4" t="str">
        <f>TRIM(PROPER(Sales_Data!F119))</f>
        <v>Amit Sharma</v>
      </c>
      <c r="G119" s="8" t="s">
        <v>76</v>
      </c>
      <c r="H119" s="8" t="s">
        <v>680</v>
      </c>
      <c r="I119" s="8" t="s">
        <v>114</v>
      </c>
      <c r="J119" s="4" t="str">
        <f>PROPER(Sales_Data!J119)</f>
        <v>West</v>
      </c>
      <c r="K119" s="4" t="str">
        <f>PROPER(Sales_Data!K119)</f>
        <v>Stationery</v>
      </c>
      <c r="L119" s="8" t="s">
        <v>263</v>
      </c>
      <c r="M119" s="8">
        <v>16</v>
      </c>
      <c r="N119" s="8">
        <v>45</v>
      </c>
      <c r="O119" s="8">
        <v>0</v>
      </c>
      <c r="P119" s="8">
        <v>720</v>
      </c>
      <c r="Q119" s="8">
        <v>1</v>
      </c>
      <c r="R119" s="8" t="s">
        <v>48</v>
      </c>
      <c r="S119" s="8" t="s">
        <v>61</v>
      </c>
      <c r="T119" s="8" t="s">
        <v>332</v>
      </c>
      <c r="U119" s="9" t="s">
        <v>681</v>
      </c>
      <c r="V119" s="8" t="s">
        <v>38</v>
      </c>
      <c r="AD119" s="57">
        <v>45824</v>
      </c>
      <c r="AE119">
        <v>177659</v>
      </c>
    </row>
    <row r="120" spans="1:31" x14ac:dyDescent="0.3">
      <c r="A120" s="3" t="s">
        <v>682</v>
      </c>
      <c r="B120" s="4" t="s">
        <v>71</v>
      </c>
      <c r="C120" s="4" t="s">
        <v>72</v>
      </c>
      <c r="D120" s="52">
        <v>45807</v>
      </c>
      <c r="E120" s="48" t="s">
        <v>684</v>
      </c>
      <c r="F120" s="4" t="str">
        <f>TRIM(PROPER(Sales_Data!F120))</f>
        <v>Mohit Verma</v>
      </c>
      <c r="G120" s="4" t="s">
        <v>76</v>
      </c>
      <c r="H120" s="4" t="s">
        <v>685</v>
      </c>
      <c r="I120" s="4" t="s">
        <v>138</v>
      </c>
      <c r="J120" s="4" t="str">
        <f>PROPER(Sales_Data!J120)</f>
        <v>West</v>
      </c>
      <c r="K120" s="4" t="str">
        <f>PROPER(Sales_Data!K120)</f>
        <v>Electronics</v>
      </c>
      <c r="L120" s="4" t="s">
        <v>78</v>
      </c>
      <c r="M120" s="4" t="s">
        <v>686</v>
      </c>
      <c r="N120" s="4">
        <v>1200</v>
      </c>
      <c r="O120" s="4">
        <v>15</v>
      </c>
      <c r="P120" s="4">
        <v>7140</v>
      </c>
      <c r="Q120" s="4">
        <v>4</v>
      </c>
      <c r="R120" s="4" t="s">
        <v>88</v>
      </c>
      <c r="S120" s="4" t="s">
        <v>151</v>
      </c>
      <c r="T120" s="4" t="s">
        <v>80</v>
      </c>
      <c r="U120" s="6" t="s">
        <v>687</v>
      </c>
      <c r="V120" s="4" t="s">
        <v>64</v>
      </c>
      <c r="AD120" s="57">
        <v>45827</v>
      </c>
      <c r="AE120">
        <v>120925</v>
      </c>
    </row>
    <row r="121" spans="1:31" x14ac:dyDescent="0.3">
      <c r="A121" s="7" t="s">
        <v>688</v>
      </c>
      <c r="B121" s="8" t="s">
        <v>100</v>
      </c>
      <c r="C121" s="8" t="s">
        <v>40</v>
      </c>
      <c r="D121" s="53">
        <v>45888</v>
      </c>
      <c r="E121" s="49" t="s">
        <v>469</v>
      </c>
      <c r="F121" s="4" t="str">
        <f>TRIM(PROPER(Sales_Data!F121))</f>
        <v>Priya Patel</v>
      </c>
      <c r="G121" s="8" t="s">
        <v>28</v>
      </c>
      <c r="H121" s="8" t="s">
        <v>689</v>
      </c>
      <c r="I121" s="8" t="s">
        <v>212</v>
      </c>
      <c r="J121" s="4" t="str">
        <f>PROPER(Sales_Data!J121)</f>
        <v>North</v>
      </c>
      <c r="K121" s="4" t="str">
        <f>PROPER(Sales_Data!K121)</f>
        <v>Electronics</v>
      </c>
      <c r="L121" s="8" t="s">
        <v>47</v>
      </c>
      <c r="M121" s="8">
        <v>14</v>
      </c>
      <c r="N121" s="8">
        <v>12000</v>
      </c>
      <c r="O121" s="8">
        <v>15</v>
      </c>
      <c r="P121" s="8">
        <v>142800</v>
      </c>
      <c r="Q121" s="8">
        <v>2</v>
      </c>
      <c r="R121" s="8" t="s">
        <v>48</v>
      </c>
      <c r="S121" s="8" t="s">
        <v>61</v>
      </c>
      <c r="T121" s="8" t="s">
        <v>144</v>
      </c>
      <c r="U121" s="9" t="s">
        <v>690</v>
      </c>
      <c r="V121" s="8" t="s">
        <v>64</v>
      </c>
      <c r="AD121" s="57">
        <v>45828</v>
      </c>
      <c r="AE121">
        <v>20400</v>
      </c>
    </row>
    <row r="122" spans="1:31" x14ac:dyDescent="0.3">
      <c r="A122" s="3" t="s">
        <v>691</v>
      </c>
      <c r="B122" s="4" t="s">
        <v>127</v>
      </c>
      <c r="C122" s="4" t="s">
        <v>169</v>
      </c>
      <c r="D122" s="52">
        <v>46005</v>
      </c>
      <c r="E122" s="48" t="s">
        <v>692</v>
      </c>
      <c r="F122" s="4" t="str">
        <f>TRIM(PROPER(Sales_Data!F122))</f>
        <v>Rohit Singh</v>
      </c>
      <c r="G122" s="4" t="s">
        <v>76</v>
      </c>
      <c r="H122" s="4" t="s">
        <v>693</v>
      </c>
      <c r="I122" s="4" t="s">
        <v>114</v>
      </c>
      <c r="J122" s="4" t="str">
        <f>PROPER(Sales_Data!J122)</f>
        <v>West</v>
      </c>
      <c r="K122" s="4" t="str">
        <f>PROPER(Sales_Data!K122)</f>
        <v>Home Appliances</v>
      </c>
      <c r="L122" s="4" t="s">
        <v>174</v>
      </c>
      <c r="M122" s="4">
        <v>8</v>
      </c>
      <c r="N122" s="4">
        <v>8500</v>
      </c>
      <c r="O122" s="4">
        <v>20</v>
      </c>
      <c r="P122" s="4">
        <v>54400</v>
      </c>
      <c r="Q122" s="4">
        <v>3</v>
      </c>
      <c r="R122" s="4" t="s">
        <v>79</v>
      </c>
      <c r="S122" s="4" t="s">
        <v>49</v>
      </c>
      <c r="T122" s="4" t="s">
        <v>132</v>
      </c>
      <c r="U122" s="6" t="s">
        <v>694</v>
      </c>
      <c r="V122" s="4" t="s">
        <v>38</v>
      </c>
      <c r="AD122" s="57">
        <v>45829</v>
      </c>
      <c r="AE122">
        <v>14000</v>
      </c>
    </row>
    <row r="123" spans="1:31" x14ac:dyDescent="0.3">
      <c r="A123" s="7" t="s">
        <v>695</v>
      </c>
      <c r="B123" s="8" t="s">
        <v>83</v>
      </c>
      <c r="C123" s="8" t="s">
        <v>259</v>
      </c>
      <c r="D123" s="53">
        <v>46053</v>
      </c>
      <c r="E123" s="49" t="s">
        <v>313</v>
      </c>
      <c r="F123" s="4" t="str">
        <f>TRIM(PROPER(Sales_Data!F123))</f>
        <v>Arjun Rao</v>
      </c>
      <c r="G123" s="8" t="s">
        <v>76</v>
      </c>
      <c r="H123" s="8" t="s">
        <v>696</v>
      </c>
      <c r="I123" s="8" t="s">
        <v>59</v>
      </c>
      <c r="J123" s="4" t="str">
        <f>PROPER(Sales_Data!J123)</f>
        <v>South</v>
      </c>
      <c r="K123" s="4" t="str">
        <f>PROPER(Sales_Data!K123)</f>
        <v>Stationery</v>
      </c>
      <c r="L123" s="8" t="s">
        <v>263</v>
      </c>
      <c r="M123" s="8">
        <v>3</v>
      </c>
      <c r="N123" s="8">
        <v>45</v>
      </c>
      <c r="O123" s="8">
        <v>0</v>
      </c>
      <c r="P123" s="8">
        <v>135</v>
      </c>
      <c r="Q123" s="8">
        <v>4</v>
      </c>
      <c r="R123" s="8" t="s">
        <v>88</v>
      </c>
      <c r="S123" s="8" t="s">
        <v>61</v>
      </c>
      <c r="T123" s="8" t="s">
        <v>89</v>
      </c>
      <c r="U123" s="9" t="s">
        <v>697</v>
      </c>
      <c r="V123" s="8" t="s">
        <v>69</v>
      </c>
      <c r="AD123" s="57">
        <v>45830</v>
      </c>
      <c r="AE123">
        <v>95</v>
      </c>
    </row>
    <row r="124" spans="1:31" x14ac:dyDescent="0.3">
      <c r="A124" s="3" t="s">
        <v>698</v>
      </c>
      <c r="B124" s="4" t="s">
        <v>327</v>
      </c>
      <c r="C124" s="4" t="s">
        <v>184</v>
      </c>
      <c r="D124" s="52">
        <v>46025</v>
      </c>
      <c r="E124" s="48" t="s">
        <v>84</v>
      </c>
      <c r="F124" s="4" t="str">
        <f>TRIM(PROPER(Sales_Data!F124))</f>
        <v>Amit Sharma</v>
      </c>
      <c r="G124" s="4" t="s">
        <v>76</v>
      </c>
      <c r="H124" s="4" t="s">
        <v>699</v>
      </c>
      <c r="I124" s="4" t="s">
        <v>212</v>
      </c>
      <c r="J124" s="4" t="str">
        <f>PROPER(Sales_Data!J124)</f>
        <v>North</v>
      </c>
      <c r="K124" s="4" t="str">
        <f>PROPER(Sales_Data!K124)</f>
        <v>Electronics</v>
      </c>
      <c r="L124" s="4" t="s">
        <v>189</v>
      </c>
      <c r="M124" s="4">
        <v>13</v>
      </c>
      <c r="N124" s="4">
        <v>700</v>
      </c>
      <c r="O124" s="4">
        <v>5</v>
      </c>
      <c r="P124" s="4">
        <v>8645</v>
      </c>
      <c r="Q124" s="4">
        <v>3</v>
      </c>
      <c r="R124" s="4" t="s">
        <v>79</v>
      </c>
      <c r="S124" s="4" t="s">
        <v>115</v>
      </c>
      <c r="T124" s="4" t="s">
        <v>332</v>
      </c>
      <c r="U124" s="6" t="s">
        <v>700</v>
      </c>
      <c r="V124" s="4" t="s">
        <v>64</v>
      </c>
      <c r="AD124" s="57">
        <v>45832</v>
      </c>
      <c r="AE124">
        <v>59944</v>
      </c>
    </row>
    <row r="125" spans="1:31" x14ac:dyDescent="0.3">
      <c r="A125" s="7" t="s">
        <v>701</v>
      </c>
      <c r="B125" s="8" t="s">
        <v>168</v>
      </c>
      <c r="C125" s="8" t="s">
        <v>72</v>
      </c>
      <c r="D125" s="53">
        <v>45950</v>
      </c>
      <c r="E125" s="49" t="s">
        <v>703</v>
      </c>
      <c r="F125" s="4" t="str">
        <f>TRIM(PROPER(Sales_Data!F125))</f>
        <v>Anita Gupta</v>
      </c>
      <c r="G125" s="8" t="s">
        <v>28</v>
      </c>
      <c r="H125" s="8" t="s">
        <v>704</v>
      </c>
      <c r="I125" s="8" t="s">
        <v>105</v>
      </c>
      <c r="J125" s="4" t="str">
        <f>PROPER(Sales_Data!J125)</f>
        <v>West</v>
      </c>
      <c r="K125" s="4" t="str">
        <f>PROPER(Sales_Data!K125)</f>
        <v>Electronics</v>
      </c>
      <c r="L125" s="8" t="s">
        <v>78</v>
      </c>
      <c r="M125" s="8">
        <v>14</v>
      </c>
      <c r="N125" s="8">
        <v>1200</v>
      </c>
      <c r="O125" s="8">
        <v>20</v>
      </c>
      <c r="P125" s="8">
        <v>13440</v>
      </c>
      <c r="Q125" s="8">
        <v>5</v>
      </c>
      <c r="R125" s="8" t="s">
        <v>48</v>
      </c>
      <c r="S125" s="8" t="s">
        <v>61</v>
      </c>
      <c r="T125" s="8" t="s">
        <v>175</v>
      </c>
      <c r="U125" s="9" t="s">
        <v>705</v>
      </c>
      <c r="V125" s="8" t="s">
        <v>38</v>
      </c>
      <c r="AD125" s="57">
        <v>45833</v>
      </c>
      <c r="AE125">
        <v>352000</v>
      </c>
    </row>
    <row r="126" spans="1:31" x14ac:dyDescent="0.3">
      <c r="A126" s="3" t="s">
        <v>706</v>
      </c>
      <c r="B126" s="4" t="s">
        <v>100</v>
      </c>
      <c r="C126" s="4" t="s">
        <v>259</v>
      </c>
      <c r="D126" s="52">
        <v>45788</v>
      </c>
      <c r="E126" s="48" t="s">
        <v>707</v>
      </c>
      <c r="F126" s="4" t="str">
        <f>TRIM(PROPER(Sales_Data!F126))</f>
        <v>Priya Patel</v>
      </c>
      <c r="G126" s="4" t="s">
        <v>28</v>
      </c>
      <c r="H126" s="4" t="s">
        <v>708</v>
      </c>
      <c r="I126" s="4" t="s">
        <v>44</v>
      </c>
      <c r="J126" s="4" t="str">
        <f>PROPER(Sales_Data!J126)</f>
        <v>North</v>
      </c>
      <c r="K126" s="4" t="str">
        <f>PROPER(Sales_Data!K126)</f>
        <v>Stationery</v>
      </c>
      <c r="L126" s="4" t="s">
        <v>263</v>
      </c>
      <c r="M126" s="4">
        <v>2</v>
      </c>
      <c r="N126" s="4">
        <v>45</v>
      </c>
      <c r="O126" s="4">
        <v>5</v>
      </c>
      <c r="P126" s="4">
        <v>85.5</v>
      </c>
      <c r="Q126" s="4">
        <v>3</v>
      </c>
      <c r="R126" s="4" t="s">
        <v>88</v>
      </c>
      <c r="S126" s="4" t="s">
        <v>35</v>
      </c>
      <c r="T126" s="4" t="s">
        <v>144</v>
      </c>
      <c r="U126" s="6" t="s">
        <v>709</v>
      </c>
      <c r="V126" s="4" t="s">
        <v>69</v>
      </c>
      <c r="AD126" s="57">
        <v>45834</v>
      </c>
      <c r="AE126">
        <v>11900</v>
      </c>
    </row>
    <row r="127" spans="1:31" x14ac:dyDescent="0.3">
      <c r="A127" s="7" t="s">
        <v>710</v>
      </c>
      <c r="B127" s="8" t="s">
        <v>168</v>
      </c>
      <c r="C127" s="8" t="s">
        <v>72</v>
      </c>
      <c r="D127" s="53">
        <v>46024</v>
      </c>
      <c r="E127" s="49" t="s">
        <v>712</v>
      </c>
      <c r="F127" s="4" t="str">
        <f>TRIM(PROPER(Sales_Data!F127))</f>
        <v>Anita Gupta</v>
      </c>
      <c r="G127" s="8" t="s">
        <v>28</v>
      </c>
      <c r="H127" s="8" t="s">
        <v>713</v>
      </c>
      <c r="I127" s="8" t="s">
        <v>59</v>
      </c>
      <c r="J127" s="4" t="str">
        <f>PROPER(Sales_Data!J127)</f>
        <v>South</v>
      </c>
      <c r="K127" s="4" t="str">
        <f>PROPER(Sales_Data!K127)</f>
        <v>Electronics</v>
      </c>
      <c r="L127" s="8" t="s">
        <v>78</v>
      </c>
      <c r="M127" s="8">
        <v>2</v>
      </c>
      <c r="N127" s="8">
        <v>1200</v>
      </c>
      <c r="O127" s="8">
        <v>20</v>
      </c>
      <c r="P127" s="8">
        <v>1920</v>
      </c>
      <c r="Q127" s="8">
        <v>3</v>
      </c>
      <c r="R127" s="8" t="s">
        <v>79</v>
      </c>
      <c r="S127" s="8" t="s">
        <v>115</v>
      </c>
      <c r="T127" s="8" t="s">
        <v>175</v>
      </c>
      <c r="U127" s="9" t="s">
        <v>714</v>
      </c>
      <c r="V127" s="8" t="s">
        <v>38</v>
      </c>
      <c r="AD127" s="57">
        <v>45835</v>
      </c>
      <c r="AE127">
        <v>34160</v>
      </c>
    </row>
    <row r="128" spans="1:31" x14ac:dyDescent="0.3">
      <c r="A128" s="3" t="s">
        <v>715</v>
      </c>
      <c r="B128" s="4" t="s">
        <v>127</v>
      </c>
      <c r="C128" s="4" t="s">
        <v>54</v>
      </c>
      <c r="D128" s="52">
        <v>46132</v>
      </c>
      <c r="E128" s="48" t="s">
        <v>716</v>
      </c>
      <c r="F128" s="4" t="str">
        <f>TRIM(PROPER(Sales_Data!F128))</f>
        <v>Rohit Singh</v>
      </c>
      <c r="G128" s="4" t="s">
        <v>76</v>
      </c>
      <c r="H128" s="4" t="s">
        <v>717</v>
      </c>
      <c r="I128" s="4" t="s">
        <v>59</v>
      </c>
      <c r="J128" s="4" t="str">
        <f>PROPER(Sales_Data!J128)</f>
        <v>South</v>
      </c>
      <c r="K128" s="4" t="str">
        <f>PROPER(Sales_Data!K128)</f>
        <v>Electronics</v>
      </c>
      <c r="L128" s="4" t="s">
        <v>60</v>
      </c>
      <c r="M128" s="4">
        <v>10</v>
      </c>
      <c r="N128" s="4">
        <v>55000</v>
      </c>
      <c r="O128" s="4">
        <v>5</v>
      </c>
      <c r="P128" s="4">
        <v>522500</v>
      </c>
      <c r="Q128" s="4">
        <v>5</v>
      </c>
      <c r="R128" s="4" t="s">
        <v>88</v>
      </c>
      <c r="S128" s="4" t="s">
        <v>61</v>
      </c>
      <c r="T128" s="4" t="s">
        <v>132</v>
      </c>
      <c r="U128" s="6" t="s">
        <v>718</v>
      </c>
      <c r="V128" s="4" t="s">
        <v>64</v>
      </c>
      <c r="AD128" s="57">
        <v>45837</v>
      </c>
      <c r="AE128">
        <v>765</v>
      </c>
    </row>
    <row r="129" spans="1:31" x14ac:dyDescent="0.3">
      <c r="A129" s="7" t="s">
        <v>719</v>
      </c>
      <c r="B129" s="8" t="s">
        <v>251</v>
      </c>
      <c r="C129" s="8" t="s">
        <v>92</v>
      </c>
      <c r="D129" s="53">
        <v>45873</v>
      </c>
      <c r="E129" s="49" t="s">
        <v>382</v>
      </c>
      <c r="F129" s="4" t="str">
        <f>TRIM(PROPER(Sales_Data!F129))</f>
        <v>Sneha Joshi</v>
      </c>
      <c r="G129" s="8" t="s">
        <v>28</v>
      </c>
      <c r="H129" s="8" t="s">
        <v>721</v>
      </c>
      <c r="I129" s="8" t="s">
        <v>212</v>
      </c>
      <c r="J129" s="4" t="str">
        <f>PROPER(Sales_Data!J129)</f>
        <v>North</v>
      </c>
      <c r="K129" s="4" t="str">
        <f>PROPER(Sales_Data!K129)</f>
        <v>Home Appliances</v>
      </c>
      <c r="L129" s="8" t="s">
        <v>97</v>
      </c>
      <c r="M129" s="8">
        <v>15</v>
      </c>
      <c r="N129" s="8">
        <v>3500</v>
      </c>
      <c r="O129" s="8">
        <v>10</v>
      </c>
      <c r="P129" s="8">
        <v>47250</v>
      </c>
      <c r="Q129" s="8">
        <v>3</v>
      </c>
      <c r="R129" s="8" t="s">
        <v>48</v>
      </c>
      <c r="S129" s="8" t="s">
        <v>115</v>
      </c>
      <c r="T129" s="8" t="s">
        <v>256</v>
      </c>
      <c r="U129" s="9" t="s">
        <v>722</v>
      </c>
      <c r="V129" s="8" t="s">
        <v>38</v>
      </c>
      <c r="AD129" s="57">
        <v>45839</v>
      </c>
      <c r="AE129">
        <v>132000</v>
      </c>
    </row>
    <row r="130" spans="1:31" x14ac:dyDescent="0.3">
      <c r="A130" s="3" t="s">
        <v>723</v>
      </c>
      <c r="B130" s="4" t="s">
        <v>100</v>
      </c>
      <c r="C130" s="4" t="s">
        <v>24</v>
      </c>
      <c r="D130" s="52">
        <v>45882</v>
      </c>
      <c r="E130" s="48" t="s">
        <v>724</v>
      </c>
      <c r="F130" s="4" t="str">
        <f>TRIM(PROPER(Sales_Data!F130))</f>
        <v>Priya Patel</v>
      </c>
      <c r="G130" s="4" t="s">
        <v>28</v>
      </c>
      <c r="H130" s="4" t="s">
        <v>725</v>
      </c>
      <c r="I130" s="4" t="s">
        <v>59</v>
      </c>
      <c r="J130" s="4" t="str">
        <f>PROPER(Sales_Data!J130)</f>
        <v>South</v>
      </c>
      <c r="K130" s="4" t="str">
        <f>PROPER(Sales_Data!K130)</f>
        <v>Home Appliances</v>
      </c>
      <c r="L130" s="4" t="s">
        <v>33</v>
      </c>
      <c r="M130" s="4">
        <v>10</v>
      </c>
      <c r="N130" s="4">
        <v>2200</v>
      </c>
      <c r="O130" s="4">
        <v>15</v>
      </c>
      <c r="P130" s="4">
        <v>18700</v>
      </c>
      <c r="Q130" s="4">
        <v>4</v>
      </c>
      <c r="R130" s="4" t="s">
        <v>79</v>
      </c>
      <c r="S130" s="4" t="s">
        <v>49</v>
      </c>
      <c r="T130" s="4" t="s">
        <v>144</v>
      </c>
      <c r="U130" s="6" t="s">
        <v>726</v>
      </c>
      <c r="V130" s="4" t="s">
        <v>64</v>
      </c>
      <c r="AD130" s="57">
        <v>45840</v>
      </c>
      <c r="AE130">
        <v>137700</v>
      </c>
    </row>
    <row r="131" spans="1:31" x14ac:dyDescent="0.3">
      <c r="A131" s="7" t="s">
        <v>727</v>
      </c>
      <c r="B131" s="8" t="s">
        <v>251</v>
      </c>
      <c r="C131" s="8" t="s">
        <v>92</v>
      </c>
      <c r="D131" s="53">
        <v>45824</v>
      </c>
      <c r="E131" s="49" t="s">
        <v>231</v>
      </c>
      <c r="F131" s="4" t="str">
        <f>TRIM(PROPER(Sales_Data!F131))</f>
        <v>Sneha Joshi</v>
      </c>
      <c r="G131" s="8" t="s">
        <v>28</v>
      </c>
      <c r="H131" s="8" t="s">
        <v>728</v>
      </c>
      <c r="I131" s="8" t="s">
        <v>114</v>
      </c>
      <c r="J131" s="4" t="str">
        <f>PROPER(Sales_Data!J131)</f>
        <v>West</v>
      </c>
      <c r="K131" s="4" t="str">
        <f>PROPER(Sales_Data!K131)</f>
        <v>Home Appliances</v>
      </c>
      <c r="L131" s="8" t="s">
        <v>97</v>
      </c>
      <c r="M131" s="8">
        <v>11</v>
      </c>
      <c r="N131" s="8">
        <v>3500</v>
      </c>
      <c r="O131" s="8">
        <v>5</v>
      </c>
      <c r="P131" s="8">
        <v>36575</v>
      </c>
      <c r="Q131" s="8">
        <v>5</v>
      </c>
      <c r="R131" s="8" t="s">
        <v>34</v>
      </c>
      <c r="S131" s="8" t="s">
        <v>35</v>
      </c>
      <c r="T131" s="8" t="s">
        <v>256</v>
      </c>
      <c r="U131" s="9" t="s">
        <v>729</v>
      </c>
      <c r="V131" s="8" t="s">
        <v>69</v>
      </c>
      <c r="AD131" s="57">
        <v>45842</v>
      </c>
      <c r="AE131">
        <v>301761</v>
      </c>
    </row>
    <row r="132" spans="1:31" x14ac:dyDescent="0.3">
      <c r="A132" s="3" t="s">
        <v>730</v>
      </c>
      <c r="B132" s="4" t="s">
        <v>168</v>
      </c>
      <c r="C132" s="4" t="s">
        <v>72</v>
      </c>
      <c r="D132" s="52">
        <v>46139</v>
      </c>
      <c r="E132" s="48" t="s">
        <v>732</v>
      </c>
      <c r="F132" s="4" t="str">
        <f>TRIM(PROPER(Sales_Data!F132))</f>
        <v>Anita Gupta</v>
      </c>
      <c r="G132" s="4" t="s">
        <v>28</v>
      </c>
      <c r="H132" s="4" t="s">
        <v>733</v>
      </c>
      <c r="I132" s="4" t="s">
        <v>59</v>
      </c>
      <c r="J132" s="4" t="str">
        <f>PROPER(Sales_Data!J132)</f>
        <v>South</v>
      </c>
      <c r="K132" s="4" t="str">
        <f>PROPER(Sales_Data!K132)</f>
        <v>Electronics</v>
      </c>
      <c r="L132" s="4" t="s">
        <v>78</v>
      </c>
      <c r="M132" s="4">
        <v>14</v>
      </c>
      <c r="N132" s="4">
        <v>1200</v>
      </c>
      <c r="O132" s="4">
        <v>0</v>
      </c>
      <c r="P132" s="4">
        <v>16800</v>
      </c>
      <c r="Q132" s="4">
        <v>5</v>
      </c>
      <c r="R132" s="4" t="s">
        <v>34</v>
      </c>
      <c r="S132" s="4" t="s">
        <v>49</v>
      </c>
      <c r="T132" s="4" t="s">
        <v>175</v>
      </c>
      <c r="U132" s="6" t="s">
        <v>734</v>
      </c>
      <c r="V132" s="4" t="s">
        <v>69</v>
      </c>
      <c r="AD132" s="57">
        <v>45844</v>
      </c>
      <c r="AE132">
        <v>627000</v>
      </c>
    </row>
    <row r="133" spans="1:31" x14ac:dyDescent="0.3">
      <c r="A133" s="7" t="s">
        <v>735</v>
      </c>
      <c r="B133" s="8" t="s">
        <v>100</v>
      </c>
      <c r="C133" s="8" t="s">
        <v>222</v>
      </c>
      <c r="D133" s="53">
        <v>46070</v>
      </c>
      <c r="E133" s="49" t="s">
        <v>170</v>
      </c>
      <c r="F133" s="4" t="str">
        <f>TRIM(PROPER(Sales_Data!F133))</f>
        <v>Priya Patel</v>
      </c>
      <c r="G133" s="8" t="s">
        <v>28</v>
      </c>
      <c r="H133" s="8" t="s">
        <v>737</v>
      </c>
      <c r="I133" s="8" t="s">
        <v>44</v>
      </c>
      <c r="J133" s="4" t="str">
        <f>PROPER(Sales_Data!J133)</f>
        <v>North</v>
      </c>
      <c r="K133" s="4" t="str">
        <f>PROPER(Sales_Data!K133)</f>
        <v>Stationery</v>
      </c>
      <c r="L133" s="8" t="s">
        <v>227</v>
      </c>
      <c r="M133" s="8">
        <v>11</v>
      </c>
      <c r="N133" s="8">
        <v>20</v>
      </c>
      <c r="O133" s="8">
        <v>20</v>
      </c>
      <c r="P133" s="8">
        <v>176</v>
      </c>
      <c r="Q133" s="8">
        <v>4</v>
      </c>
      <c r="R133" s="8" t="s">
        <v>48</v>
      </c>
      <c r="S133" s="8" t="s">
        <v>35</v>
      </c>
      <c r="T133" s="8" t="s">
        <v>144</v>
      </c>
      <c r="U133" s="9" t="s">
        <v>738</v>
      </c>
      <c r="V133" s="8" t="s">
        <v>38</v>
      </c>
      <c r="AD133" s="57">
        <v>45845</v>
      </c>
      <c r="AE133">
        <v>12960</v>
      </c>
    </row>
    <row r="134" spans="1:31" x14ac:dyDescent="0.3">
      <c r="A134" s="3" t="s">
        <v>739</v>
      </c>
      <c r="B134" s="4" t="s">
        <v>71</v>
      </c>
      <c r="C134" s="4" t="s">
        <v>40</v>
      </c>
      <c r="D134" s="52">
        <v>46116</v>
      </c>
      <c r="E134" s="48" t="s">
        <v>657</v>
      </c>
      <c r="F134" s="4" t="str">
        <f>TRIM(PROPER(Sales_Data!F134))</f>
        <v>Mohit Verma</v>
      </c>
      <c r="G134" s="4" t="s">
        <v>76</v>
      </c>
      <c r="H134" s="4" t="s">
        <v>741</v>
      </c>
      <c r="I134" s="4" t="s">
        <v>114</v>
      </c>
      <c r="J134" s="4" t="str">
        <f>PROPER(Sales_Data!J134)</f>
        <v>West</v>
      </c>
      <c r="K134" s="4" t="str">
        <f>PROPER(Sales_Data!K134)</f>
        <v>Electronics</v>
      </c>
      <c r="L134" s="4" t="s">
        <v>47</v>
      </c>
      <c r="M134" s="4">
        <v>6</v>
      </c>
      <c r="N134" s="4">
        <v>12000</v>
      </c>
      <c r="O134" s="4">
        <v>10</v>
      </c>
      <c r="P134" s="4">
        <v>64800</v>
      </c>
      <c r="Q134" s="4">
        <v>5</v>
      </c>
      <c r="R134" s="4" t="s">
        <v>88</v>
      </c>
      <c r="S134" s="4" t="s">
        <v>151</v>
      </c>
      <c r="T134" s="4" t="s">
        <v>80</v>
      </c>
      <c r="U134" s="6" t="s">
        <v>742</v>
      </c>
      <c r="V134" s="4" t="s">
        <v>38</v>
      </c>
      <c r="AD134" s="57">
        <v>45846</v>
      </c>
      <c r="AE134">
        <v>21660</v>
      </c>
    </row>
    <row r="135" spans="1:31" x14ac:dyDescent="0.3">
      <c r="A135" s="7" t="s">
        <v>743</v>
      </c>
      <c r="B135" s="8" t="s">
        <v>71</v>
      </c>
      <c r="C135" s="8" t="s">
        <v>24</v>
      </c>
      <c r="D135" s="53">
        <v>45756</v>
      </c>
      <c r="E135" s="49" t="s">
        <v>539</v>
      </c>
      <c r="F135" s="4" t="str">
        <f>TRIM(PROPER(Sales_Data!F135))</f>
        <v>Mohit Verma</v>
      </c>
      <c r="G135" s="8" t="s">
        <v>76</v>
      </c>
      <c r="H135" s="8" t="s">
        <v>744</v>
      </c>
      <c r="I135" s="8" t="s">
        <v>30</v>
      </c>
      <c r="J135" s="4" t="str">
        <f>PROPER(Sales_Data!J135)</f>
        <v>South</v>
      </c>
      <c r="K135" s="4" t="str">
        <f>PROPER(Sales_Data!K135)</f>
        <v>Home Appliances</v>
      </c>
      <c r="L135" s="8" t="s">
        <v>33</v>
      </c>
      <c r="M135" s="8">
        <v>6</v>
      </c>
      <c r="N135" s="8">
        <v>2200</v>
      </c>
      <c r="O135" s="8">
        <v>5</v>
      </c>
      <c r="P135" s="8">
        <v>12540</v>
      </c>
      <c r="Q135" s="8">
        <v>4</v>
      </c>
      <c r="R135" s="8" t="s">
        <v>34</v>
      </c>
      <c r="S135" s="8" t="s">
        <v>49</v>
      </c>
      <c r="T135" s="8" t="s">
        <v>80</v>
      </c>
      <c r="U135" s="9" t="s">
        <v>745</v>
      </c>
      <c r="V135" s="8" t="s">
        <v>38</v>
      </c>
      <c r="AD135" s="57">
        <v>45847</v>
      </c>
      <c r="AE135">
        <v>76800</v>
      </c>
    </row>
    <row r="136" spans="1:31" x14ac:dyDescent="0.3">
      <c r="A136" s="3" t="s">
        <v>746</v>
      </c>
      <c r="B136" s="4" t="s">
        <v>53</v>
      </c>
      <c r="C136" s="4" t="s">
        <v>92</v>
      </c>
      <c r="D136" s="52">
        <v>45823</v>
      </c>
      <c r="E136" s="48" t="s">
        <v>488</v>
      </c>
      <c r="F136" s="4" t="str">
        <f>TRIM(PROPER(Sales_Data!F136))</f>
        <v>Pooja Shah</v>
      </c>
      <c r="G136" s="4" t="s">
        <v>28</v>
      </c>
      <c r="H136" s="4" t="s">
        <v>747</v>
      </c>
      <c r="I136" s="4" t="s">
        <v>44</v>
      </c>
      <c r="J136" s="4" t="str">
        <f>PROPER(Sales_Data!J136)</f>
        <v>North</v>
      </c>
      <c r="K136" s="4" t="str">
        <f>PROPER(Sales_Data!K136)</f>
        <v>Home Appliances</v>
      </c>
      <c r="L136" s="4" t="s">
        <v>97</v>
      </c>
      <c r="M136" s="4">
        <v>3</v>
      </c>
      <c r="N136" s="4">
        <v>3500</v>
      </c>
      <c r="O136" s="4">
        <v>5</v>
      </c>
      <c r="P136" s="4">
        <v>9975</v>
      </c>
      <c r="Q136" s="4">
        <v>4</v>
      </c>
      <c r="R136" s="4" t="s">
        <v>48</v>
      </c>
      <c r="S136" s="4" t="s">
        <v>49</v>
      </c>
      <c r="T136" s="4" t="s">
        <v>62</v>
      </c>
      <c r="U136" s="6" t="s">
        <v>748</v>
      </c>
      <c r="V136" s="4" t="s">
        <v>64</v>
      </c>
      <c r="AD136" s="57">
        <v>45848</v>
      </c>
      <c r="AE136">
        <v>17340</v>
      </c>
    </row>
    <row r="137" spans="1:31" x14ac:dyDescent="0.3">
      <c r="A137" s="7" t="s">
        <v>749</v>
      </c>
      <c r="B137" s="8" t="s">
        <v>71</v>
      </c>
      <c r="C137" s="8" t="s">
        <v>169</v>
      </c>
      <c r="D137" s="53">
        <v>45816</v>
      </c>
      <c r="E137" s="49" t="s">
        <v>751</v>
      </c>
      <c r="F137" s="4" t="str">
        <f>TRIM(PROPER(Sales_Data!F137))</f>
        <v>Mohit Verma</v>
      </c>
      <c r="G137" s="8" t="s">
        <v>76</v>
      </c>
      <c r="H137" s="8" t="s">
        <v>752</v>
      </c>
      <c r="I137" s="8" t="s">
        <v>30</v>
      </c>
      <c r="J137" s="4" t="str">
        <f>PROPER(Sales_Data!J137)</f>
        <v>South</v>
      </c>
      <c r="K137" s="4" t="str">
        <f>PROPER(Sales_Data!K137)</f>
        <v>Home Appliances</v>
      </c>
      <c r="L137" s="8" t="s">
        <v>174</v>
      </c>
      <c r="M137" s="8">
        <v>5</v>
      </c>
      <c r="N137" s="8">
        <v>8500</v>
      </c>
      <c r="O137" s="8">
        <v>20</v>
      </c>
      <c r="P137" s="8">
        <v>34000</v>
      </c>
      <c r="Q137" s="8">
        <v>5</v>
      </c>
      <c r="R137" s="8" t="s">
        <v>34</v>
      </c>
      <c r="S137" s="8" t="s">
        <v>61</v>
      </c>
      <c r="T137" s="8" t="s">
        <v>80</v>
      </c>
      <c r="U137" s="9" t="s">
        <v>753</v>
      </c>
      <c r="V137" s="8" t="s">
        <v>64</v>
      </c>
      <c r="AD137" s="57">
        <v>45852</v>
      </c>
      <c r="AE137">
        <v>28160</v>
      </c>
    </row>
    <row r="138" spans="1:31" x14ac:dyDescent="0.3">
      <c r="A138" s="3" t="s">
        <v>754</v>
      </c>
      <c r="B138" s="4" t="s">
        <v>23</v>
      </c>
      <c r="C138" s="4" t="s">
        <v>92</v>
      </c>
      <c r="D138" s="52">
        <v>45863</v>
      </c>
      <c r="E138" s="48" t="s">
        <v>756</v>
      </c>
      <c r="F138" s="4" t="str">
        <f>TRIM(PROPER(Sales_Data!F138))</f>
        <v>Kavya Nair</v>
      </c>
      <c r="G138" s="4" t="s">
        <v>28</v>
      </c>
      <c r="H138" s="4" t="s">
        <v>757</v>
      </c>
      <c r="I138" s="4" t="s">
        <v>59</v>
      </c>
      <c r="J138" s="4" t="str">
        <f>PROPER(Sales_Data!J138)</f>
        <v>South</v>
      </c>
      <c r="K138" s="4" t="str">
        <f>PROPER(Sales_Data!K138)</f>
        <v>Home Appliances</v>
      </c>
      <c r="L138" s="4" t="s">
        <v>97</v>
      </c>
      <c r="M138" s="4">
        <v>14</v>
      </c>
      <c r="N138" s="4">
        <v>3500</v>
      </c>
      <c r="O138" s="4">
        <v>10</v>
      </c>
      <c r="P138" s="4">
        <v>44100</v>
      </c>
      <c r="Q138" s="4">
        <v>4</v>
      </c>
      <c r="R138" s="4" t="s">
        <v>88</v>
      </c>
      <c r="S138" s="4" t="s">
        <v>35</v>
      </c>
      <c r="T138" s="4" t="s">
        <v>50</v>
      </c>
      <c r="U138" s="6" t="s">
        <v>758</v>
      </c>
      <c r="V138" s="4" t="s">
        <v>69</v>
      </c>
      <c r="AD138" s="57">
        <v>45856</v>
      </c>
      <c r="AE138">
        <v>9350</v>
      </c>
    </row>
    <row r="139" spans="1:31" x14ac:dyDescent="0.3">
      <c r="A139" s="7" t="s">
        <v>759</v>
      </c>
      <c r="B139" s="8" t="s">
        <v>327</v>
      </c>
      <c r="C139" s="8" t="s">
        <v>259</v>
      </c>
      <c r="D139" s="53">
        <v>45673</v>
      </c>
      <c r="E139" s="49" t="s">
        <v>761</v>
      </c>
      <c r="F139" s="4" t="str">
        <f>TRIM(PROPER(Sales_Data!F139))</f>
        <v>Amit Sharma</v>
      </c>
      <c r="G139" s="8" t="s">
        <v>76</v>
      </c>
      <c r="H139" s="8" t="s">
        <v>762</v>
      </c>
      <c r="I139" s="8" t="s">
        <v>138</v>
      </c>
      <c r="J139" s="4" t="str">
        <f>PROPER(Sales_Data!J139)</f>
        <v>West</v>
      </c>
      <c r="K139" s="4" t="str">
        <f>PROPER(Sales_Data!K139)</f>
        <v>Stationery</v>
      </c>
      <c r="L139" s="8" t="s">
        <v>263</v>
      </c>
      <c r="M139" s="8">
        <v>8</v>
      </c>
      <c r="N139" s="8">
        <v>45</v>
      </c>
      <c r="O139" s="8">
        <v>0</v>
      </c>
      <c r="P139" s="8">
        <v>360</v>
      </c>
      <c r="Q139" s="8">
        <v>1</v>
      </c>
      <c r="R139" s="8" t="s">
        <v>79</v>
      </c>
      <c r="S139" s="8" t="s">
        <v>151</v>
      </c>
      <c r="T139" s="8" t="s">
        <v>332</v>
      </c>
      <c r="U139" s="9" t="s">
        <v>763</v>
      </c>
      <c r="V139" s="8" t="s">
        <v>69</v>
      </c>
      <c r="AD139" s="57">
        <v>45857</v>
      </c>
      <c r="AE139">
        <v>3240</v>
      </c>
    </row>
    <row r="140" spans="1:31" x14ac:dyDescent="0.3">
      <c r="A140" s="3" t="s">
        <v>764</v>
      </c>
      <c r="B140" s="4" t="s">
        <v>221</v>
      </c>
      <c r="C140" s="4" t="s">
        <v>259</v>
      </c>
      <c r="D140" s="52">
        <v>45692</v>
      </c>
      <c r="E140" s="48" t="s">
        <v>766</v>
      </c>
      <c r="F140" s="4" t="str">
        <f>TRIM(PROPER(Sales_Data!F140))</f>
        <v>Vikas Mehta</v>
      </c>
      <c r="G140" s="4" t="s">
        <v>76</v>
      </c>
      <c r="H140" s="4" t="s">
        <v>767</v>
      </c>
      <c r="I140" s="4" t="s">
        <v>44</v>
      </c>
      <c r="J140" s="4" t="str">
        <f>PROPER(Sales_Data!J140)</f>
        <v>North</v>
      </c>
      <c r="K140" s="4" t="str">
        <f>PROPER(Sales_Data!K140)</f>
        <v>Stationery</v>
      </c>
      <c r="L140" s="4" t="s">
        <v>263</v>
      </c>
      <c r="M140" s="4">
        <v>11</v>
      </c>
      <c r="N140" s="4">
        <v>45</v>
      </c>
      <c r="O140" s="4">
        <v>5</v>
      </c>
      <c r="P140" s="4">
        <v>470.25</v>
      </c>
      <c r="Q140" s="4">
        <v>3</v>
      </c>
      <c r="R140" s="4" t="s">
        <v>79</v>
      </c>
      <c r="S140" s="4" t="s">
        <v>49</v>
      </c>
      <c r="T140" s="4" t="s">
        <v>228</v>
      </c>
      <c r="U140" s="6" t="s">
        <v>768</v>
      </c>
      <c r="V140" s="4" t="s">
        <v>38</v>
      </c>
      <c r="AD140" s="57">
        <v>45858</v>
      </c>
      <c r="AE140">
        <v>50456.5</v>
      </c>
    </row>
    <row r="141" spans="1:31" x14ac:dyDescent="0.3">
      <c r="A141" s="7" t="s">
        <v>769</v>
      </c>
      <c r="B141" s="8" t="s">
        <v>83</v>
      </c>
      <c r="C141" s="8" t="s">
        <v>54</v>
      </c>
      <c r="D141" s="53">
        <v>45679</v>
      </c>
      <c r="E141" s="49" t="s">
        <v>771</v>
      </c>
      <c r="F141" s="4" t="str">
        <f>TRIM(PROPER(Sales_Data!F141))</f>
        <v>Arjun Rao</v>
      </c>
      <c r="G141" s="8" t="s">
        <v>76</v>
      </c>
      <c r="H141" s="8" t="s">
        <v>772</v>
      </c>
      <c r="I141" s="8" t="s">
        <v>138</v>
      </c>
      <c r="J141" s="4" t="str">
        <f>PROPER(Sales_Data!J141)</f>
        <v>West</v>
      </c>
      <c r="K141" s="4" t="str">
        <f>PROPER(Sales_Data!K141)</f>
        <v>Electronics</v>
      </c>
      <c r="L141" s="8" t="s">
        <v>60</v>
      </c>
      <c r="M141" s="8">
        <v>19</v>
      </c>
      <c r="N141" s="8">
        <v>55000</v>
      </c>
      <c r="O141" s="8">
        <v>0</v>
      </c>
      <c r="P141" s="8">
        <v>1045000</v>
      </c>
      <c r="Q141" s="8">
        <v>2</v>
      </c>
      <c r="R141" s="8" t="s">
        <v>79</v>
      </c>
      <c r="S141" s="8" t="s">
        <v>35</v>
      </c>
      <c r="T141" s="8" t="s">
        <v>89</v>
      </c>
      <c r="U141" s="9" t="s">
        <v>773</v>
      </c>
      <c r="V141" s="8" t="s">
        <v>69</v>
      </c>
      <c r="AD141" s="57">
        <v>45859</v>
      </c>
      <c r="AE141">
        <v>10260</v>
      </c>
    </row>
    <row r="142" spans="1:31" x14ac:dyDescent="0.3">
      <c r="A142" s="3" t="s">
        <v>774</v>
      </c>
      <c r="B142" s="4" t="s">
        <v>53</v>
      </c>
      <c r="C142" s="4" t="s">
        <v>92</v>
      </c>
      <c r="D142" s="52">
        <v>45758</v>
      </c>
      <c r="E142" s="48" t="s">
        <v>539</v>
      </c>
      <c r="F142" s="4" t="str">
        <f>TRIM(PROPER(Sales_Data!F142))</f>
        <v>Pooja Shah</v>
      </c>
      <c r="G142" s="4" t="s">
        <v>28</v>
      </c>
      <c r="H142" s="4" t="s">
        <v>776</v>
      </c>
      <c r="I142" s="4" t="s">
        <v>114</v>
      </c>
      <c r="J142" s="4" t="str">
        <f>PROPER(Sales_Data!J142)</f>
        <v>West</v>
      </c>
      <c r="K142" s="4" t="str">
        <f>PROPER(Sales_Data!K142)</f>
        <v>Home Appliances</v>
      </c>
      <c r="L142" s="4" t="s">
        <v>97</v>
      </c>
      <c r="M142" s="4">
        <v>20</v>
      </c>
      <c r="N142" s="4">
        <v>3500</v>
      </c>
      <c r="O142" s="4">
        <v>20</v>
      </c>
      <c r="P142" s="4">
        <v>56000</v>
      </c>
      <c r="Q142" s="4">
        <v>4</v>
      </c>
      <c r="R142" s="4" t="s">
        <v>48</v>
      </c>
      <c r="S142" s="4" t="s">
        <v>49</v>
      </c>
      <c r="T142" s="4" t="s">
        <v>62</v>
      </c>
      <c r="U142" s="6" t="s">
        <v>777</v>
      </c>
      <c r="V142" s="4" t="s">
        <v>38</v>
      </c>
      <c r="AD142" s="57">
        <v>45860</v>
      </c>
      <c r="AE142">
        <v>25914</v>
      </c>
    </row>
    <row r="143" spans="1:31" x14ac:dyDescent="0.3">
      <c r="A143" s="7" t="s">
        <v>778</v>
      </c>
      <c r="B143" s="8" t="s">
        <v>83</v>
      </c>
      <c r="C143" s="8" t="s">
        <v>24</v>
      </c>
      <c r="D143" s="53">
        <v>45842</v>
      </c>
      <c r="E143" s="49" t="s">
        <v>779</v>
      </c>
      <c r="F143" s="4" t="str">
        <f>TRIM(PROPER(Sales_Data!F143))</f>
        <v>Arjun Rao</v>
      </c>
      <c r="G143" s="8" t="s">
        <v>76</v>
      </c>
      <c r="H143" s="8" t="s">
        <v>780</v>
      </c>
      <c r="I143" s="8" t="s">
        <v>114</v>
      </c>
      <c r="J143" s="4" t="str">
        <f>PROPER(Sales_Data!J143)</f>
        <v>West</v>
      </c>
      <c r="K143" s="4" t="str">
        <f>PROPER(Sales_Data!K143)</f>
        <v>Home Appliances</v>
      </c>
      <c r="L143" s="8" t="s">
        <v>33</v>
      </c>
      <c r="M143" s="8">
        <v>17</v>
      </c>
      <c r="N143" s="8">
        <v>2200</v>
      </c>
      <c r="O143" s="8">
        <v>0</v>
      </c>
      <c r="P143" s="8">
        <v>37400</v>
      </c>
      <c r="Q143" s="8">
        <v>5</v>
      </c>
      <c r="R143" s="8" t="s">
        <v>48</v>
      </c>
      <c r="S143" s="8" t="s">
        <v>35</v>
      </c>
      <c r="T143" s="8" t="s">
        <v>89</v>
      </c>
      <c r="U143" s="9" t="s">
        <v>781</v>
      </c>
      <c r="V143" s="8" t="s">
        <v>64</v>
      </c>
      <c r="AD143" s="57">
        <v>45861</v>
      </c>
      <c r="AE143">
        <v>176000</v>
      </c>
    </row>
    <row r="144" spans="1:31" x14ac:dyDescent="0.3">
      <c r="A144" s="3" t="s">
        <v>782</v>
      </c>
      <c r="B144" s="4" t="s">
        <v>83</v>
      </c>
      <c r="C144" s="4" t="s">
        <v>72</v>
      </c>
      <c r="D144" s="52">
        <v>45679</v>
      </c>
      <c r="E144" s="48" t="s">
        <v>783</v>
      </c>
      <c r="F144" s="4" t="str">
        <f>TRIM(PROPER(Sales_Data!F144))</f>
        <v>Arjun Rao</v>
      </c>
      <c r="G144" s="4" t="s">
        <v>76</v>
      </c>
      <c r="H144" s="4" t="s">
        <v>784</v>
      </c>
      <c r="I144" s="4" t="s">
        <v>114</v>
      </c>
      <c r="J144" s="4" t="str">
        <f>PROPER(Sales_Data!J144)</f>
        <v>West</v>
      </c>
      <c r="K144" s="4" t="str">
        <f>PROPER(Sales_Data!K144)</f>
        <v>Electronics</v>
      </c>
      <c r="L144" s="4" t="s">
        <v>78</v>
      </c>
      <c r="M144" s="4">
        <v>10</v>
      </c>
      <c r="N144" s="4">
        <v>1200</v>
      </c>
      <c r="O144" s="4">
        <v>5</v>
      </c>
      <c r="P144" s="4">
        <v>11400</v>
      </c>
      <c r="Q144" s="4">
        <v>2</v>
      </c>
      <c r="R144" s="4" t="s">
        <v>34</v>
      </c>
      <c r="S144" s="4" t="s">
        <v>49</v>
      </c>
      <c r="T144" s="4" t="s">
        <v>89</v>
      </c>
      <c r="U144" s="6" t="s">
        <v>785</v>
      </c>
      <c r="V144" s="4" t="s">
        <v>69</v>
      </c>
      <c r="AD144" s="57">
        <v>45863</v>
      </c>
      <c r="AE144">
        <v>44132</v>
      </c>
    </row>
    <row r="145" spans="1:31" x14ac:dyDescent="0.3">
      <c r="A145" s="7" t="s">
        <v>786</v>
      </c>
      <c r="B145" s="8" t="s">
        <v>221</v>
      </c>
      <c r="C145" s="8" t="s">
        <v>118</v>
      </c>
      <c r="D145" s="53">
        <v>46008</v>
      </c>
      <c r="E145" s="49" t="s">
        <v>788</v>
      </c>
      <c r="F145" s="4" t="str">
        <f>TRIM(PROPER(Sales_Data!F145))</f>
        <v>Vikas Mehta</v>
      </c>
      <c r="G145" s="8" t="s">
        <v>76</v>
      </c>
      <c r="H145" s="8" t="s">
        <v>789</v>
      </c>
      <c r="I145" s="8" t="s">
        <v>30</v>
      </c>
      <c r="J145" s="4" t="str">
        <f>PROPER(Sales_Data!J145)</f>
        <v>South</v>
      </c>
      <c r="K145" s="4" t="str">
        <f>PROPER(Sales_Data!K145)</f>
        <v>Stationery</v>
      </c>
      <c r="L145" s="8" t="s">
        <v>123</v>
      </c>
      <c r="M145" s="8">
        <v>3</v>
      </c>
      <c r="N145" s="8">
        <v>60</v>
      </c>
      <c r="O145" s="8">
        <v>0</v>
      </c>
      <c r="P145" s="8">
        <v>180</v>
      </c>
      <c r="Q145" s="8">
        <v>4</v>
      </c>
      <c r="R145" s="8" t="s">
        <v>48</v>
      </c>
      <c r="S145" s="8" t="s">
        <v>151</v>
      </c>
      <c r="T145" s="8" t="s">
        <v>228</v>
      </c>
      <c r="U145" s="9" t="s">
        <v>790</v>
      </c>
      <c r="V145" s="8" t="s">
        <v>38</v>
      </c>
      <c r="AD145" s="57">
        <v>45864</v>
      </c>
      <c r="AE145">
        <v>44625</v>
      </c>
    </row>
    <row r="146" spans="1:31" x14ac:dyDescent="0.3">
      <c r="A146" s="3" t="s">
        <v>791</v>
      </c>
      <c r="B146" s="4" t="s">
        <v>53</v>
      </c>
      <c r="C146" s="4" t="s">
        <v>24</v>
      </c>
      <c r="D146" s="52">
        <v>45940</v>
      </c>
      <c r="E146" s="48" t="s">
        <v>793</v>
      </c>
      <c r="F146" s="4" t="str">
        <f>TRIM(PROPER(Sales_Data!F146))</f>
        <v>Pooja Shah</v>
      </c>
      <c r="G146" s="4" t="s">
        <v>28</v>
      </c>
      <c r="H146" s="4" t="s">
        <v>794</v>
      </c>
      <c r="I146" s="4" t="s">
        <v>105</v>
      </c>
      <c r="J146" s="4" t="str">
        <f>PROPER(Sales_Data!J146)</f>
        <v>West</v>
      </c>
      <c r="K146" s="4" t="str">
        <f>PROPER(Sales_Data!K146)</f>
        <v>Home Appliances</v>
      </c>
      <c r="L146" s="4" t="s">
        <v>33</v>
      </c>
      <c r="M146" s="4">
        <v>18</v>
      </c>
      <c r="N146" s="4">
        <v>2200</v>
      </c>
      <c r="O146" s="4">
        <v>10</v>
      </c>
      <c r="P146" s="4">
        <v>35640</v>
      </c>
      <c r="Q146" s="4">
        <v>1</v>
      </c>
      <c r="R146" s="4" t="s">
        <v>79</v>
      </c>
      <c r="S146" s="4" t="s">
        <v>151</v>
      </c>
      <c r="T146" s="4" t="s">
        <v>62</v>
      </c>
      <c r="U146" s="6" t="s">
        <v>795</v>
      </c>
      <c r="V146" s="4" t="s">
        <v>69</v>
      </c>
      <c r="AD146" s="57">
        <v>45865</v>
      </c>
      <c r="AE146">
        <v>2100</v>
      </c>
    </row>
    <row r="147" spans="1:31" x14ac:dyDescent="0.3">
      <c r="A147" s="7" t="s">
        <v>796</v>
      </c>
      <c r="B147" s="8" t="s">
        <v>71</v>
      </c>
      <c r="C147" s="8" t="s">
        <v>118</v>
      </c>
      <c r="D147" s="53">
        <v>46088</v>
      </c>
      <c r="E147" s="49" t="s">
        <v>798</v>
      </c>
      <c r="F147" s="4" t="str">
        <f>TRIM(PROPER(Sales_Data!F147))</f>
        <v>Mohit Verma</v>
      </c>
      <c r="G147" s="8" t="s">
        <v>76</v>
      </c>
      <c r="H147" s="8" t="s">
        <v>799</v>
      </c>
      <c r="I147" s="8" t="s">
        <v>44</v>
      </c>
      <c r="J147" s="4" t="str">
        <f>PROPER(Sales_Data!J147)</f>
        <v>North</v>
      </c>
      <c r="K147" s="4" t="str">
        <f>PROPER(Sales_Data!K147)</f>
        <v>Stationery</v>
      </c>
      <c r="L147" s="8" t="s">
        <v>123</v>
      </c>
      <c r="M147" s="8">
        <v>18</v>
      </c>
      <c r="N147" s="8">
        <v>60</v>
      </c>
      <c r="O147" s="8">
        <v>5</v>
      </c>
      <c r="P147" s="8">
        <v>1026</v>
      </c>
      <c r="Q147" s="8">
        <v>3</v>
      </c>
      <c r="R147" s="8" t="s">
        <v>79</v>
      </c>
      <c r="S147" s="8" t="s">
        <v>49</v>
      </c>
      <c r="T147" s="8" t="s">
        <v>80</v>
      </c>
      <c r="U147" s="9" t="s">
        <v>800</v>
      </c>
      <c r="V147" s="8" t="s">
        <v>64</v>
      </c>
      <c r="AD147" s="57">
        <v>45866</v>
      </c>
      <c r="AE147">
        <v>864</v>
      </c>
    </row>
    <row r="148" spans="1:31" x14ac:dyDescent="0.3">
      <c r="A148" s="3" t="s">
        <v>801</v>
      </c>
      <c r="B148" s="4" t="s">
        <v>127</v>
      </c>
      <c r="C148" s="4" t="s">
        <v>54</v>
      </c>
      <c r="D148" s="52">
        <v>45885</v>
      </c>
      <c r="E148" s="48" t="s">
        <v>377</v>
      </c>
      <c r="F148" s="4" t="str">
        <f>TRIM(PROPER(Sales_Data!F148))</f>
        <v>Rohit Singh</v>
      </c>
      <c r="G148" s="4" t="s">
        <v>76</v>
      </c>
      <c r="H148" s="4" t="s">
        <v>802</v>
      </c>
      <c r="I148" s="4" t="s">
        <v>114</v>
      </c>
      <c r="J148" s="4" t="str">
        <f>PROPER(Sales_Data!J148)</f>
        <v>West</v>
      </c>
      <c r="K148" s="4" t="str">
        <f>PROPER(Sales_Data!K148)</f>
        <v>Electronics</v>
      </c>
      <c r="L148" s="4" t="s">
        <v>60</v>
      </c>
      <c r="M148" s="4">
        <v>11</v>
      </c>
      <c r="N148" s="4">
        <v>55000</v>
      </c>
      <c r="O148" s="4">
        <v>15</v>
      </c>
      <c r="P148" s="4">
        <v>514250</v>
      </c>
      <c r="Q148" s="4">
        <v>4</v>
      </c>
      <c r="R148" s="4" t="s">
        <v>88</v>
      </c>
      <c r="S148" s="4" t="s">
        <v>115</v>
      </c>
      <c r="T148" s="4" t="s">
        <v>132</v>
      </c>
      <c r="U148" s="6" t="s">
        <v>803</v>
      </c>
      <c r="V148" s="4" t="s">
        <v>69</v>
      </c>
      <c r="AD148" s="57">
        <v>45867</v>
      </c>
      <c r="AE148">
        <v>9800</v>
      </c>
    </row>
    <row r="149" spans="1:31" x14ac:dyDescent="0.3">
      <c r="A149" s="7" t="s">
        <v>804</v>
      </c>
      <c r="B149" s="8" t="s">
        <v>251</v>
      </c>
      <c r="C149" s="8" t="s">
        <v>169</v>
      </c>
      <c r="D149" s="53">
        <v>46014</v>
      </c>
      <c r="E149" s="49" t="s">
        <v>464</v>
      </c>
      <c r="F149" s="4" t="str">
        <f>TRIM(PROPER(Sales_Data!F149))</f>
        <v>Sneha Joshi</v>
      </c>
      <c r="G149" s="8" t="s">
        <v>28</v>
      </c>
      <c r="H149" s="8" t="s">
        <v>805</v>
      </c>
      <c r="I149" s="8" t="s">
        <v>294</v>
      </c>
      <c r="J149" s="4" t="str">
        <f>PROPER(Sales_Data!J149)</f>
        <v>East</v>
      </c>
      <c r="K149" s="4" t="str">
        <f>PROPER(Sales_Data!K149)</f>
        <v>Home Appliances</v>
      </c>
      <c r="L149" s="8" t="s">
        <v>174</v>
      </c>
      <c r="M149" s="8">
        <v>5</v>
      </c>
      <c r="N149" s="8">
        <v>8500</v>
      </c>
      <c r="O149" s="8">
        <v>5</v>
      </c>
      <c r="P149" s="8">
        <v>40375</v>
      </c>
      <c r="Q149" s="8">
        <v>4</v>
      </c>
      <c r="R149" s="8" t="s">
        <v>34</v>
      </c>
      <c r="S149" s="8" t="s">
        <v>151</v>
      </c>
      <c r="T149" s="8" t="s">
        <v>256</v>
      </c>
      <c r="U149" s="9" t="s">
        <v>806</v>
      </c>
      <c r="V149" s="8" t="s">
        <v>38</v>
      </c>
      <c r="AD149" s="57">
        <v>45868</v>
      </c>
      <c r="AE149">
        <v>8925</v>
      </c>
    </row>
    <row r="150" spans="1:31" x14ac:dyDescent="0.3">
      <c r="A150" s="3" t="s">
        <v>192</v>
      </c>
      <c r="B150" s="4" t="s">
        <v>100</v>
      </c>
      <c r="C150" s="4" t="s">
        <v>184</v>
      </c>
      <c r="D150" s="52">
        <v>45908</v>
      </c>
      <c r="E150" s="48" t="s">
        <v>128</v>
      </c>
      <c r="F150" s="4" t="str">
        <f>TRIM(PROPER(Sales_Data!F150))</f>
        <v>Priya Patel</v>
      </c>
      <c r="G150" s="4" t="s">
        <v>28</v>
      </c>
      <c r="H150" s="4" t="s">
        <v>807</v>
      </c>
      <c r="I150" s="4" t="s">
        <v>212</v>
      </c>
      <c r="J150" s="4" t="str">
        <f>PROPER(Sales_Data!J150)</f>
        <v>North</v>
      </c>
      <c r="K150" s="4" t="str">
        <f>PROPER(Sales_Data!K150)</f>
        <v>Electronics</v>
      </c>
      <c r="L150" s="4" t="s">
        <v>189</v>
      </c>
      <c r="M150" s="4">
        <v>16</v>
      </c>
      <c r="N150" s="4">
        <v>700</v>
      </c>
      <c r="O150" s="4">
        <v>15</v>
      </c>
      <c r="P150" s="4">
        <v>9520</v>
      </c>
      <c r="Q150" s="4">
        <v>4</v>
      </c>
      <c r="R150" s="4" t="s">
        <v>79</v>
      </c>
      <c r="S150" s="4" t="s">
        <v>61</v>
      </c>
      <c r="T150" s="4" t="s">
        <v>144</v>
      </c>
      <c r="U150" s="6" t="s">
        <v>808</v>
      </c>
      <c r="V150" s="4" t="s">
        <v>38</v>
      </c>
      <c r="AD150" s="57">
        <v>45870</v>
      </c>
      <c r="AE150">
        <v>110000</v>
      </c>
    </row>
    <row r="151" spans="1:31" x14ac:dyDescent="0.3">
      <c r="A151" s="7" t="s">
        <v>809</v>
      </c>
      <c r="B151" s="8" t="s">
        <v>127</v>
      </c>
      <c r="C151" s="8" t="s">
        <v>184</v>
      </c>
      <c r="D151" s="53">
        <v>45845</v>
      </c>
      <c r="E151" s="49" t="s">
        <v>267</v>
      </c>
      <c r="F151" s="4" t="str">
        <f>TRIM(PROPER(Sales_Data!F151))</f>
        <v>Rohit Singh</v>
      </c>
      <c r="G151" s="8" t="s">
        <v>76</v>
      </c>
      <c r="H151" s="8" t="s">
        <v>810</v>
      </c>
      <c r="I151" s="8" t="s">
        <v>114</v>
      </c>
      <c r="J151" s="4" t="str">
        <f>PROPER(Sales_Data!J151)</f>
        <v>West</v>
      </c>
      <c r="K151" s="4" t="str">
        <f>PROPER(Sales_Data!K151)</f>
        <v>Electronics</v>
      </c>
      <c r="L151" s="8" t="s">
        <v>189</v>
      </c>
      <c r="M151" s="8">
        <v>6</v>
      </c>
      <c r="N151" s="8">
        <v>700</v>
      </c>
      <c r="O151" s="8">
        <v>10</v>
      </c>
      <c r="P151" s="8">
        <v>3780</v>
      </c>
      <c r="Q151" s="8">
        <v>4</v>
      </c>
      <c r="R151" s="8" t="s">
        <v>34</v>
      </c>
      <c r="S151" s="8" t="s">
        <v>49</v>
      </c>
      <c r="T151" s="8" t="s">
        <v>132</v>
      </c>
      <c r="U151" s="9" t="s">
        <v>811</v>
      </c>
      <c r="V151" s="8" t="s">
        <v>69</v>
      </c>
      <c r="AD151" s="57">
        <v>45872</v>
      </c>
      <c r="AE151">
        <v>182400</v>
      </c>
    </row>
    <row r="152" spans="1:31" x14ac:dyDescent="0.3">
      <c r="A152" s="3" t="s">
        <v>812</v>
      </c>
      <c r="B152" s="4" t="s">
        <v>53</v>
      </c>
      <c r="C152" s="4" t="s">
        <v>92</v>
      </c>
      <c r="D152" s="52">
        <v>46145</v>
      </c>
      <c r="E152" s="48" t="s">
        <v>615</v>
      </c>
      <c r="F152" s="4" t="str">
        <f>TRIM(PROPER(Sales_Data!F152))</f>
        <v>Pooja Shah</v>
      </c>
      <c r="G152" s="4" t="s">
        <v>28</v>
      </c>
      <c r="H152" s="4" t="s">
        <v>813</v>
      </c>
      <c r="I152" s="4" t="s">
        <v>44</v>
      </c>
      <c r="J152" s="4" t="str">
        <f>PROPER(Sales_Data!J152)</f>
        <v>North</v>
      </c>
      <c r="K152" s="4" t="str">
        <f>PROPER(Sales_Data!K152)</f>
        <v>Home Appliances</v>
      </c>
      <c r="L152" s="4" t="s">
        <v>97</v>
      </c>
      <c r="M152" s="4">
        <v>20</v>
      </c>
      <c r="N152" s="4">
        <v>3500</v>
      </c>
      <c r="O152" s="4">
        <v>10</v>
      </c>
      <c r="P152" s="4">
        <v>63000</v>
      </c>
      <c r="Q152" s="4">
        <v>4</v>
      </c>
      <c r="R152" s="4" t="s">
        <v>88</v>
      </c>
      <c r="S152" s="4" t="s">
        <v>49</v>
      </c>
      <c r="T152" s="4" t="s">
        <v>62</v>
      </c>
      <c r="U152" s="6" t="s">
        <v>814</v>
      </c>
      <c r="V152" s="4" t="s">
        <v>64</v>
      </c>
      <c r="AD152" s="57">
        <v>45873</v>
      </c>
      <c r="AE152">
        <v>47250</v>
      </c>
    </row>
    <row r="153" spans="1:31" x14ac:dyDescent="0.3">
      <c r="A153" s="7" t="s">
        <v>815</v>
      </c>
      <c r="B153" s="8" t="s">
        <v>23</v>
      </c>
      <c r="C153" s="8" t="s">
        <v>222</v>
      </c>
      <c r="D153" s="53">
        <v>45990</v>
      </c>
      <c r="E153" s="49" t="s">
        <v>817</v>
      </c>
      <c r="F153" s="4" t="str">
        <f>TRIM(PROPER(Sales_Data!F153))</f>
        <v>Kavya Nair</v>
      </c>
      <c r="G153" s="8" t="s">
        <v>28</v>
      </c>
      <c r="H153" s="8" t="s">
        <v>818</v>
      </c>
      <c r="I153" s="8" t="s">
        <v>59</v>
      </c>
      <c r="J153" s="4" t="str">
        <f>PROPER(Sales_Data!J153)</f>
        <v>South</v>
      </c>
      <c r="K153" s="4" t="str">
        <f>PROPER(Sales_Data!K153)</f>
        <v>Stationery</v>
      </c>
      <c r="L153" s="8" t="s">
        <v>227</v>
      </c>
      <c r="M153" s="8">
        <v>2</v>
      </c>
      <c r="N153" s="8">
        <v>20</v>
      </c>
      <c r="O153" s="8">
        <v>10</v>
      </c>
      <c r="P153" s="8">
        <v>36</v>
      </c>
      <c r="Q153" s="8">
        <v>1</v>
      </c>
      <c r="R153" s="8" t="s">
        <v>48</v>
      </c>
      <c r="S153" s="8" t="s">
        <v>115</v>
      </c>
      <c r="T153" s="8" t="s">
        <v>50</v>
      </c>
      <c r="U153" s="9" t="s">
        <v>819</v>
      </c>
      <c r="V153" s="8" t="s">
        <v>64</v>
      </c>
      <c r="AD153" s="57">
        <v>45874</v>
      </c>
      <c r="AE153">
        <v>56000</v>
      </c>
    </row>
    <row r="154" spans="1:31" x14ac:dyDescent="0.3">
      <c r="A154" s="3" t="s">
        <v>820</v>
      </c>
      <c r="B154" s="4" t="s">
        <v>100</v>
      </c>
      <c r="C154" s="4" t="s">
        <v>24</v>
      </c>
      <c r="D154" s="52">
        <v>45852</v>
      </c>
      <c r="E154" s="48" t="s">
        <v>821</v>
      </c>
      <c r="F154" s="4" t="str">
        <f>TRIM(PROPER(Sales_Data!F154))</f>
        <v>Priya Patel</v>
      </c>
      <c r="G154" s="4" t="s">
        <v>28</v>
      </c>
      <c r="H154" s="4" t="s">
        <v>822</v>
      </c>
      <c r="I154" s="4" t="s">
        <v>114</v>
      </c>
      <c r="J154" s="4" t="str">
        <f>PROPER(Sales_Data!J154)</f>
        <v>West</v>
      </c>
      <c r="K154" s="4" t="str">
        <f>PROPER(Sales_Data!K154)</f>
        <v>Home Appliances</v>
      </c>
      <c r="L154" s="4" t="s">
        <v>33</v>
      </c>
      <c r="M154" s="4">
        <v>16</v>
      </c>
      <c r="N154" s="4">
        <v>2200</v>
      </c>
      <c r="O154" s="4">
        <v>20</v>
      </c>
      <c r="P154" s="4">
        <v>28160</v>
      </c>
      <c r="Q154" s="4">
        <v>2</v>
      </c>
      <c r="R154" s="4" t="s">
        <v>88</v>
      </c>
      <c r="S154" s="4" t="s">
        <v>151</v>
      </c>
      <c r="T154" s="4" t="s">
        <v>144</v>
      </c>
      <c r="U154" s="6" t="s">
        <v>823</v>
      </c>
      <c r="V154" s="4" t="s">
        <v>64</v>
      </c>
      <c r="AD154" s="57">
        <v>45878</v>
      </c>
      <c r="AE154">
        <v>247</v>
      </c>
    </row>
    <row r="155" spans="1:31" x14ac:dyDescent="0.3">
      <c r="A155" s="7" t="s">
        <v>824</v>
      </c>
      <c r="B155" s="8" t="s">
        <v>221</v>
      </c>
      <c r="C155" s="8" t="s">
        <v>40</v>
      </c>
      <c r="D155" s="53">
        <v>45729</v>
      </c>
      <c r="E155" s="49" t="s">
        <v>825</v>
      </c>
      <c r="F155" s="4" t="str">
        <f>TRIM(PROPER(Sales_Data!F155))</f>
        <v>Vikas Mehta</v>
      </c>
      <c r="G155" s="8" t="s">
        <v>76</v>
      </c>
      <c r="H155" s="8" t="s">
        <v>826</v>
      </c>
      <c r="I155" s="8" t="s">
        <v>114</v>
      </c>
      <c r="J155" s="4" t="str">
        <f>PROPER(Sales_Data!J155)</f>
        <v>West</v>
      </c>
      <c r="K155" s="4" t="str">
        <f>PROPER(Sales_Data!K155)</f>
        <v>Electronics</v>
      </c>
      <c r="L155" s="8" t="s">
        <v>47</v>
      </c>
      <c r="M155" s="8">
        <v>15</v>
      </c>
      <c r="N155" s="8">
        <v>12000</v>
      </c>
      <c r="O155" s="8">
        <v>0</v>
      </c>
      <c r="P155" s="8">
        <v>180000</v>
      </c>
      <c r="Q155" s="8">
        <v>1</v>
      </c>
      <c r="R155" s="8" t="s">
        <v>79</v>
      </c>
      <c r="S155" s="8" t="s">
        <v>61</v>
      </c>
      <c r="T155" s="8" t="s">
        <v>228</v>
      </c>
      <c r="U155" s="9" t="s">
        <v>827</v>
      </c>
      <c r="V155" s="8" t="s">
        <v>64</v>
      </c>
      <c r="AD155" s="57">
        <v>45879</v>
      </c>
      <c r="AE155">
        <v>432</v>
      </c>
    </row>
    <row r="156" spans="1:31" x14ac:dyDescent="0.3">
      <c r="A156" s="3" t="s">
        <v>828</v>
      </c>
      <c r="B156" s="4" t="s">
        <v>23</v>
      </c>
      <c r="C156" s="4" t="s">
        <v>118</v>
      </c>
      <c r="D156" s="52">
        <v>45860</v>
      </c>
      <c r="E156" s="48" t="s">
        <v>830</v>
      </c>
      <c r="F156" s="4" t="str">
        <f>TRIM(PROPER(Sales_Data!F156))</f>
        <v>Kavya Nair</v>
      </c>
      <c r="G156" s="4" t="s">
        <v>28</v>
      </c>
      <c r="H156" s="4" t="s">
        <v>831</v>
      </c>
      <c r="I156" s="4" t="s">
        <v>44</v>
      </c>
      <c r="J156" s="4" t="str">
        <f>PROPER(Sales_Data!J156)</f>
        <v>North</v>
      </c>
      <c r="K156" s="4" t="str">
        <f>PROPER(Sales_Data!K156)</f>
        <v>Stationery</v>
      </c>
      <c r="L156" s="4" t="s">
        <v>123</v>
      </c>
      <c r="M156" s="4">
        <v>14</v>
      </c>
      <c r="N156" s="4">
        <v>60</v>
      </c>
      <c r="O156" s="4">
        <v>15</v>
      </c>
      <c r="P156" s="4">
        <v>714</v>
      </c>
      <c r="Q156" s="4">
        <v>4</v>
      </c>
      <c r="R156" s="4" t="s">
        <v>88</v>
      </c>
      <c r="S156" s="4" t="s">
        <v>49</v>
      </c>
      <c r="T156" s="4" t="s">
        <v>50</v>
      </c>
      <c r="U156" s="6" t="s">
        <v>832</v>
      </c>
      <c r="V156" s="4" t="s">
        <v>38</v>
      </c>
      <c r="AD156" s="57">
        <v>45882</v>
      </c>
      <c r="AE156">
        <v>18780</v>
      </c>
    </row>
    <row r="157" spans="1:31" x14ac:dyDescent="0.3">
      <c r="A157" s="7" t="s">
        <v>833</v>
      </c>
      <c r="B157" s="8" t="s">
        <v>53</v>
      </c>
      <c r="C157" s="8" t="s">
        <v>72</v>
      </c>
      <c r="D157" s="53">
        <v>45859</v>
      </c>
      <c r="E157" s="49" t="s">
        <v>835</v>
      </c>
      <c r="F157" s="4" t="str">
        <f>TRIM(PROPER(Sales_Data!F157))</f>
        <v>Pooja Shah</v>
      </c>
      <c r="G157" s="8" t="s">
        <v>28</v>
      </c>
      <c r="H157" s="8" t="s">
        <v>836</v>
      </c>
      <c r="I157" s="8" t="s">
        <v>30</v>
      </c>
      <c r="J157" s="4" t="str">
        <f>PROPER(Sales_Data!J157)</f>
        <v>South</v>
      </c>
      <c r="K157" s="4" t="str">
        <f>PROPER(Sales_Data!K157)</f>
        <v>Electronics</v>
      </c>
      <c r="L157" s="8" t="s">
        <v>78</v>
      </c>
      <c r="M157" s="8">
        <v>9</v>
      </c>
      <c r="N157" s="8">
        <v>1200</v>
      </c>
      <c r="O157" s="8">
        <v>5</v>
      </c>
      <c r="P157" s="8">
        <v>10260</v>
      </c>
      <c r="Q157" s="8">
        <v>5</v>
      </c>
      <c r="R157" s="8" t="s">
        <v>48</v>
      </c>
      <c r="S157" s="8" t="s">
        <v>61</v>
      </c>
      <c r="T157" s="8" t="s">
        <v>62</v>
      </c>
      <c r="U157" s="9" t="s">
        <v>837</v>
      </c>
      <c r="V157" s="8" t="s">
        <v>64</v>
      </c>
      <c r="AD157" s="57">
        <v>45885</v>
      </c>
      <c r="AE157">
        <v>514570</v>
      </c>
    </row>
    <row r="158" spans="1:31" x14ac:dyDescent="0.3">
      <c r="A158" s="3" t="s">
        <v>838</v>
      </c>
      <c r="B158" s="4" t="s">
        <v>221</v>
      </c>
      <c r="C158" s="4" t="s">
        <v>72</v>
      </c>
      <c r="D158" s="52">
        <v>45857</v>
      </c>
      <c r="E158" s="48" t="s">
        <v>839</v>
      </c>
      <c r="F158" s="4" t="str">
        <f>TRIM(PROPER(Sales_Data!F158))</f>
        <v>Vikas Mehta</v>
      </c>
      <c r="G158" s="4" t="s">
        <v>76</v>
      </c>
      <c r="H158" s="4" t="s">
        <v>840</v>
      </c>
      <c r="I158" s="4" t="s">
        <v>294</v>
      </c>
      <c r="J158" s="4" t="str">
        <f>PROPER(Sales_Data!J158)</f>
        <v>East</v>
      </c>
      <c r="K158" s="4" t="str">
        <f>PROPER(Sales_Data!K158)</f>
        <v>Electronics</v>
      </c>
      <c r="L158" s="4" t="s">
        <v>78</v>
      </c>
      <c r="M158" s="4">
        <v>3</v>
      </c>
      <c r="N158" s="4">
        <v>1200</v>
      </c>
      <c r="O158" s="4">
        <v>10</v>
      </c>
      <c r="P158" s="4">
        <v>3240</v>
      </c>
      <c r="Q158" s="4">
        <v>2</v>
      </c>
      <c r="R158" s="4" t="s">
        <v>79</v>
      </c>
      <c r="S158" s="4" t="s">
        <v>151</v>
      </c>
      <c r="T158" s="4" t="s">
        <v>228</v>
      </c>
      <c r="U158" s="6" t="s">
        <v>841</v>
      </c>
      <c r="V158" s="4" t="s">
        <v>69</v>
      </c>
      <c r="AD158" s="57">
        <v>45888</v>
      </c>
      <c r="AE158">
        <v>769800</v>
      </c>
    </row>
    <row r="159" spans="1:31" x14ac:dyDescent="0.3">
      <c r="A159" s="7" t="s">
        <v>842</v>
      </c>
      <c r="B159" s="8" t="s">
        <v>327</v>
      </c>
      <c r="C159" s="8" t="s">
        <v>118</v>
      </c>
      <c r="D159" s="53">
        <v>45757</v>
      </c>
      <c r="E159" s="49" t="s">
        <v>577</v>
      </c>
      <c r="F159" s="4" t="str">
        <f>TRIM(PROPER(Sales_Data!F159))</f>
        <v>Amit Sharma</v>
      </c>
      <c r="G159" s="8" t="s">
        <v>76</v>
      </c>
      <c r="H159" s="8" t="s">
        <v>843</v>
      </c>
      <c r="I159" s="8" t="s">
        <v>30</v>
      </c>
      <c r="J159" s="4" t="str">
        <f>PROPER(Sales_Data!J159)</f>
        <v>South</v>
      </c>
      <c r="K159" s="4" t="str">
        <f>PROPER(Sales_Data!K159)</f>
        <v>Stationery</v>
      </c>
      <c r="L159" s="8" t="s">
        <v>123</v>
      </c>
      <c r="M159" s="8">
        <v>2</v>
      </c>
      <c r="N159" s="8">
        <v>60</v>
      </c>
      <c r="O159" s="8">
        <v>10</v>
      </c>
      <c r="P159" s="8">
        <v>108</v>
      </c>
      <c r="Q159" s="8">
        <v>2</v>
      </c>
      <c r="R159" s="8" t="s">
        <v>88</v>
      </c>
      <c r="S159" s="8" t="s">
        <v>61</v>
      </c>
      <c r="T159" s="8" t="s">
        <v>332</v>
      </c>
      <c r="U159" s="9" t="s">
        <v>844</v>
      </c>
      <c r="V159" s="8" t="s">
        <v>38</v>
      </c>
      <c r="AD159" s="57">
        <v>45889</v>
      </c>
      <c r="AE159">
        <v>5202</v>
      </c>
    </row>
    <row r="160" spans="1:31" x14ac:dyDescent="0.3">
      <c r="A160" s="3" t="s">
        <v>845</v>
      </c>
      <c r="B160" s="4" t="s">
        <v>71</v>
      </c>
      <c r="C160" s="4" t="s">
        <v>92</v>
      </c>
      <c r="D160" s="52">
        <v>46155</v>
      </c>
      <c r="E160" s="48" t="s">
        <v>846</v>
      </c>
      <c r="F160" s="4" t="str">
        <f>TRIM(PROPER(Sales_Data!F160))</f>
        <v>Mohit Verma</v>
      </c>
      <c r="G160" s="4" t="s">
        <v>76</v>
      </c>
      <c r="H160" s="4" t="s">
        <v>847</v>
      </c>
      <c r="I160" s="4" t="s">
        <v>44</v>
      </c>
      <c r="J160" s="4" t="str">
        <f>PROPER(Sales_Data!J160)</f>
        <v>North</v>
      </c>
      <c r="K160" s="4" t="str">
        <f>PROPER(Sales_Data!K160)</f>
        <v>Home Appliances</v>
      </c>
      <c r="L160" s="4" t="s">
        <v>97</v>
      </c>
      <c r="M160" s="4">
        <v>9</v>
      </c>
      <c r="N160" s="4">
        <v>3500</v>
      </c>
      <c r="O160" s="4">
        <v>20</v>
      </c>
      <c r="P160" s="4">
        <v>25200</v>
      </c>
      <c r="Q160" s="4">
        <v>1</v>
      </c>
      <c r="R160" s="4" t="s">
        <v>48</v>
      </c>
      <c r="S160" s="4" t="s">
        <v>35</v>
      </c>
      <c r="T160" s="4" t="s">
        <v>80</v>
      </c>
      <c r="U160" s="6" t="s">
        <v>848</v>
      </c>
      <c r="V160" s="4" t="s">
        <v>38</v>
      </c>
      <c r="AD160" s="57">
        <v>45892</v>
      </c>
      <c r="AE160">
        <v>31790</v>
      </c>
    </row>
    <row r="161" spans="1:31" x14ac:dyDescent="0.3">
      <c r="A161" s="7" t="s">
        <v>849</v>
      </c>
      <c r="B161" s="8" t="s">
        <v>221</v>
      </c>
      <c r="C161" s="8" t="s">
        <v>54</v>
      </c>
      <c r="D161" s="53">
        <v>46094</v>
      </c>
      <c r="E161" s="49" t="s">
        <v>543</v>
      </c>
      <c r="F161" s="4" t="str">
        <f>TRIM(PROPER(Sales_Data!F161))</f>
        <v>Vikas Mehta</v>
      </c>
      <c r="G161" s="8" t="s">
        <v>76</v>
      </c>
      <c r="H161" s="8" t="s">
        <v>850</v>
      </c>
      <c r="I161" s="8" t="s">
        <v>212</v>
      </c>
      <c r="J161" s="4" t="str">
        <f>PROPER(Sales_Data!J161)</f>
        <v>North</v>
      </c>
      <c r="K161" s="4" t="str">
        <f>PROPER(Sales_Data!K161)</f>
        <v>Electronics</v>
      </c>
      <c r="L161" s="8" t="s">
        <v>60</v>
      </c>
      <c r="M161" s="8">
        <v>4</v>
      </c>
      <c r="N161" s="8">
        <v>55000</v>
      </c>
      <c r="O161" s="8">
        <v>5</v>
      </c>
      <c r="P161" s="8">
        <v>209000</v>
      </c>
      <c r="Q161" s="8">
        <v>2</v>
      </c>
      <c r="R161" s="8" t="s">
        <v>34</v>
      </c>
      <c r="S161" s="8" t="s">
        <v>151</v>
      </c>
      <c r="T161" s="8" t="s">
        <v>228</v>
      </c>
      <c r="U161" s="9" t="s">
        <v>851</v>
      </c>
      <c r="V161" s="8" t="s">
        <v>64</v>
      </c>
      <c r="AD161" s="57">
        <v>45893</v>
      </c>
      <c r="AE161">
        <v>1190</v>
      </c>
    </row>
    <row r="162" spans="1:31" x14ac:dyDescent="0.3">
      <c r="A162" s="3" t="s">
        <v>852</v>
      </c>
      <c r="B162" s="4" t="s">
        <v>327</v>
      </c>
      <c r="C162" s="4" t="s">
        <v>184</v>
      </c>
      <c r="D162" s="52">
        <v>45835</v>
      </c>
      <c r="E162" s="48" t="s">
        <v>266</v>
      </c>
      <c r="F162" s="4" t="str">
        <f>TRIM(PROPER(Sales_Data!F162))</f>
        <v>Amit Sharma</v>
      </c>
      <c r="G162" s="4" t="s">
        <v>76</v>
      </c>
      <c r="H162" s="4" t="s">
        <v>854</v>
      </c>
      <c r="I162" s="4" t="s">
        <v>44</v>
      </c>
      <c r="J162" s="4" t="str">
        <f>PROPER(Sales_Data!J162)</f>
        <v>North</v>
      </c>
      <c r="K162" s="4" t="str">
        <f>PROPER(Sales_Data!K162)</f>
        <v>Electronics</v>
      </c>
      <c r="L162" s="4" t="s">
        <v>189</v>
      </c>
      <c r="M162" s="4">
        <v>11</v>
      </c>
      <c r="N162" s="4">
        <v>700</v>
      </c>
      <c r="O162" s="4">
        <v>20</v>
      </c>
      <c r="P162" s="4">
        <v>6160</v>
      </c>
      <c r="Q162" s="4">
        <v>4</v>
      </c>
      <c r="R162" s="4" t="s">
        <v>34</v>
      </c>
      <c r="S162" s="4" t="s">
        <v>151</v>
      </c>
      <c r="T162" s="4" t="s">
        <v>332</v>
      </c>
      <c r="U162" s="6" t="s">
        <v>855</v>
      </c>
      <c r="V162" s="4" t="s">
        <v>69</v>
      </c>
      <c r="AD162" s="57">
        <v>45894</v>
      </c>
      <c r="AE162">
        <v>432</v>
      </c>
    </row>
    <row r="163" spans="1:31" x14ac:dyDescent="0.3">
      <c r="A163" s="7" t="s">
        <v>856</v>
      </c>
      <c r="B163" s="8" t="s">
        <v>168</v>
      </c>
      <c r="C163" s="8" t="s">
        <v>72</v>
      </c>
      <c r="D163" s="53">
        <v>45980</v>
      </c>
      <c r="E163" s="49" t="s">
        <v>816</v>
      </c>
      <c r="F163" s="4" t="str">
        <f>TRIM(PROPER(Sales_Data!F163))</f>
        <v>Anita Gupta</v>
      </c>
      <c r="G163" s="8" t="s">
        <v>28</v>
      </c>
      <c r="H163" s="8" t="s">
        <v>857</v>
      </c>
      <c r="I163" s="8" t="s">
        <v>294</v>
      </c>
      <c r="J163" s="4" t="str">
        <f>PROPER(Sales_Data!J163)</f>
        <v>East</v>
      </c>
      <c r="K163" s="4" t="str">
        <f>PROPER(Sales_Data!K163)</f>
        <v>Electronics</v>
      </c>
      <c r="L163" s="8" t="s">
        <v>78</v>
      </c>
      <c r="M163" s="8">
        <v>16</v>
      </c>
      <c r="N163" s="8">
        <v>1200</v>
      </c>
      <c r="O163" s="8">
        <v>5</v>
      </c>
      <c r="P163" s="8">
        <v>18240</v>
      </c>
      <c r="Q163" s="8">
        <v>1</v>
      </c>
      <c r="R163" s="8" t="s">
        <v>79</v>
      </c>
      <c r="S163" s="8" t="s">
        <v>35</v>
      </c>
      <c r="T163" s="8" t="s">
        <v>175</v>
      </c>
      <c r="U163" s="9" t="s">
        <v>858</v>
      </c>
      <c r="V163" s="8" t="s">
        <v>64</v>
      </c>
      <c r="AD163" s="57">
        <v>45895</v>
      </c>
      <c r="AE163">
        <v>54000</v>
      </c>
    </row>
    <row r="164" spans="1:31" x14ac:dyDescent="0.3">
      <c r="A164" s="3" t="s">
        <v>859</v>
      </c>
      <c r="B164" s="4" t="s">
        <v>168</v>
      </c>
      <c r="C164" s="4" t="s">
        <v>72</v>
      </c>
      <c r="D164" s="52">
        <v>45915</v>
      </c>
      <c r="E164" s="48" t="s">
        <v>860</v>
      </c>
      <c r="F164" s="4" t="str">
        <f>TRIM(PROPER(Sales_Data!F164))</f>
        <v>Anita Gupta</v>
      </c>
      <c r="G164" s="4" t="s">
        <v>28</v>
      </c>
      <c r="H164" s="4" t="s">
        <v>861</v>
      </c>
      <c r="I164" s="4" t="s">
        <v>114</v>
      </c>
      <c r="J164" s="4" t="str">
        <f>PROPER(Sales_Data!J164)</f>
        <v>West</v>
      </c>
      <c r="K164" s="4" t="str">
        <f>PROPER(Sales_Data!K164)</f>
        <v>Electronics</v>
      </c>
      <c r="L164" s="4" t="s">
        <v>78</v>
      </c>
      <c r="M164" s="4">
        <v>1</v>
      </c>
      <c r="N164" s="4">
        <v>1200</v>
      </c>
      <c r="O164" s="4">
        <v>5</v>
      </c>
      <c r="P164" s="4">
        <v>1140</v>
      </c>
      <c r="Q164" s="4">
        <v>4</v>
      </c>
      <c r="R164" s="4" t="s">
        <v>79</v>
      </c>
      <c r="S164" s="4" t="s">
        <v>35</v>
      </c>
      <c r="T164" s="4" t="s">
        <v>175</v>
      </c>
      <c r="U164" s="6" t="s">
        <v>862</v>
      </c>
      <c r="V164" s="4" t="s">
        <v>38</v>
      </c>
      <c r="AD164" s="57">
        <v>45896</v>
      </c>
      <c r="AE164">
        <v>912</v>
      </c>
    </row>
    <row r="165" spans="1:31" x14ac:dyDescent="0.3">
      <c r="A165" s="7" t="s">
        <v>863</v>
      </c>
      <c r="B165" s="8" t="s">
        <v>327</v>
      </c>
      <c r="C165" s="8" t="s">
        <v>118</v>
      </c>
      <c r="D165" s="53">
        <v>45965</v>
      </c>
      <c r="E165" s="49" t="s">
        <v>865</v>
      </c>
      <c r="F165" s="4" t="str">
        <f>TRIM(PROPER(Sales_Data!F165))</f>
        <v>Amit Sharma</v>
      </c>
      <c r="G165" s="8" t="s">
        <v>76</v>
      </c>
      <c r="H165" s="8" t="s">
        <v>866</v>
      </c>
      <c r="I165" s="8" t="s">
        <v>212</v>
      </c>
      <c r="J165" s="4" t="str">
        <f>PROPER(Sales_Data!J165)</f>
        <v>North</v>
      </c>
      <c r="K165" s="4" t="str">
        <f>PROPER(Sales_Data!K165)</f>
        <v>Stationery</v>
      </c>
      <c r="L165" s="8" t="s">
        <v>123</v>
      </c>
      <c r="M165" s="8">
        <v>7</v>
      </c>
      <c r="N165" s="8">
        <v>60</v>
      </c>
      <c r="O165" s="8">
        <v>0</v>
      </c>
      <c r="P165" s="8">
        <v>420</v>
      </c>
      <c r="Q165" s="8">
        <v>2</v>
      </c>
      <c r="R165" s="8" t="s">
        <v>88</v>
      </c>
      <c r="S165" s="8" t="s">
        <v>151</v>
      </c>
      <c r="T165" s="8" t="s">
        <v>332</v>
      </c>
      <c r="U165" s="9" t="s">
        <v>867</v>
      </c>
      <c r="V165" s="8" t="s">
        <v>38</v>
      </c>
      <c r="AD165" s="57">
        <v>45897</v>
      </c>
      <c r="AE165">
        <v>43350</v>
      </c>
    </row>
    <row r="166" spans="1:31" x14ac:dyDescent="0.3">
      <c r="A166" s="3" t="s">
        <v>868</v>
      </c>
      <c r="B166" s="4" t="s">
        <v>168</v>
      </c>
      <c r="C166" s="4" t="s">
        <v>24</v>
      </c>
      <c r="D166" s="52">
        <v>45660</v>
      </c>
      <c r="E166" s="48" t="s">
        <v>513</v>
      </c>
      <c r="F166" s="4" t="str">
        <f>TRIM(PROPER(Sales_Data!F166))</f>
        <v>Anita Gupta</v>
      </c>
      <c r="G166" s="4" t="s">
        <v>28</v>
      </c>
      <c r="H166" s="4" t="s">
        <v>869</v>
      </c>
      <c r="I166" s="4" t="s">
        <v>114</v>
      </c>
      <c r="J166" s="4" t="str">
        <f>PROPER(Sales_Data!J166)</f>
        <v>West</v>
      </c>
      <c r="K166" s="4" t="str">
        <f>PROPER(Sales_Data!K166)</f>
        <v>Home Appliances</v>
      </c>
      <c r="L166" s="4" t="s">
        <v>33</v>
      </c>
      <c r="M166" s="4">
        <v>14</v>
      </c>
      <c r="N166" s="4">
        <v>2200</v>
      </c>
      <c r="O166" s="4">
        <v>0</v>
      </c>
      <c r="P166" s="4">
        <v>30800</v>
      </c>
      <c r="Q166" s="4">
        <v>2</v>
      </c>
      <c r="R166" s="4" t="s">
        <v>88</v>
      </c>
      <c r="S166" s="4" t="s">
        <v>35</v>
      </c>
      <c r="T166" s="4" t="s">
        <v>175</v>
      </c>
      <c r="U166" s="6" t="s">
        <v>870</v>
      </c>
      <c r="V166" s="4" t="s">
        <v>69</v>
      </c>
      <c r="AD166" s="57">
        <v>45899</v>
      </c>
      <c r="AE166">
        <v>171</v>
      </c>
    </row>
    <row r="167" spans="1:31" x14ac:dyDescent="0.3">
      <c r="A167" s="7" t="s">
        <v>871</v>
      </c>
      <c r="B167" s="8" t="s">
        <v>168</v>
      </c>
      <c r="C167" s="8" t="s">
        <v>92</v>
      </c>
      <c r="D167" s="53">
        <v>45827</v>
      </c>
      <c r="E167" s="49" t="s">
        <v>488</v>
      </c>
      <c r="F167" s="4" t="str">
        <f>TRIM(PROPER(Sales_Data!F167))</f>
        <v>Anita Gupta</v>
      </c>
      <c r="G167" s="8" t="s">
        <v>28</v>
      </c>
      <c r="H167" s="8" t="s">
        <v>873</v>
      </c>
      <c r="I167" s="8" t="s">
        <v>138</v>
      </c>
      <c r="J167" s="4" t="str">
        <f>PROPER(Sales_Data!J167)</f>
        <v>West</v>
      </c>
      <c r="K167" s="4" t="str">
        <f>PROPER(Sales_Data!K167)</f>
        <v>Home Appliances</v>
      </c>
      <c r="L167" s="8" t="s">
        <v>97</v>
      </c>
      <c r="M167" s="8">
        <v>15</v>
      </c>
      <c r="N167" s="8">
        <v>3500</v>
      </c>
      <c r="O167" s="8">
        <v>15</v>
      </c>
      <c r="P167" s="8">
        <v>44625</v>
      </c>
      <c r="Q167" s="8">
        <v>2</v>
      </c>
      <c r="R167" s="8" t="s">
        <v>88</v>
      </c>
      <c r="S167" s="8" t="s">
        <v>61</v>
      </c>
      <c r="T167" s="8" t="s">
        <v>175</v>
      </c>
      <c r="U167" s="9" t="s">
        <v>874</v>
      </c>
      <c r="V167" s="8" t="s">
        <v>64</v>
      </c>
      <c r="AD167" s="57">
        <v>45901</v>
      </c>
      <c r="AE167">
        <v>441009.5</v>
      </c>
    </row>
    <row r="168" spans="1:31" x14ac:dyDescent="0.3">
      <c r="A168" s="3" t="s">
        <v>875</v>
      </c>
      <c r="B168" s="4" t="s">
        <v>127</v>
      </c>
      <c r="C168" s="4" t="s">
        <v>92</v>
      </c>
      <c r="D168" s="52">
        <v>45742</v>
      </c>
      <c r="E168" s="48" t="s">
        <v>877</v>
      </c>
      <c r="F168" s="4" t="str">
        <f>TRIM(PROPER(Sales_Data!F168))</f>
        <v>Rohit Singh</v>
      </c>
      <c r="G168" s="4" t="s">
        <v>76</v>
      </c>
      <c r="H168" s="4" t="s">
        <v>878</v>
      </c>
      <c r="I168" s="4" t="s">
        <v>294</v>
      </c>
      <c r="J168" s="4" t="str">
        <f>PROPER(Sales_Data!J168)</f>
        <v>East</v>
      </c>
      <c r="K168" s="4" t="str">
        <f>PROPER(Sales_Data!K168)</f>
        <v>Home Appliances</v>
      </c>
      <c r="L168" s="4" t="s">
        <v>97</v>
      </c>
      <c r="M168" s="4">
        <v>19</v>
      </c>
      <c r="N168" s="4">
        <v>3500</v>
      </c>
      <c r="O168" s="4">
        <v>5</v>
      </c>
      <c r="P168" s="4">
        <v>63175</v>
      </c>
      <c r="Q168" s="4">
        <v>2</v>
      </c>
      <c r="R168" s="4" t="s">
        <v>34</v>
      </c>
      <c r="S168" s="4" t="s">
        <v>115</v>
      </c>
      <c r="T168" s="4" t="s">
        <v>132</v>
      </c>
      <c r="U168" s="6" t="s">
        <v>879</v>
      </c>
      <c r="V168" s="4" t="s">
        <v>69</v>
      </c>
      <c r="AD168" s="57">
        <v>45903</v>
      </c>
      <c r="AE168">
        <v>261250</v>
      </c>
    </row>
    <row r="169" spans="1:31" x14ac:dyDescent="0.3">
      <c r="A169" s="7" t="s">
        <v>880</v>
      </c>
      <c r="B169" s="8" t="s">
        <v>327</v>
      </c>
      <c r="C169" s="8" t="s">
        <v>54</v>
      </c>
      <c r="D169" s="53">
        <v>45844</v>
      </c>
      <c r="E169" s="49" t="s">
        <v>640</v>
      </c>
      <c r="F169" s="4" t="str">
        <f>TRIM(PROPER(Sales_Data!F169))</f>
        <v>Amit Sharma</v>
      </c>
      <c r="G169" s="8" t="s">
        <v>76</v>
      </c>
      <c r="H169" s="8" t="s">
        <v>882</v>
      </c>
      <c r="I169" s="8" t="s">
        <v>59</v>
      </c>
      <c r="J169" s="4" t="str">
        <f>PROPER(Sales_Data!J169)</f>
        <v>South</v>
      </c>
      <c r="K169" s="4" t="str">
        <f>PROPER(Sales_Data!K169)</f>
        <v>Electronics</v>
      </c>
      <c r="L169" s="8" t="s">
        <v>60</v>
      </c>
      <c r="M169" s="8">
        <v>12</v>
      </c>
      <c r="N169" s="8">
        <v>55000</v>
      </c>
      <c r="O169" s="8">
        <v>5</v>
      </c>
      <c r="P169" s="8">
        <v>627000</v>
      </c>
      <c r="Q169" s="8">
        <v>4</v>
      </c>
      <c r="R169" s="8" t="s">
        <v>79</v>
      </c>
      <c r="S169" s="8" t="s">
        <v>61</v>
      </c>
      <c r="T169" s="8" t="s">
        <v>332</v>
      </c>
      <c r="U169" s="9" t="s">
        <v>883</v>
      </c>
      <c r="V169" s="8" t="s">
        <v>69</v>
      </c>
      <c r="AD169" s="57">
        <v>45904</v>
      </c>
      <c r="AE169">
        <v>35640</v>
      </c>
    </row>
    <row r="170" spans="1:31" x14ac:dyDescent="0.3">
      <c r="A170" s="3" t="s">
        <v>884</v>
      </c>
      <c r="B170" s="4" t="s">
        <v>53</v>
      </c>
      <c r="C170" s="4" t="s">
        <v>72</v>
      </c>
      <c r="D170" s="52">
        <v>46040</v>
      </c>
      <c r="E170" s="48" t="s">
        <v>483</v>
      </c>
      <c r="F170" s="4" t="str">
        <f>TRIM(PROPER(Sales_Data!F170))</f>
        <v>Pooja Shah</v>
      </c>
      <c r="G170" s="4" t="s">
        <v>28</v>
      </c>
      <c r="H170" s="4" t="s">
        <v>885</v>
      </c>
      <c r="I170" s="4" t="s">
        <v>105</v>
      </c>
      <c r="J170" s="4" t="str">
        <f>PROPER(Sales_Data!J170)</f>
        <v>West</v>
      </c>
      <c r="K170" s="4" t="str">
        <f>PROPER(Sales_Data!K170)</f>
        <v>Electronics</v>
      </c>
      <c r="L170" s="4" t="s">
        <v>78</v>
      </c>
      <c r="M170" s="4">
        <v>6</v>
      </c>
      <c r="N170" s="4">
        <v>1200</v>
      </c>
      <c r="O170" s="4">
        <v>10</v>
      </c>
      <c r="P170" s="4">
        <v>6480</v>
      </c>
      <c r="Q170" s="4">
        <v>5</v>
      </c>
      <c r="R170" s="4" t="s">
        <v>48</v>
      </c>
      <c r="S170" s="4" t="s">
        <v>115</v>
      </c>
      <c r="T170" s="4" t="s">
        <v>62</v>
      </c>
      <c r="U170" s="6" t="s">
        <v>886</v>
      </c>
      <c r="V170" s="4" t="s">
        <v>69</v>
      </c>
      <c r="AD170" s="57">
        <v>45906</v>
      </c>
      <c r="AE170">
        <v>12000</v>
      </c>
    </row>
    <row r="171" spans="1:31" x14ac:dyDescent="0.3">
      <c r="A171" s="7" t="s">
        <v>887</v>
      </c>
      <c r="B171" s="8" t="s">
        <v>251</v>
      </c>
      <c r="C171" s="8" t="s">
        <v>169</v>
      </c>
      <c r="D171" s="53">
        <v>45919</v>
      </c>
      <c r="E171" s="49" t="s">
        <v>247</v>
      </c>
      <c r="F171" s="4" t="str">
        <f>TRIM(PROPER(Sales_Data!F171))</f>
        <v>Sneha Joshi</v>
      </c>
      <c r="G171" s="8" t="s">
        <v>28</v>
      </c>
      <c r="H171" s="8" t="s">
        <v>888</v>
      </c>
      <c r="I171" s="8" t="s">
        <v>30</v>
      </c>
      <c r="J171" s="4" t="str">
        <f>PROPER(Sales_Data!J171)</f>
        <v>South</v>
      </c>
      <c r="K171" s="4" t="str">
        <f>PROPER(Sales_Data!K171)</f>
        <v>Home Appliances</v>
      </c>
      <c r="L171" s="8" t="s">
        <v>174</v>
      </c>
      <c r="M171" s="8">
        <v>1</v>
      </c>
      <c r="N171" s="8">
        <v>8500</v>
      </c>
      <c r="O171" s="8">
        <v>0</v>
      </c>
      <c r="P171" s="8">
        <v>8500</v>
      </c>
      <c r="Q171" s="8">
        <v>1</v>
      </c>
      <c r="R171" s="8" t="s">
        <v>88</v>
      </c>
      <c r="S171" s="8" t="s">
        <v>151</v>
      </c>
      <c r="T171" s="8" t="s">
        <v>256</v>
      </c>
      <c r="U171" s="9" t="s">
        <v>889</v>
      </c>
      <c r="V171" s="8" t="s">
        <v>69</v>
      </c>
      <c r="AD171" s="57">
        <v>45908</v>
      </c>
      <c r="AE171">
        <v>60520</v>
      </c>
    </row>
    <row r="172" spans="1:31" x14ac:dyDescent="0.3">
      <c r="A172" s="3" t="s">
        <v>890</v>
      </c>
      <c r="B172" s="4" t="s">
        <v>127</v>
      </c>
      <c r="C172" s="4" t="s">
        <v>54</v>
      </c>
      <c r="D172" s="52">
        <v>46113</v>
      </c>
      <c r="E172" s="48" t="s">
        <v>892</v>
      </c>
      <c r="F172" s="4" t="str">
        <f>TRIM(PROPER(Sales_Data!F172))</f>
        <v>Rohit Singh</v>
      </c>
      <c r="G172" s="4" t="s">
        <v>76</v>
      </c>
      <c r="H172" s="4" t="s">
        <v>893</v>
      </c>
      <c r="I172" s="4" t="s">
        <v>138</v>
      </c>
      <c r="J172" s="4" t="str">
        <f>PROPER(Sales_Data!J172)</f>
        <v>West</v>
      </c>
      <c r="K172" s="4" t="str">
        <f>PROPER(Sales_Data!K172)</f>
        <v>Electronics</v>
      </c>
      <c r="L172" s="4" t="s">
        <v>60</v>
      </c>
      <c r="M172" s="4">
        <v>20</v>
      </c>
      <c r="N172" s="4">
        <v>55000</v>
      </c>
      <c r="O172" s="4">
        <v>10</v>
      </c>
      <c r="P172" s="4">
        <v>990000</v>
      </c>
      <c r="Q172" s="4">
        <v>5</v>
      </c>
      <c r="R172" s="4" t="s">
        <v>48</v>
      </c>
      <c r="S172" s="4" t="s">
        <v>151</v>
      </c>
      <c r="T172" s="4" t="s">
        <v>132</v>
      </c>
      <c r="U172" s="6" t="s">
        <v>894</v>
      </c>
      <c r="V172" s="4" t="s">
        <v>38</v>
      </c>
      <c r="AD172" s="57">
        <v>45912</v>
      </c>
      <c r="AE172">
        <v>54</v>
      </c>
    </row>
    <row r="173" spans="1:31" x14ac:dyDescent="0.3">
      <c r="A173" s="7" t="s">
        <v>895</v>
      </c>
      <c r="B173" s="8" t="s">
        <v>221</v>
      </c>
      <c r="C173" s="8" t="s">
        <v>72</v>
      </c>
      <c r="D173" s="53">
        <v>45958</v>
      </c>
      <c r="E173" s="49" t="s">
        <v>896</v>
      </c>
      <c r="F173" s="4" t="str">
        <f>TRIM(PROPER(Sales_Data!F173))</f>
        <v>Vikas Mehta</v>
      </c>
      <c r="G173" s="8" t="s">
        <v>76</v>
      </c>
      <c r="H173" s="8" t="s">
        <v>897</v>
      </c>
      <c r="I173" s="8" t="s">
        <v>138</v>
      </c>
      <c r="J173" s="4" t="str">
        <f>PROPER(Sales_Data!J173)</f>
        <v>West</v>
      </c>
      <c r="K173" s="4" t="str">
        <f>PROPER(Sales_Data!K173)</f>
        <v>Electronics</v>
      </c>
      <c r="L173" s="8" t="s">
        <v>78</v>
      </c>
      <c r="M173" s="8">
        <v>8</v>
      </c>
      <c r="N173" s="8">
        <v>1200</v>
      </c>
      <c r="O173" s="8">
        <v>15</v>
      </c>
      <c r="P173" s="8">
        <v>8160</v>
      </c>
      <c r="Q173" s="8">
        <v>2</v>
      </c>
      <c r="R173" s="8" t="s">
        <v>88</v>
      </c>
      <c r="S173" s="8" t="s">
        <v>115</v>
      </c>
      <c r="T173" s="8" t="s">
        <v>228</v>
      </c>
      <c r="U173" s="9" t="s">
        <v>898</v>
      </c>
      <c r="V173" s="8" t="s">
        <v>69</v>
      </c>
      <c r="AD173" s="57">
        <v>45915</v>
      </c>
      <c r="AE173">
        <v>69540</v>
      </c>
    </row>
    <row r="174" spans="1:31" x14ac:dyDescent="0.3">
      <c r="A174" s="3" t="s">
        <v>899</v>
      </c>
      <c r="B174" s="4" t="s">
        <v>23</v>
      </c>
      <c r="C174" s="4" t="s">
        <v>92</v>
      </c>
      <c r="D174" s="52">
        <v>45694</v>
      </c>
      <c r="E174" s="48" t="s">
        <v>901</v>
      </c>
      <c r="F174" s="4" t="str">
        <f>TRIM(PROPER(Sales_Data!F174))</f>
        <v>Kavya Nair</v>
      </c>
      <c r="G174" s="4" t="s">
        <v>28</v>
      </c>
      <c r="H174" s="4" t="s">
        <v>902</v>
      </c>
      <c r="I174" s="4" t="s">
        <v>212</v>
      </c>
      <c r="J174" s="4" t="str">
        <f>PROPER(Sales_Data!J174)</f>
        <v>North</v>
      </c>
      <c r="K174" s="4" t="str">
        <f>PROPER(Sales_Data!K174)</f>
        <v>Home Appliances</v>
      </c>
      <c r="L174" s="4" t="s">
        <v>97</v>
      </c>
      <c r="M174" s="4">
        <v>19</v>
      </c>
      <c r="N174" s="4">
        <v>3500</v>
      </c>
      <c r="O174" s="4">
        <v>5</v>
      </c>
      <c r="P174" s="4">
        <v>63175</v>
      </c>
      <c r="Q174" s="4">
        <v>4</v>
      </c>
      <c r="R174" s="4" t="s">
        <v>88</v>
      </c>
      <c r="S174" s="4" t="s">
        <v>49</v>
      </c>
      <c r="T174" s="4" t="s">
        <v>50</v>
      </c>
      <c r="U174" s="6" t="s">
        <v>903</v>
      </c>
      <c r="V174" s="4" t="s">
        <v>64</v>
      </c>
      <c r="AD174" s="57">
        <v>45916</v>
      </c>
      <c r="AE174">
        <v>70000</v>
      </c>
    </row>
    <row r="175" spans="1:31" x14ac:dyDescent="0.3">
      <c r="A175" s="7" t="s">
        <v>904</v>
      </c>
      <c r="B175" s="8" t="s">
        <v>221</v>
      </c>
      <c r="C175" s="8" t="s">
        <v>259</v>
      </c>
      <c r="D175" s="53">
        <v>45774</v>
      </c>
      <c r="E175" s="49" t="s">
        <v>606</v>
      </c>
      <c r="F175" s="4" t="str">
        <f>TRIM(PROPER(Sales_Data!F175))</f>
        <v>Vikas Mehta</v>
      </c>
      <c r="G175" s="8" t="s">
        <v>76</v>
      </c>
      <c r="H175" s="8" t="s">
        <v>906</v>
      </c>
      <c r="I175" s="8" t="s">
        <v>212</v>
      </c>
      <c r="J175" s="4" t="str">
        <f>PROPER(Sales_Data!J175)</f>
        <v>North</v>
      </c>
      <c r="K175" s="4" t="str">
        <f>PROPER(Sales_Data!K175)</f>
        <v>Stationery</v>
      </c>
      <c r="L175" s="8" t="s">
        <v>263</v>
      </c>
      <c r="M175" s="8">
        <v>6</v>
      </c>
      <c r="N175" s="8">
        <v>45</v>
      </c>
      <c r="O175" s="8">
        <v>20</v>
      </c>
      <c r="P175" s="8">
        <v>216</v>
      </c>
      <c r="Q175" s="8">
        <v>1</v>
      </c>
      <c r="R175" s="8" t="s">
        <v>79</v>
      </c>
      <c r="S175" s="8" t="s">
        <v>49</v>
      </c>
      <c r="T175" s="8" t="s">
        <v>907</v>
      </c>
      <c r="U175" s="9" t="s">
        <v>908</v>
      </c>
      <c r="V175" s="8" t="s">
        <v>64</v>
      </c>
      <c r="AD175" s="57">
        <v>45917</v>
      </c>
      <c r="AE175">
        <v>2200</v>
      </c>
    </row>
    <row r="176" spans="1:31" x14ac:dyDescent="0.3">
      <c r="A176" s="3" t="s">
        <v>909</v>
      </c>
      <c r="B176" s="4" t="s">
        <v>251</v>
      </c>
      <c r="C176" s="4" t="s">
        <v>259</v>
      </c>
      <c r="D176" s="52">
        <v>45730</v>
      </c>
      <c r="E176" s="48" t="s">
        <v>119</v>
      </c>
      <c r="F176" s="4" t="str">
        <f>TRIM(PROPER(Sales_Data!F176))</f>
        <v>Sneha Joshi</v>
      </c>
      <c r="G176" s="4" t="s">
        <v>28</v>
      </c>
      <c r="H176" s="4" t="s">
        <v>911</v>
      </c>
      <c r="I176" s="4" t="s">
        <v>114</v>
      </c>
      <c r="J176" s="4" t="str">
        <f>PROPER(Sales_Data!J176)</f>
        <v>West</v>
      </c>
      <c r="K176" s="4" t="str">
        <f>PROPER(Sales_Data!K176)</f>
        <v>Stationery</v>
      </c>
      <c r="L176" s="4" t="s">
        <v>263</v>
      </c>
      <c r="M176" s="4">
        <v>17</v>
      </c>
      <c r="N176" s="4">
        <v>45</v>
      </c>
      <c r="O176" s="4">
        <v>15</v>
      </c>
      <c r="P176" s="4">
        <v>650.25</v>
      </c>
      <c r="Q176" s="4">
        <v>5</v>
      </c>
      <c r="R176" s="4" t="s">
        <v>34</v>
      </c>
      <c r="S176" s="4" t="s">
        <v>115</v>
      </c>
      <c r="T176" s="4" t="s">
        <v>256</v>
      </c>
      <c r="U176" s="6" t="s">
        <v>912</v>
      </c>
      <c r="V176" s="4" t="s">
        <v>64</v>
      </c>
      <c r="AD176" s="57">
        <v>45918</v>
      </c>
      <c r="AE176">
        <v>105120</v>
      </c>
    </row>
    <row r="177" spans="1:31" x14ac:dyDescent="0.3">
      <c r="A177" s="7" t="s">
        <v>913</v>
      </c>
      <c r="B177" s="8" t="s">
        <v>23</v>
      </c>
      <c r="C177" s="8" t="s">
        <v>222</v>
      </c>
      <c r="D177" s="53">
        <v>45842</v>
      </c>
      <c r="E177" s="49" t="s">
        <v>914</v>
      </c>
      <c r="F177" s="4" t="str">
        <f>TRIM(PROPER(Sales_Data!F177))</f>
        <v>Kavya Nair</v>
      </c>
      <c r="G177" s="8" t="s">
        <v>28</v>
      </c>
      <c r="H177" s="8" t="s">
        <v>915</v>
      </c>
      <c r="I177" s="8" t="s">
        <v>114</v>
      </c>
      <c r="J177" s="4" t="str">
        <f>PROPER(Sales_Data!J177)</f>
        <v>West</v>
      </c>
      <c r="K177" s="4" t="str">
        <f>PROPER(Sales_Data!K177)</f>
        <v>Stationery</v>
      </c>
      <c r="L177" s="8" t="s">
        <v>227</v>
      </c>
      <c r="M177" s="8">
        <v>19</v>
      </c>
      <c r="N177" s="8">
        <v>20</v>
      </c>
      <c r="O177" s="8">
        <v>5</v>
      </c>
      <c r="P177" s="8">
        <v>361</v>
      </c>
      <c r="Q177" s="8">
        <v>4</v>
      </c>
      <c r="R177" s="8" t="s">
        <v>34</v>
      </c>
      <c r="S177" s="8" t="s">
        <v>35</v>
      </c>
      <c r="T177" s="8" t="s">
        <v>50</v>
      </c>
      <c r="U177" s="9" t="s">
        <v>916</v>
      </c>
      <c r="V177" s="8" t="s">
        <v>64</v>
      </c>
      <c r="AD177" s="57">
        <v>45919</v>
      </c>
      <c r="AE177">
        <v>84842</v>
      </c>
    </row>
    <row r="178" spans="1:31" x14ac:dyDescent="0.3">
      <c r="A178" s="3" t="s">
        <v>917</v>
      </c>
      <c r="B178" s="4" t="s">
        <v>251</v>
      </c>
      <c r="C178" s="4" t="s">
        <v>222</v>
      </c>
      <c r="D178" s="52">
        <v>45993</v>
      </c>
      <c r="E178" s="48" t="s">
        <v>352</v>
      </c>
      <c r="F178" s="4" t="str">
        <f>TRIM(PROPER(Sales_Data!F178))</f>
        <v>Sneha Joshi</v>
      </c>
      <c r="G178" s="4" t="s">
        <v>28</v>
      </c>
      <c r="H178" s="4" t="s">
        <v>920</v>
      </c>
      <c r="I178" s="4" t="s">
        <v>138</v>
      </c>
      <c r="J178" s="4" t="str">
        <f>PROPER(Sales_Data!J178)</f>
        <v>West</v>
      </c>
      <c r="K178" s="4" t="str">
        <f>PROPER(Sales_Data!K178)</f>
        <v>Stationery</v>
      </c>
      <c r="L178" s="4" t="s">
        <v>227</v>
      </c>
      <c r="M178" s="4">
        <v>11</v>
      </c>
      <c r="N178" s="4">
        <v>20</v>
      </c>
      <c r="O178" s="4">
        <v>0</v>
      </c>
      <c r="P178" s="4">
        <v>220</v>
      </c>
      <c r="Q178" s="4">
        <v>3</v>
      </c>
      <c r="R178" s="4" t="s">
        <v>48</v>
      </c>
      <c r="S178" s="4" t="s">
        <v>49</v>
      </c>
      <c r="T178" s="4" t="s">
        <v>256</v>
      </c>
      <c r="U178" s="6" t="s">
        <v>921</v>
      </c>
      <c r="V178" s="4" t="s">
        <v>38</v>
      </c>
      <c r="AD178" s="57">
        <v>45921</v>
      </c>
      <c r="AE178">
        <v>81600</v>
      </c>
    </row>
    <row r="179" spans="1:31" x14ac:dyDescent="0.3">
      <c r="A179" s="7" t="s">
        <v>922</v>
      </c>
      <c r="B179" s="8" t="s">
        <v>168</v>
      </c>
      <c r="C179" s="8" t="s">
        <v>118</v>
      </c>
      <c r="D179" s="53">
        <v>46067</v>
      </c>
      <c r="E179" s="49" t="s">
        <v>923</v>
      </c>
      <c r="F179" s="4" t="str">
        <f>TRIM(PROPER(Sales_Data!F179))</f>
        <v>Anita Gupta</v>
      </c>
      <c r="G179" s="8" t="s">
        <v>28</v>
      </c>
      <c r="H179" s="8" t="s">
        <v>924</v>
      </c>
      <c r="I179" s="8" t="s">
        <v>44</v>
      </c>
      <c r="J179" s="4" t="str">
        <f>PROPER(Sales_Data!J179)</f>
        <v>North</v>
      </c>
      <c r="K179" s="4" t="str">
        <f>PROPER(Sales_Data!K179)</f>
        <v>Stationery</v>
      </c>
      <c r="L179" s="8" t="s">
        <v>123</v>
      </c>
      <c r="M179" s="8">
        <v>12</v>
      </c>
      <c r="N179" s="8">
        <v>60</v>
      </c>
      <c r="O179" s="8">
        <v>0</v>
      </c>
      <c r="P179" s="8">
        <v>720</v>
      </c>
      <c r="Q179" s="8">
        <v>2</v>
      </c>
      <c r="R179" s="8" t="s">
        <v>48</v>
      </c>
      <c r="S179" s="8" t="s">
        <v>49</v>
      </c>
      <c r="T179" s="8" t="s">
        <v>175</v>
      </c>
      <c r="U179" s="9" t="s">
        <v>925</v>
      </c>
      <c r="V179" s="8" t="s">
        <v>38</v>
      </c>
      <c r="AD179" s="57">
        <v>45922</v>
      </c>
      <c r="AE179">
        <v>2400</v>
      </c>
    </row>
    <row r="180" spans="1:31" x14ac:dyDescent="0.3">
      <c r="A180" s="3" t="s">
        <v>926</v>
      </c>
      <c r="B180" s="4" t="s">
        <v>221</v>
      </c>
      <c r="C180" s="4" t="s">
        <v>259</v>
      </c>
      <c r="D180" s="52">
        <v>45970</v>
      </c>
      <c r="E180" s="48" t="s">
        <v>865</v>
      </c>
      <c r="F180" s="4" t="str">
        <f>TRIM(PROPER(Sales_Data!F180))</f>
        <v>Priya Patel</v>
      </c>
      <c r="G180" s="4" t="s">
        <v>76</v>
      </c>
      <c r="H180" s="4" t="s">
        <v>929</v>
      </c>
      <c r="I180" s="4" t="s">
        <v>294</v>
      </c>
      <c r="J180" s="4" t="str">
        <f>PROPER(Sales_Data!J180)</f>
        <v>East</v>
      </c>
      <c r="K180" s="4" t="str">
        <f>PROPER(Sales_Data!K180)</f>
        <v>Stationery</v>
      </c>
      <c r="L180" s="4" t="s">
        <v>263</v>
      </c>
      <c r="M180" s="4">
        <v>14</v>
      </c>
      <c r="N180" s="4">
        <v>45</v>
      </c>
      <c r="O180" s="4">
        <v>15</v>
      </c>
      <c r="P180" s="4">
        <v>535.5</v>
      </c>
      <c r="Q180" s="4">
        <v>5</v>
      </c>
      <c r="R180" s="4" t="s">
        <v>88</v>
      </c>
      <c r="S180" s="4" t="s">
        <v>115</v>
      </c>
      <c r="T180" s="4" t="s">
        <v>228</v>
      </c>
      <c r="U180" s="6" t="s">
        <v>930</v>
      </c>
      <c r="V180" s="4" t="s">
        <v>64</v>
      </c>
      <c r="AD180" s="57">
        <v>45927</v>
      </c>
      <c r="AE180">
        <v>9120</v>
      </c>
    </row>
    <row r="181" spans="1:31" x14ac:dyDescent="0.3">
      <c r="A181" s="7" t="s">
        <v>931</v>
      </c>
      <c r="B181" s="8" t="s">
        <v>23</v>
      </c>
      <c r="C181" s="8" t="s">
        <v>184</v>
      </c>
      <c r="D181" s="53">
        <v>45695</v>
      </c>
      <c r="E181" s="49" t="s">
        <v>303</v>
      </c>
      <c r="F181" s="4" t="str">
        <f>TRIM(PROPER(Sales_Data!F181))</f>
        <v>Kavya Nair</v>
      </c>
      <c r="G181" s="8" t="s">
        <v>28</v>
      </c>
      <c r="H181" s="8" t="s">
        <v>933</v>
      </c>
      <c r="I181" s="8" t="s">
        <v>30</v>
      </c>
      <c r="J181" s="4" t="str">
        <f>PROPER(Sales_Data!J181)</f>
        <v>South</v>
      </c>
      <c r="K181" s="4" t="str">
        <f>PROPER(Sales_Data!K181)</f>
        <v>Electronics</v>
      </c>
      <c r="L181" s="8" t="s">
        <v>189</v>
      </c>
      <c r="M181" s="8">
        <v>15</v>
      </c>
      <c r="N181" s="8">
        <v>700</v>
      </c>
      <c r="O181" s="8">
        <v>10</v>
      </c>
      <c r="P181" s="8">
        <v>9450</v>
      </c>
      <c r="Q181" s="8">
        <v>3</v>
      </c>
      <c r="R181" s="8" t="s">
        <v>48</v>
      </c>
      <c r="S181" s="8" t="s">
        <v>49</v>
      </c>
      <c r="T181" s="8" t="s">
        <v>50</v>
      </c>
      <c r="U181" s="9" t="s">
        <v>934</v>
      </c>
      <c r="V181" s="8" t="s">
        <v>64</v>
      </c>
      <c r="AD181" s="57">
        <v>45929</v>
      </c>
      <c r="AE181">
        <v>816</v>
      </c>
    </row>
    <row r="182" spans="1:31" x14ac:dyDescent="0.3">
      <c r="A182" s="3" t="s">
        <v>935</v>
      </c>
      <c r="B182" s="4" t="s">
        <v>100</v>
      </c>
      <c r="C182" s="4" t="s">
        <v>169</v>
      </c>
      <c r="D182" s="52">
        <v>45803</v>
      </c>
      <c r="E182" s="48" t="s">
        <v>683</v>
      </c>
      <c r="F182" s="4" t="str">
        <f>TRIM(PROPER(Sales_Data!F182))</f>
        <v>Priya Patel</v>
      </c>
      <c r="G182" s="4" t="s">
        <v>28</v>
      </c>
      <c r="H182" s="4" t="s">
        <v>937</v>
      </c>
      <c r="I182" s="4" t="s">
        <v>138</v>
      </c>
      <c r="J182" s="4" t="str">
        <f>PROPER(Sales_Data!J182)</f>
        <v>West</v>
      </c>
      <c r="K182" s="4" t="str">
        <f>PROPER(Sales_Data!K182)</f>
        <v>Home Appliances</v>
      </c>
      <c r="L182" s="4" t="s">
        <v>174</v>
      </c>
      <c r="M182" s="4">
        <v>19</v>
      </c>
      <c r="N182" s="4">
        <v>8500</v>
      </c>
      <c r="O182" s="4">
        <v>15</v>
      </c>
      <c r="P182" s="4">
        <v>137275</v>
      </c>
      <c r="Q182" s="4">
        <v>2</v>
      </c>
      <c r="R182" s="4" t="s">
        <v>34</v>
      </c>
      <c r="S182" s="4" t="s">
        <v>35</v>
      </c>
      <c r="T182" s="4" t="s">
        <v>144</v>
      </c>
      <c r="U182" s="6" t="s">
        <v>938</v>
      </c>
      <c r="V182" s="4" t="s">
        <v>69</v>
      </c>
      <c r="AD182" s="57">
        <v>45931</v>
      </c>
      <c r="AE182">
        <v>61251</v>
      </c>
    </row>
    <row r="183" spans="1:31" x14ac:dyDescent="0.3">
      <c r="A183" s="7" t="s">
        <v>939</v>
      </c>
      <c r="B183" s="8" t="s">
        <v>251</v>
      </c>
      <c r="C183" s="8" t="s">
        <v>118</v>
      </c>
      <c r="D183" s="53">
        <v>45934</v>
      </c>
      <c r="E183" s="49" t="s">
        <v>941</v>
      </c>
      <c r="F183" s="4" t="str">
        <f>TRIM(PROPER(Sales_Data!F183))</f>
        <v>Sneha Joshi</v>
      </c>
      <c r="G183" s="8" t="s">
        <v>28</v>
      </c>
      <c r="H183" s="8" t="s">
        <v>911</v>
      </c>
      <c r="I183" s="8" t="s">
        <v>212</v>
      </c>
      <c r="J183" s="4" t="str">
        <f>PROPER(Sales_Data!J183)</f>
        <v>North</v>
      </c>
      <c r="K183" s="4" t="str">
        <f>PROPER(Sales_Data!K183)</f>
        <v>Stationery</v>
      </c>
      <c r="L183" s="8" t="s">
        <v>123</v>
      </c>
      <c r="M183" s="8">
        <v>19</v>
      </c>
      <c r="N183" s="8">
        <v>60</v>
      </c>
      <c r="O183" s="8">
        <v>20</v>
      </c>
      <c r="P183" s="8">
        <v>912</v>
      </c>
      <c r="Q183" s="8">
        <v>4</v>
      </c>
      <c r="R183" s="8" t="s">
        <v>79</v>
      </c>
      <c r="S183" s="8" t="s">
        <v>49</v>
      </c>
      <c r="T183" s="8" t="s">
        <v>256</v>
      </c>
      <c r="U183" s="9" t="s">
        <v>942</v>
      </c>
      <c r="V183" s="8" t="s">
        <v>64</v>
      </c>
      <c r="AD183" s="57">
        <v>45934</v>
      </c>
      <c r="AE183">
        <v>912</v>
      </c>
    </row>
    <row r="184" spans="1:31" x14ac:dyDescent="0.3">
      <c r="A184" s="3" t="s">
        <v>943</v>
      </c>
      <c r="B184" s="4" t="s">
        <v>100</v>
      </c>
      <c r="C184" s="4" t="s">
        <v>259</v>
      </c>
      <c r="D184" s="52">
        <v>45792</v>
      </c>
      <c r="E184" s="48" t="s">
        <v>936</v>
      </c>
      <c r="F184" s="4" t="str">
        <f>TRIM(PROPER(Sales_Data!F184))</f>
        <v>Priya Patel</v>
      </c>
      <c r="G184" s="4" t="s">
        <v>28</v>
      </c>
      <c r="H184" s="4" t="s">
        <v>945</v>
      </c>
      <c r="I184" s="4" t="s">
        <v>59</v>
      </c>
      <c r="J184" s="4" t="str">
        <f>PROPER(Sales_Data!J184)</f>
        <v>South</v>
      </c>
      <c r="K184" s="4" t="str">
        <f>PROPER(Sales_Data!K184)</f>
        <v>Stationery</v>
      </c>
      <c r="L184" s="4" t="s">
        <v>263</v>
      </c>
      <c r="M184" s="4">
        <v>10</v>
      </c>
      <c r="N184" s="4">
        <v>45</v>
      </c>
      <c r="O184" s="4">
        <v>15</v>
      </c>
      <c r="P184" s="4">
        <v>382.5</v>
      </c>
      <c r="Q184" s="4">
        <v>4</v>
      </c>
      <c r="R184" s="4" t="s">
        <v>34</v>
      </c>
      <c r="S184" s="4" t="s">
        <v>151</v>
      </c>
      <c r="T184" s="4" t="s">
        <v>144</v>
      </c>
      <c r="U184" s="6" t="s">
        <v>946</v>
      </c>
      <c r="V184" s="4" t="s">
        <v>38</v>
      </c>
      <c r="AD184" s="57">
        <v>45935</v>
      </c>
      <c r="AE184">
        <v>212544.5</v>
      </c>
    </row>
    <row r="185" spans="1:31" x14ac:dyDescent="0.3">
      <c r="A185" s="7" t="s">
        <v>947</v>
      </c>
      <c r="B185" s="8" t="s">
        <v>71</v>
      </c>
      <c r="C185" s="8" t="s">
        <v>24</v>
      </c>
      <c r="D185" s="53">
        <v>45822</v>
      </c>
      <c r="E185" s="49" t="s">
        <v>949</v>
      </c>
      <c r="F185" s="4" t="str">
        <f>TRIM(PROPER(Sales_Data!F185))</f>
        <v>Mohit Verma</v>
      </c>
      <c r="G185" s="8" t="s">
        <v>76</v>
      </c>
      <c r="H185" s="8" t="s">
        <v>950</v>
      </c>
      <c r="I185" s="8" t="s">
        <v>44</v>
      </c>
      <c r="J185" s="4" t="str">
        <f>PROPER(Sales_Data!J185)</f>
        <v>North</v>
      </c>
      <c r="K185" s="4" t="str">
        <f>PROPER(Sales_Data!K185)</f>
        <v>Home Appliances</v>
      </c>
      <c r="L185" s="8" t="s">
        <v>33</v>
      </c>
      <c r="M185" s="8">
        <v>7</v>
      </c>
      <c r="N185" s="8">
        <v>2200</v>
      </c>
      <c r="O185" s="8">
        <v>20</v>
      </c>
      <c r="P185" s="8">
        <v>12320</v>
      </c>
      <c r="Q185" s="8">
        <v>5</v>
      </c>
      <c r="R185" s="8" t="s">
        <v>88</v>
      </c>
      <c r="S185" s="8" t="s">
        <v>49</v>
      </c>
      <c r="T185" s="8" t="s">
        <v>80</v>
      </c>
      <c r="U185" s="9" t="s">
        <v>951</v>
      </c>
      <c r="V185" s="8" t="s">
        <v>64</v>
      </c>
      <c r="AD185" s="57">
        <v>45936</v>
      </c>
      <c r="AE185">
        <v>9920.25</v>
      </c>
    </row>
    <row r="186" spans="1:31" x14ac:dyDescent="0.3">
      <c r="A186" s="3" t="s">
        <v>952</v>
      </c>
      <c r="B186" s="4" t="s">
        <v>100</v>
      </c>
      <c r="C186" s="4" t="s">
        <v>169</v>
      </c>
      <c r="D186" s="52">
        <v>45769</v>
      </c>
      <c r="E186" s="48" t="s">
        <v>42</v>
      </c>
      <c r="F186" s="4" t="str">
        <f>TRIM(PROPER(Sales_Data!F186))</f>
        <v>Priya Patel</v>
      </c>
      <c r="G186" s="4" t="s">
        <v>28</v>
      </c>
      <c r="H186" s="4" t="s">
        <v>954</v>
      </c>
      <c r="I186" s="4" t="s">
        <v>294</v>
      </c>
      <c r="J186" s="4" t="str">
        <f>PROPER(Sales_Data!J186)</f>
        <v>East</v>
      </c>
      <c r="K186" s="4" t="str">
        <f>PROPER(Sales_Data!K186)</f>
        <v>Home Appliances</v>
      </c>
      <c r="L186" s="4" t="s">
        <v>174</v>
      </c>
      <c r="M186" s="4">
        <v>20</v>
      </c>
      <c r="N186" s="4">
        <v>8500</v>
      </c>
      <c r="O186" s="4">
        <v>20</v>
      </c>
      <c r="P186" s="4">
        <v>136000</v>
      </c>
      <c r="Q186" s="4">
        <v>4</v>
      </c>
      <c r="R186" s="4" t="s">
        <v>48</v>
      </c>
      <c r="S186" s="4" t="s">
        <v>35</v>
      </c>
      <c r="T186" s="4" t="s">
        <v>144</v>
      </c>
      <c r="U186" s="6" t="s">
        <v>955</v>
      </c>
      <c r="V186" s="4" t="s">
        <v>38</v>
      </c>
      <c r="AD186" s="57">
        <v>45939</v>
      </c>
      <c r="AE186">
        <v>648</v>
      </c>
    </row>
    <row r="187" spans="1:31" x14ac:dyDescent="0.3">
      <c r="A187" s="7" t="s">
        <v>956</v>
      </c>
      <c r="B187" s="8" t="s">
        <v>251</v>
      </c>
      <c r="C187" s="8" t="s">
        <v>24</v>
      </c>
      <c r="D187" s="53">
        <v>45679</v>
      </c>
      <c r="E187" s="49" t="s">
        <v>957</v>
      </c>
      <c r="F187" s="4" t="str">
        <f>TRIM(PROPER(Sales_Data!F187))</f>
        <v>Sneha Joshi</v>
      </c>
      <c r="G187" s="8" t="s">
        <v>28</v>
      </c>
      <c r="H187" s="8" t="s">
        <v>958</v>
      </c>
      <c r="I187" s="8" t="s">
        <v>30</v>
      </c>
      <c r="J187" s="4" t="str">
        <f>PROPER(Sales_Data!J187)</f>
        <v>South</v>
      </c>
      <c r="K187" s="4" t="str">
        <f>PROPER(Sales_Data!K187)</f>
        <v>Home Appliances</v>
      </c>
      <c r="L187" s="8" t="s">
        <v>33</v>
      </c>
      <c r="M187" s="8">
        <v>10</v>
      </c>
      <c r="N187" s="8">
        <v>2200</v>
      </c>
      <c r="O187" s="8">
        <v>5</v>
      </c>
      <c r="P187" s="8">
        <v>20900</v>
      </c>
      <c r="Q187" s="8">
        <v>2</v>
      </c>
      <c r="R187" s="8" t="s">
        <v>48</v>
      </c>
      <c r="S187" s="8" t="s">
        <v>49</v>
      </c>
      <c r="T187" s="8" t="s">
        <v>256</v>
      </c>
      <c r="U187" s="9" t="s">
        <v>959</v>
      </c>
      <c r="V187" s="8" t="s">
        <v>38</v>
      </c>
      <c r="AD187" s="57">
        <v>45940</v>
      </c>
      <c r="AE187">
        <v>35640</v>
      </c>
    </row>
    <row r="188" spans="1:31" x14ac:dyDescent="0.3">
      <c r="A188" s="3" t="s">
        <v>960</v>
      </c>
      <c r="B188" s="4" t="s">
        <v>127</v>
      </c>
      <c r="C188" s="4" t="s">
        <v>118</v>
      </c>
      <c r="D188" s="52">
        <v>46007</v>
      </c>
      <c r="E188" s="48" t="s">
        <v>961</v>
      </c>
      <c r="F188" s="4" t="str">
        <f>TRIM(PROPER(Sales_Data!F188))</f>
        <v>Rohit Singh</v>
      </c>
      <c r="G188" s="4" t="s">
        <v>76</v>
      </c>
      <c r="H188" s="4" t="s">
        <v>962</v>
      </c>
      <c r="I188" s="4" t="s">
        <v>114</v>
      </c>
      <c r="J188" s="4" t="str">
        <f>PROPER(Sales_Data!J188)</f>
        <v>West</v>
      </c>
      <c r="K188" s="4" t="str">
        <f>PROPER(Sales_Data!K188)</f>
        <v>Stationery</v>
      </c>
      <c r="L188" s="4" t="s">
        <v>123</v>
      </c>
      <c r="M188" s="4">
        <v>15</v>
      </c>
      <c r="N188" s="4">
        <v>60</v>
      </c>
      <c r="O188" s="4">
        <v>20</v>
      </c>
      <c r="P188" s="4">
        <v>720</v>
      </c>
      <c r="Q188" s="4">
        <v>1</v>
      </c>
      <c r="R188" s="4" t="s">
        <v>79</v>
      </c>
      <c r="S188" s="4" t="s">
        <v>35</v>
      </c>
      <c r="T188" s="4" t="s">
        <v>132</v>
      </c>
      <c r="U188" s="6" t="s">
        <v>963</v>
      </c>
      <c r="V188" s="4" t="s">
        <v>38</v>
      </c>
      <c r="AD188" s="57">
        <v>45941</v>
      </c>
      <c r="AE188">
        <v>9138.75</v>
      </c>
    </row>
    <row r="189" spans="1:31" x14ac:dyDescent="0.3">
      <c r="A189" s="7" t="s">
        <v>964</v>
      </c>
      <c r="B189" s="8" t="s">
        <v>221</v>
      </c>
      <c r="C189" s="8" t="s">
        <v>92</v>
      </c>
      <c r="D189" s="53">
        <v>45832</v>
      </c>
      <c r="E189" s="49" t="s">
        <v>965</v>
      </c>
      <c r="F189" s="4" t="str">
        <f>TRIM(PROPER(Sales_Data!F189))</f>
        <v>Vikas Mehta</v>
      </c>
      <c r="G189" s="8" t="s">
        <v>76</v>
      </c>
      <c r="H189" s="8" t="s">
        <v>966</v>
      </c>
      <c r="I189" s="8" t="s">
        <v>30</v>
      </c>
      <c r="J189" s="4" t="str">
        <f>PROPER(Sales_Data!J189)</f>
        <v>South</v>
      </c>
      <c r="K189" s="4" t="str">
        <f>PROPER(Sales_Data!K189)</f>
        <v>Home Appliances</v>
      </c>
      <c r="L189" s="8" t="s">
        <v>97</v>
      </c>
      <c r="M189" s="8">
        <v>18</v>
      </c>
      <c r="N189" s="8">
        <v>3500</v>
      </c>
      <c r="O189" s="8">
        <v>5</v>
      </c>
      <c r="P189" s="8">
        <v>59850</v>
      </c>
      <c r="Q189" s="8">
        <v>1</v>
      </c>
      <c r="R189" s="8" t="s">
        <v>79</v>
      </c>
      <c r="S189" s="8" t="s">
        <v>49</v>
      </c>
      <c r="T189" s="8" t="s">
        <v>228</v>
      </c>
      <c r="U189" s="9" t="s">
        <v>967</v>
      </c>
      <c r="V189" s="8" t="s">
        <v>69</v>
      </c>
      <c r="AD189" s="57">
        <v>45942</v>
      </c>
      <c r="AE189">
        <v>497.25</v>
      </c>
    </row>
    <row r="190" spans="1:31" x14ac:dyDescent="0.3">
      <c r="A190" s="3" t="s">
        <v>968</v>
      </c>
      <c r="B190" s="4" t="s">
        <v>327</v>
      </c>
      <c r="C190" s="4" t="s">
        <v>40</v>
      </c>
      <c r="D190" s="52">
        <v>46154</v>
      </c>
      <c r="E190" s="48" t="s">
        <v>970</v>
      </c>
      <c r="F190" s="4" t="str">
        <f>TRIM(PROPER(Sales_Data!F190))</f>
        <v>Amit Sharma</v>
      </c>
      <c r="G190" s="4" t="s">
        <v>76</v>
      </c>
      <c r="H190" s="4" t="s">
        <v>971</v>
      </c>
      <c r="I190" s="4" t="s">
        <v>114</v>
      </c>
      <c r="J190" s="4" t="str">
        <f>PROPER(Sales_Data!J190)</f>
        <v>West</v>
      </c>
      <c r="K190" s="4" t="str">
        <f>PROPER(Sales_Data!K190)</f>
        <v>Electronics</v>
      </c>
      <c r="L190" s="4" t="s">
        <v>47</v>
      </c>
      <c r="M190" s="4">
        <v>6</v>
      </c>
      <c r="N190" s="4">
        <v>12000</v>
      </c>
      <c r="O190" s="4">
        <v>5</v>
      </c>
      <c r="P190" s="4">
        <v>68400</v>
      </c>
      <c r="Q190" s="4">
        <v>1</v>
      </c>
      <c r="R190" s="4" t="s">
        <v>48</v>
      </c>
      <c r="S190" s="4" t="s">
        <v>49</v>
      </c>
      <c r="T190" s="4" t="s">
        <v>332</v>
      </c>
      <c r="U190" s="6" t="s">
        <v>972</v>
      </c>
      <c r="V190" s="4" t="s">
        <v>69</v>
      </c>
      <c r="AD190" s="57">
        <v>45943</v>
      </c>
      <c r="AE190">
        <v>142408.25</v>
      </c>
    </row>
    <row r="191" spans="1:31" x14ac:dyDescent="0.3">
      <c r="A191" s="7" t="s">
        <v>973</v>
      </c>
      <c r="B191" s="8" t="s">
        <v>327</v>
      </c>
      <c r="C191" s="8" t="s">
        <v>222</v>
      </c>
      <c r="D191" s="53">
        <v>46067</v>
      </c>
      <c r="E191" s="49" t="s">
        <v>479</v>
      </c>
      <c r="F191" s="4" t="str">
        <f>TRIM(PROPER(Sales_Data!F191))</f>
        <v>Amit Sharma</v>
      </c>
      <c r="G191" s="8" t="s">
        <v>76</v>
      </c>
      <c r="H191" s="8" t="s">
        <v>974</v>
      </c>
      <c r="I191" s="8" t="s">
        <v>59</v>
      </c>
      <c r="J191" s="4" t="str">
        <f>PROPER(Sales_Data!J191)</f>
        <v>South</v>
      </c>
      <c r="K191" s="4" t="str">
        <f>PROPER(Sales_Data!K191)</f>
        <v>Stationery</v>
      </c>
      <c r="L191" s="8" t="s">
        <v>227</v>
      </c>
      <c r="M191" s="8">
        <v>19</v>
      </c>
      <c r="N191" s="8">
        <v>20</v>
      </c>
      <c r="O191" s="8">
        <v>10</v>
      </c>
      <c r="P191" s="8">
        <v>342</v>
      </c>
      <c r="Q191" s="8">
        <v>2</v>
      </c>
      <c r="R191" s="8" t="s">
        <v>48</v>
      </c>
      <c r="S191" s="8" t="s">
        <v>35</v>
      </c>
      <c r="T191" s="8" t="s">
        <v>332</v>
      </c>
      <c r="U191" s="9" t="s">
        <v>975</v>
      </c>
      <c r="V191" s="8" t="s">
        <v>64</v>
      </c>
      <c r="AD191" s="57">
        <v>45945</v>
      </c>
      <c r="AE191">
        <v>76.5</v>
      </c>
    </row>
    <row r="192" spans="1:31" x14ac:dyDescent="0.3">
      <c r="A192" s="3" t="s">
        <v>976</v>
      </c>
      <c r="B192" s="4" t="s">
        <v>221</v>
      </c>
      <c r="C192" s="4" t="s">
        <v>24</v>
      </c>
      <c r="D192" s="52">
        <v>46155</v>
      </c>
      <c r="E192" s="48" t="s">
        <v>427</v>
      </c>
      <c r="F192" s="4" t="str">
        <f>TRIM(PROPER(Sales_Data!F192))</f>
        <v>Vikas Mehta</v>
      </c>
      <c r="G192" s="4" t="s">
        <v>76</v>
      </c>
      <c r="H192" s="4" t="s">
        <v>977</v>
      </c>
      <c r="I192" s="4" t="s">
        <v>114</v>
      </c>
      <c r="J192" s="4" t="str">
        <f>PROPER(Sales_Data!J192)</f>
        <v>West</v>
      </c>
      <c r="K192" s="4" t="str">
        <f>PROPER(Sales_Data!K192)</f>
        <v>Home Appliances</v>
      </c>
      <c r="L192" s="4" t="s">
        <v>33</v>
      </c>
      <c r="M192" s="4">
        <v>7</v>
      </c>
      <c r="N192" s="4">
        <v>2200</v>
      </c>
      <c r="O192" s="4">
        <v>0</v>
      </c>
      <c r="P192" s="4">
        <v>15400</v>
      </c>
      <c r="Q192" s="4">
        <v>1</v>
      </c>
      <c r="R192" s="4" t="s">
        <v>79</v>
      </c>
      <c r="S192" s="4" t="s">
        <v>115</v>
      </c>
      <c r="T192" s="4" t="s">
        <v>228</v>
      </c>
      <c r="U192" s="6" t="s">
        <v>978</v>
      </c>
      <c r="V192" s="4" t="s">
        <v>69</v>
      </c>
      <c r="AD192" s="57">
        <v>45948</v>
      </c>
      <c r="AE192">
        <v>19380</v>
      </c>
    </row>
    <row r="193" spans="1:31" x14ac:dyDescent="0.3">
      <c r="A193" s="7" t="s">
        <v>979</v>
      </c>
      <c r="B193" s="8" t="s">
        <v>327</v>
      </c>
      <c r="C193" s="8" t="s">
        <v>40</v>
      </c>
      <c r="D193" s="53">
        <v>45977</v>
      </c>
      <c r="E193" s="49" t="s">
        <v>980</v>
      </c>
      <c r="F193" s="4" t="str">
        <f>TRIM(PROPER(Sales_Data!F193))</f>
        <v>Amit Sharma</v>
      </c>
      <c r="G193" s="8" t="s">
        <v>76</v>
      </c>
      <c r="H193" s="8" t="s">
        <v>981</v>
      </c>
      <c r="I193" s="8" t="s">
        <v>212</v>
      </c>
      <c r="J193" s="4" t="str">
        <f>PROPER(Sales_Data!J193)</f>
        <v>North</v>
      </c>
      <c r="K193" s="4" t="str">
        <f>PROPER(Sales_Data!K193)</f>
        <v>Electronics</v>
      </c>
      <c r="L193" s="8" t="s">
        <v>47</v>
      </c>
      <c r="M193" s="8">
        <v>3</v>
      </c>
      <c r="N193" s="8">
        <v>12000</v>
      </c>
      <c r="O193" s="8">
        <v>5</v>
      </c>
      <c r="P193" s="8">
        <v>34200</v>
      </c>
      <c r="Q193" s="8">
        <v>3</v>
      </c>
      <c r="R193" s="8" t="s">
        <v>79</v>
      </c>
      <c r="S193" s="8" t="s">
        <v>61</v>
      </c>
      <c r="T193" s="8" t="s">
        <v>332</v>
      </c>
      <c r="U193" s="9" t="s">
        <v>982</v>
      </c>
      <c r="V193" s="8" t="s">
        <v>69</v>
      </c>
      <c r="AD193" s="57">
        <v>45949</v>
      </c>
      <c r="AE193">
        <v>81</v>
      </c>
    </row>
    <row r="194" spans="1:31" x14ac:dyDescent="0.3">
      <c r="A194" s="3" t="s">
        <v>983</v>
      </c>
      <c r="B194" s="4" t="s">
        <v>168</v>
      </c>
      <c r="C194" s="4" t="s">
        <v>24</v>
      </c>
      <c r="D194" s="52">
        <v>45953</v>
      </c>
      <c r="E194" s="48" t="s">
        <v>864</v>
      </c>
      <c r="F194" s="4" t="str">
        <f>TRIM(PROPER(Sales_Data!F194))</f>
        <v>Anita Gupta</v>
      </c>
      <c r="G194" s="4" t="s">
        <v>28</v>
      </c>
      <c r="H194" s="4" t="s">
        <v>984</v>
      </c>
      <c r="I194" s="4" t="s">
        <v>212</v>
      </c>
      <c r="J194" s="4" t="str">
        <f>PROPER(Sales_Data!J194)</f>
        <v>North</v>
      </c>
      <c r="K194" s="4" t="str">
        <f>PROPER(Sales_Data!K194)</f>
        <v>Home Appliances</v>
      </c>
      <c r="L194" s="4" t="s">
        <v>33</v>
      </c>
      <c r="M194" s="4">
        <v>16</v>
      </c>
      <c r="N194" s="4">
        <v>2200</v>
      </c>
      <c r="O194" s="4">
        <v>0</v>
      </c>
      <c r="P194" s="4">
        <v>35200</v>
      </c>
      <c r="Q194" s="4">
        <v>5</v>
      </c>
      <c r="R194" s="4" t="s">
        <v>79</v>
      </c>
      <c r="S194" s="4" t="s">
        <v>35</v>
      </c>
      <c r="T194" s="4" t="s">
        <v>175</v>
      </c>
      <c r="U194" s="6" t="s">
        <v>985</v>
      </c>
      <c r="V194" s="4" t="s">
        <v>64</v>
      </c>
      <c r="AD194" s="57">
        <v>45950</v>
      </c>
      <c r="AE194">
        <v>326940</v>
      </c>
    </row>
    <row r="195" spans="1:31" x14ac:dyDescent="0.3">
      <c r="A195" s="7" t="s">
        <v>986</v>
      </c>
      <c r="B195" s="8" t="s">
        <v>251</v>
      </c>
      <c r="C195" s="8" t="s">
        <v>24</v>
      </c>
      <c r="D195" s="53">
        <v>45704</v>
      </c>
      <c r="E195" s="49" t="s">
        <v>988</v>
      </c>
      <c r="F195" s="4" t="str">
        <f>TRIM(PROPER(Sales_Data!F195))</f>
        <v>Sneha Joshi</v>
      </c>
      <c r="G195" s="8" t="s">
        <v>28</v>
      </c>
      <c r="H195" s="8" t="s">
        <v>989</v>
      </c>
      <c r="I195" s="8" t="s">
        <v>44</v>
      </c>
      <c r="J195" s="4" t="str">
        <f>PROPER(Sales_Data!J195)</f>
        <v>North</v>
      </c>
      <c r="K195" s="4" t="str">
        <f>PROPER(Sales_Data!K195)</f>
        <v>Home Appliances</v>
      </c>
      <c r="L195" s="8" t="s">
        <v>33</v>
      </c>
      <c r="M195" s="8">
        <v>8</v>
      </c>
      <c r="N195" s="8">
        <v>2200</v>
      </c>
      <c r="O195" s="8">
        <v>5</v>
      </c>
      <c r="P195" s="8">
        <v>16720</v>
      </c>
      <c r="Q195" s="8">
        <v>2</v>
      </c>
      <c r="R195" s="8" t="s">
        <v>88</v>
      </c>
      <c r="S195" s="8" t="s">
        <v>151</v>
      </c>
      <c r="T195" s="8" t="s">
        <v>256</v>
      </c>
      <c r="U195" s="9" t="s">
        <v>990</v>
      </c>
      <c r="V195" s="8" t="s">
        <v>38</v>
      </c>
      <c r="AD195" s="57">
        <v>45951</v>
      </c>
      <c r="AE195">
        <v>16320</v>
      </c>
    </row>
    <row r="196" spans="1:31" x14ac:dyDescent="0.3">
      <c r="A196" s="3" t="s">
        <v>991</v>
      </c>
      <c r="B196" s="4" t="s">
        <v>251</v>
      </c>
      <c r="C196" s="4" t="s">
        <v>24</v>
      </c>
      <c r="D196" s="52">
        <v>46002</v>
      </c>
      <c r="E196" s="48" t="s">
        <v>454</v>
      </c>
      <c r="F196" s="4" t="str">
        <f>TRIM(PROPER(Sales_Data!F196))</f>
        <v>Sneha Joshi</v>
      </c>
      <c r="G196" s="4" t="s">
        <v>28</v>
      </c>
      <c r="H196" s="4" t="s">
        <v>992</v>
      </c>
      <c r="I196" s="4" t="s">
        <v>138</v>
      </c>
      <c r="J196" s="4" t="str">
        <f>PROPER(Sales_Data!J196)</f>
        <v>West</v>
      </c>
      <c r="K196" s="4" t="str">
        <f>PROPER(Sales_Data!K196)</f>
        <v>Home Appliances</v>
      </c>
      <c r="L196" s="4" t="s">
        <v>33</v>
      </c>
      <c r="M196" s="4">
        <v>10</v>
      </c>
      <c r="N196" s="4">
        <v>2200</v>
      </c>
      <c r="O196" s="4">
        <v>10</v>
      </c>
      <c r="P196" s="4">
        <v>19800</v>
      </c>
      <c r="Q196" s="4">
        <v>5</v>
      </c>
      <c r="R196" s="4" t="s">
        <v>48</v>
      </c>
      <c r="S196" s="4" t="s">
        <v>115</v>
      </c>
      <c r="T196" s="4" t="s">
        <v>256</v>
      </c>
      <c r="U196" s="6" t="s">
        <v>993</v>
      </c>
      <c r="V196" s="4" t="s">
        <v>64</v>
      </c>
      <c r="AD196" s="57">
        <v>45952</v>
      </c>
      <c r="AE196">
        <v>36</v>
      </c>
    </row>
    <row r="197" spans="1:31" x14ac:dyDescent="0.3">
      <c r="A197" s="7" t="s">
        <v>994</v>
      </c>
      <c r="B197" s="8" t="s">
        <v>83</v>
      </c>
      <c r="C197" s="8" t="s">
        <v>222</v>
      </c>
      <c r="D197" s="53">
        <v>45775</v>
      </c>
      <c r="E197" s="49" t="s">
        <v>596</v>
      </c>
      <c r="F197" s="4" t="str">
        <f>TRIM(PROPER(Sales_Data!F197))</f>
        <v>Arjun Rao</v>
      </c>
      <c r="G197" s="8" t="s">
        <v>76</v>
      </c>
      <c r="H197" s="8" t="s">
        <v>995</v>
      </c>
      <c r="I197" s="8" t="s">
        <v>44</v>
      </c>
      <c r="J197" s="4" t="str">
        <f>PROPER(Sales_Data!J197)</f>
        <v>North</v>
      </c>
      <c r="K197" s="4" t="str">
        <f>PROPER(Sales_Data!K197)</f>
        <v>Stationery</v>
      </c>
      <c r="L197" s="8" t="s">
        <v>227</v>
      </c>
      <c r="M197" s="8">
        <v>7</v>
      </c>
      <c r="N197" s="8">
        <v>20</v>
      </c>
      <c r="O197" s="8">
        <v>10</v>
      </c>
      <c r="P197" s="8">
        <v>126</v>
      </c>
      <c r="Q197" s="8">
        <v>4</v>
      </c>
      <c r="R197" s="8" t="s">
        <v>79</v>
      </c>
      <c r="S197" s="8" t="s">
        <v>61</v>
      </c>
      <c r="T197" s="8" t="s">
        <v>89</v>
      </c>
      <c r="U197" s="9" t="s">
        <v>996</v>
      </c>
      <c r="V197" s="8" t="s">
        <v>38</v>
      </c>
      <c r="AD197" s="57">
        <v>45953</v>
      </c>
      <c r="AE197">
        <v>35485</v>
      </c>
    </row>
    <row r="198" spans="1:31" x14ac:dyDescent="0.3">
      <c r="A198" s="3" t="s">
        <v>997</v>
      </c>
      <c r="B198" s="4" t="s">
        <v>221</v>
      </c>
      <c r="C198" s="4" t="s">
        <v>169</v>
      </c>
      <c r="D198" s="52">
        <v>46033</v>
      </c>
      <c r="E198" s="48" t="s">
        <v>998</v>
      </c>
      <c r="F198" s="4" t="str">
        <f>TRIM(PROPER(Sales_Data!F198))</f>
        <v>Vikas Mehta</v>
      </c>
      <c r="G198" s="4" t="s">
        <v>76</v>
      </c>
      <c r="H198" s="4" t="s">
        <v>999</v>
      </c>
      <c r="I198" s="4" t="s">
        <v>30</v>
      </c>
      <c r="J198" s="4" t="str">
        <f>PROPER(Sales_Data!J198)</f>
        <v>South</v>
      </c>
      <c r="K198" s="4" t="str">
        <f>PROPER(Sales_Data!K198)</f>
        <v>Home Appliances</v>
      </c>
      <c r="L198" s="4" t="s">
        <v>174</v>
      </c>
      <c r="M198" s="4">
        <v>19</v>
      </c>
      <c r="N198" s="4">
        <v>8500</v>
      </c>
      <c r="O198" s="4">
        <v>20</v>
      </c>
      <c r="P198" s="4">
        <v>129200</v>
      </c>
      <c r="Q198" s="4">
        <v>3</v>
      </c>
      <c r="R198" s="4" t="s">
        <v>48</v>
      </c>
      <c r="S198" s="4" t="s">
        <v>61</v>
      </c>
      <c r="T198" s="4" t="s">
        <v>228</v>
      </c>
      <c r="U198" s="6" t="s">
        <v>1000</v>
      </c>
      <c r="V198" s="4" t="s">
        <v>64</v>
      </c>
      <c r="AD198" s="57">
        <v>45958</v>
      </c>
      <c r="AE198">
        <v>8160</v>
      </c>
    </row>
    <row r="199" spans="1:31" x14ac:dyDescent="0.3">
      <c r="A199" s="7" t="s">
        <v>1001</v>
      </c>
      <c r="B199" s="8" t="s">
        <v>100</v>
      </c>
      <c r="C199" s="8" t="s">
        <v>118</v>
      </c>
      <c r="D199" s="53">
        <v>45717</v>
      </c>
      <c r="E199" s="49" t="s">
        <v>414</v>
      </c>
      <c r="F199" s="4" t="str">
        <f>TRIM(PROPER(Sales_Data!F199))</f>
        <v>Priya Patel</v>
      </c>
      <c r="G199" s="8" t="s">
        <v>28</v>
      </c>
      <c r="H199" s="8" t="s">
        <v>1002</v>
      </c>
      <c r="I199" s="8" t="s">
        <v>114</v>
      </c>
      <c r="J199" s="4" t="str">
        <f>PROPER(Sales_Data!J199)</f>
        <v>West</v>
      </c>
      <c r="K199" s="4" t="str">
        <f>PROPER(Sales_Data!K199)</f>
        <v>Stationery</v>
      </c>
      <c r="L199" s="8" t="s">
        <v>123</v>
      </c>
      <c r="M199" s="8">
        <v>16</v>
      </c>
      <c r="N199" s="8">
        <v>60</v>
      </c>
      <c r="O199" s="8">
        <v>0</v>
      </c>
      <c r="P199" s="8">
        <v>960</v>
      </c>
      <c r="Q199" s="8">
        <v>2</v>
      </c>
      <c r="R199" s="8" t="s">
        <v>48</v>
      </c>
      <c r="S199" s="8" t="s">
        <v>115</v>
      </c>
      <c r="T199" s="8" t="s">
        <v>144</v>
      </c>
      <c r="U199" s="9" t="s">
        <v>1003</v>
      </c>
      <c r="V199" s="8" t="s">
        <v>38</v>
      </c>
      <c r="AD199" s="57">
        <v>45959</v>
      </c>
      <c r="AE199">
        <v>9975</v>
      </c>
    </row>
    <row r="200" spans="1:31" x14ac:dyDescent="0.3">
      <c r="A200" s="3" t="s">
        <v>1004</v>
      </c>
      <c r="B200" s="4" t="s">
        <v>221</v>
      </c>
      <c r="C200" s="4" t="s">
        <v>92</v>
      </c>
      <c r="D200" s="52">
        <v>46127</v>
      </c>
      <c r="E200" s="48" t="s">
        <v>731</v>
      </c>
      <c r="F200" s="4" t="str">
        <f>TRIM(PROPER(Sales_Data!F200))</f>
        <v>Vikas Mehta</v>
      </c>
      <c r="G200" s="4" t="s">
        <v>76</v>
      </c>
      <c r="H200" s="4" t="s">
        <v>1006</v>
      </c>
      <c r="I200" s="4" t="s">
        <v>59</v>
      </c>
      <c r="J200" s="4" t="str">
        <f>PROPER(Sales_Data!J200)</f>
        <v>South</v>
      </c>
      <c r="K200" s="4" t="str">
        <f>PROPER(Sales_Data!K200)</f>
        <v>Stationery</v>
      </c>
      <c r="L200" s="4" t="s">
        <v>97</v>
      </c>
      <c r="M200" s="4">
        <v>18</v>
      </c>
      <c r="N200" s="4">
        <v>3500</v>
      </c>
      <c r="O200" s="4">
        <v>5</v>
      </c>
      <c r="P200" s="4">
        <v>59850</v>
      </c>
      <c r="Q200" s="4">
        <v>1</v>
      </c>
      <c r="R200" s="4" t="s">
        <v>88</v>
      </c>
      <c r="S200" s="4" t="s">
        <v>115</v>
      </c>
      <c r="T200" s="4" t="s">
        <v>228</v>
      </c>
      <c r="U200" s="6" t="s">
        <v>1008</v>
      </c>
      <c r="V200" s="4" t="s">
        <v>64</v>
      </c>
      <c r="AD200" s="57">
        <v>45960</v>
      </c>
      <c r="AE200">
        <v>183600</v>
      </c>
    </row>
    <row r="201" spans="1:31" x14ac:dyDescent="0.3">
      <c r="A201" s="7" t="s">
        <v>1009</v>
      </c>
      <c r="B201" s="8" t="s">
        <v>100</v>
      </c>
      <c r="C201" s="8" t="s">
        <v>54</v>
      </c>
      <c r="D201" s="53">
        <v>45708</v>
      </c>
      <c r="E201" s="49" t="s">
        <v>431</v>
      </c>
      <c r="F201" s="4" t="str">
        <f>TRIM(PROPER(Sales_Data!F201))</f>
        <v>Priya Patel</v>
      </c>
      <c r="G201" s="8" t="s">
        <v>28</v>
      </c>
      <c r="H201" s="8" t="s">
        <v>1011</v>
      </c>
      <c r="I201" s="8" t="s">
        <v>212</v>
      </c>
      <c r="J201" s="4" t="str">
        <f>PROPER(Sales_Data!J201)</f>
        <v>North</v>
      </c>
      <c r="K201" s="4" t="str">
        <f>PROPER(Sales_Data!K201)</f>
        <v>Electronics</v>
      </c>
      <c r="L201" s="8" t="s">
        <v>60</v>
      </c>
      <c r="M201" s="8">
        <v>16</v>
      </c>
      <c r="N201" s="8">
        <v>55000</v>
      </c>
      <c r="O201" s="8">
        <v>0</v>
      </c>
      <c r="P201" s="8">
        <v>880000</v>
      </c>
      <c r="Q201" s="8">
        <v>1</v>
      </c>
      <c r="R201" s="8" t="s">
        <v>79</v>
      </c>
      <c r="S201" s="8" t="s">
        <v>61</v>
      </c>
      <c r="T201" s="8" t="s">
        <v>144</v>
      </c>
      <c r="U201" s="9" t="s">
        <v>1012</v>
      </c>
      <c r="V201" s="8" t="s">
        <v>69</v>
      </c>
      <c r="AD201" s="57">
        <v>45961</v>
      </c>
      <c r="AE201">
        <v>702590</v>
      </c>
    </row>
    <row r="202" spans="1:31" x14ac:dyDescent="0.3">
      <c r="A202" s="3" t="s">
        <v>1013</v>
      </c>
      <c r="B202" s="4" t="s">
        <v>221</v>
      </c>
      <c r="C202" s="4" t="s">
        <v>72</v>
      </c>
      <c r="D202" s="52">
        <v>45694</v>
      </c>
      <c r="E202" s="48" t="s">
        <v>435</v>
      </c>
      <c r="F202" s="4" t="str">
        <f>TRIM(PROPER(Sales_Data!F202))</f>
        <v>Vikas Mehta</v>
      </c>
      <c r="G202" s="4" t="s">
        <v>76</v>
      </c>
      <c r="H202" s="4" t="s">
        <v>1014</v>
      </c>
      <c r="I202" s="4" t="s">
        <v>138</v>
      </c>
      <c r="J202" s="4" t="str">
        <f>PROPER(Sales_Data!J202)</f>
        <v>West</v>
      </c>
      <c r="K202" s="4" t="str">
        <f>PROPER(Sales_Data!K202)</f>
        <v>Electronics</v>
      </c>
      <c r="L202" s="4" t="s">
        <v>78</v>
      </c>
      <c r="M202" s="4">
        <v>18</v>
      </c>
      <c r="N202" s="4">
        <v>1200</v>
      </c>
      <c r="O202" s="4">
        <v>15</v>
      </c>
      <c r="P202" s="4">
        <v>18360</v>
      </c>
      <c r="Q202" s="4">
        <v>2</v>
      </c>
      <c r="R202" s="4" t="s">
        <v>48</v>
      </c>
      <c r="S202" s="4" t="s">
        <v>35</v>
      </c>
      <c r="T202" s="4" t="s">
        <v>228</v>
      </c>
      <c r="U202" s="6" t="s">
        <v>1015</v>
      </c>
      <c r="V202" s="4" t="s">
        <v>69</v>
      </c>
      <c r="AD202" s="57">
        <v>45962</v>
      </c>
      <c r="AE202">
        <v>3150</v>
      </c>
    </row>
    <row r="203" spans="1:31" x14ac:dyDescent="0.3">
      <c r="A203" s="7" t="s">
        <v>1016</v>
      </c>
      <c r="B203" s="8" t="s">
        <v>71</v>
      </c>
      <c r="C203" s="8" t="s">
        <v>259</v>
      </c>
      <c r="D203" s="53">
        <v>45801</v>
      </c>
      <c r="E203" s="49" t="s">
        <v>1018</v>
      </c>
      <c r="F203" s="4" t="str">
        <f>TRIM(PROPER(Sales_Data!F203))</f>
        <v>Mohit Verma</v>
      </c>
      <c r="G203" s="8" t="s">
        <v>76</v>
      </c>
      <c r="H203" s="8" t="s">
        <v>1019</v>
      </c>
      <c r="I203" s="8" t="s">
        <v>30</v>
      </c>
      <c r="J203" s="4" t="str">
        <f>PROPER(Sales_Data!J203)</f>
        <v>South</v>
      </c>
      <c r="K203" s="4" t="str">
        <f>PROPER(Sales_Data!K203)</f>
        <v>Stationery</v>
      </c>
      <c r="L203" s="8" t="s">
        <v>263</v>
      </c>
      <c r="M203" s="8">
        <v>2</v>
      </c>
      <c r="N203" s="8">
        <v>45</v>
      </c>
      <c r="O203" s="8">
        <v>15</v>
      </c>
      <c r="P203" s="8">
        <v>76.5</v>
      </c>
      <c r="Q203" s="8">
        <v>5</v>
      </c>
      <c r="R203" s="8" t="s">
        <v>34</v>
      </c>
      <c r="S203" s="8" t="s">
        <v>61</v>
      </c>
      <c r="T203" s="8" t="s">
        <v>80</v>
      </c>
      <c r="U203" s="9" t="s">
        <v>1020</v>
      </c>
      <c r="V203" s="8" t="s">
        <v>69</v>
      </c>
      <c r="AD203" s="57">
        <v>45963</v>
      </c>
      <c r="AE203">
        <v>990000</v>
      </c>
    </row>
    <row r="204" spans="1:31" x14ac:dyDescent="0.3">
      <c r="A204" s="3" t="s">
        <v>1021</v>
      </c>
      <c r="B204" s="4" t="s">
        <v>53</v>
      </c>
      <c r="C204" s="4" t="s">
        <v>169</v>
      </c>
      <c r="D204" s="52">
        <v>46028</v>
      </c>
      <c r="E204" s="48" t="s">
        <v>85</v>
      </c>
      <c r="F204" s="4" t="str">
        <f>TRIM(PROPER(Sales_Data!F204))</f>
        <v>Pooja Shah</v>
      </c>
      <c r="G204" s="4" t="s">
        <v>28</v>
      </c>
      <c r="H204" s="4" t="s">
        <v>1022</v>
      </c>
      <c r="I204" s="4" t="s">
        <v>59</v>
      </c>
      <c r="J204" s="4" t="str">
        <f>PROPER(Sales_Data!J204)</f>
        <v>South</v>
      </c>
      <c r="K204" s="4" t="str">
        <f>PROPER(Sales_Data!K204)</f>
        <v>Home Appliances</v>
      </c>
      <c r="L204" s="4" t="s">
        <v>174</v>
      </c>
      <c r="M204" s="4">
        <v>20</v>
      </c>
      <c r="N204" s="4">
        <v>8500</v>
      </c>
      <c r="O204" s="4">
        <v>0</v>
      </c>
      <c r="P204" s="4">
        <v>170000</v>
      </c>
      <c r="Q204" s="4">
        <v>4</v>
      </c>
      <c r="R204" s="4" t="s">
        <v>48</v>
      </c>
      <c r="S204" s="4" t="s">
        <v>61</v>
      </c>
      <c r="T204" s="4" t="s">
        <v>62</v>
      </c>
      <c r="U204" s="6" t="s">
        <v>1023</v>
      </c>
      <c r="V204" s="4" t="s">
        <v>69</v>
      </c>
      <c r="AD204" s="57">
        <v>45964</v>
      </c>
      <c r="AE204">
        <v>40800</v>
      </c>
    </row>
    <row r="205" spans="1:31" x14ac:dyDescent="0.3">
      <c r="A205" s="7" t="s">
        <v>1024</v>
      </c>
      <c r="B205" s="8" t="s">
        <v>127</v>
      </c>
      <c r="C205" s="8" t="s">
        <v>92</v>
      </c>
      <c r="D205" s="53">
        <v>46089</v>
      </c>
      <c r="E205" s="49" t="s">
        <v>1025</v>
      </c>
      <c r="F205" s="4" t="str">
        <f>TRIM(PROPER(Sales_Data!F205))</f>
        <v>Rohit Singh</v>
      </c>
      <c r="G205" s="8" t="s">
        <v>76</v>
      </c>
      <c r="H205" s="8" t="s">
        <v>494</v>
      </c>
      <c r="I205" s="8" t="s">
        <v>212</v>
      </c>
      <c r="J205" s="4" t="str">
        <f>PROPER(Sales_Data!J205)</f>
        <v>North</v>
      </c>
      <c r="K205" s="4" t="str">
        <f>PROPER(Sales_Data!K205)</f>
        <v>Home Appliances</v>
      </c>
      <c r="L205" s="8" t="s">
        <v>97</v>
      </c>
      <c r="M205" s="8">
        <v>6</v>
      </c>
      <c r="N205" s="8">
        <v>3500</v>
      </c>
      <c r="O205" s="8">
        <v>5</v>
      </c>
      <c r="P205" s="8">
        <v>19950</v>
      </c>
      <c r="Q205" s="8">
        <v>1</v>
      </c>
      <c r="R205" s="8" t="s">
        <v>34</v>
      </c>
      <c r="S205" s="8" t="s">
        <v>151</v>
      </c>
      <c r="T205" s="8" t="s">
        <v>132</v>
      </c>
      <c r="U205" s="9" t="s">
        <v>1026</v>
      </c>
      <c r="V205" s="8" t="s">
        <v>38</v>
      </c>
      <c r="AD205" s="57">
        <v>45965</v>
      </c>
      <c r="AE205">
        <v>420</v>
      </c>
    </row>
    <row r="206" spans="1:31" x14ac:dyDescent="0.3">
      <c r="A206" s="3" t="s">
        <v>1027</v>
      </c>
      <c r="B206" s="4" t="s">
        <v>168</v>
      </c>
      <c r="C206" s="4" t="s">
        <v>259</v>
      </c>
      <c r="D206" s="52">
        <v>45935</v>
      </c>
      <c r="E206" s="48" t="s">
        <v>281</v>
      </c>
      <c r="F206" s="4" t="str">
        <f>TRIM(PROPER(Sales_Data!F206))</f>
        <v>Anita Gupta</v>
      </c>
      <c r="G206" s="4" t="s">
        <v>28</v>
      </c>
      <c r="H206" s="4" t="s">
        <v>1028</v>
      </c>
      <c r="I206" s="4" t="s">
        <v>114</v>
      </c>
      <c r="J206" s="4" t="str">
        <f>PROPER(Sales_Data!J206)</f>
        <v>West</v>
      </c>
      <c r="K206" s="4" t="str">
        <f>PROPER(Sales_Data!K206)</f>
        <v>Stationery</v>
      </c>
      <c r="L206" s="4" t="s">
        <v>263</v>
      </c>
      <c r="M206" s="4">
        <v>8</v>
      </c>
      <c r="N206" s="4">
        <v>45</v>
      </c>
      <c r="O206" s="4">
        <v>5</v>
      </c>
      <c r="P206" s="4">
        <v>342</v>
      </c>
      <c r="Q206" s="4">
        <v>2</v>
      </c>
      <c r="R206" s="4" t="s">
        <v>34</v>
      </c>
      <c r="S206" s="4" t="s">
        <v>49</v>
      </c>
      <c r="T206" s="4" t="s">
        <v>175</v>
      </c>
      <c r="U206" s="6" t="s">
        <v>1029</v>
      </c>
      <c r="V206" s="4" t="s">
        <v>64</v>
      </c>
      <c r="AD206" s="57">
        <v>45966</v>
      </c>
      <c r="AE206">
        <v>573237</v>
      </c>
    </row>
    <row r="207" spans="1:31" x14ac:dyDescent="0.3">
      <c r="A207" s="7" t="s">
        <v>1030</v>
      </c>
      <c r="B207" s="8" t="s">
        <v>327</v>
      </c>
      <c r="C207" s="8" t="s">
        <v>24</v>
      </c>
      <c r="D207" s="53">
        <v>45722</v>
      </c>
      <c r="E207" s="49" t="s">
        <v>1031</v>
      </c>
      <c r="F207" s="4" t="str">
        <f>TRIM(PROPER(Sales_Data!F207))</f>
        <v>Amit Sharma</v>
      </c>
      <c r="G207" s="8" t="s">
        <v>76</v>
      </c>
      <c r="H207" s="8" t="s">
        <v>1032</v>
      </c>
      <c r="I207" s="8" t="s">
        <v>105</v>
      </c>
      <c r="J207" s="4" t="str">
        <f>PROPER(Sales_Data!J207)</f>
        <v>West</v>
      </c>
      <c r="K207" s="4" t="str">
        <f>PROPER(Sales_Data!K207)</f>
        <v>Home Appliances</v>
      </c>
      <c r="L207" s="8" t="s">
        <v>33</v>
      </c>
      <c r="M207" s="8">
        <v>18</v>
      </c>
      <c r="N207" s="8">
        <v>2200</v>
      </c>
      <c r="O207" s="8">
        <v>15</v>
      </c>
      <c r="P207" s="8">
        <v>33660</v>
      </c>
      <c r="Q207" s="8">
        <v>4</v>
      </c>
      <c r="R207" s="8" t="s">
        <v>79</v>
      </c>
      <c r="S207" s="8" t="s">
        <v>61</v>
      </c>
      <c r="T207" s="8" t="s">
        <v>332</v>
      </c>
      <c r="U207" s="9" t="s">
        <v>1033</v>
      </c>
      <c r="V207" s="8" t="s">
        <v>64</v>
      </c>
      <c r="AD207" s="57">
        <v>45967</v>
      </c>
      <c r="AE207">
        <v>273</v>
      </c>
    </row>
    <row r="208" spans="1:31" x14ac:dyDescent="0.3">
      <c r="A208" s="3" t="s">
        <v>1034</v>
      </c>
      <c r="B208" s="4" t="s">
        <v>221</v>
      </c>
      <c r="C208" s="4" t="s">
        <v>184</v>
      </c>
      <c r="D208" s="52">
        <v>46118</v>
      </c>
      <c r="E208" s="48" t="s">
        <v>1005</v>
      </c>
      <c r="F208" s="4" t="str">
        <f>TRIM(PROPER(Sales_Data!F208))</f>
        <v>Vikas Mehta</v>
      </c>
      <c r="G208" s="4" t="s">
        <v>76</v>
      </c>
      <c r="H208" s="4" t="s">
        <v>1036</v>
      </c>
      <c r="I208" s="4" t="s">
        <v>30</v>
      </c>
      <c r="J208" s="4" t="str">
        <f>PROPER(Sales_Data!J208)</f>
        <v>South</v>
      </c>
      <c r="K208" s="4" t="str">
        <f>PROPER(Sales_Data!K208)</f>
        <v>Electronics</v>
      </c>
      <c r="L208" s="4" t="s">
        <v>189</v>
      </c>
      <c r="M208" s="4">
        <v>18</v>
      </c>
      <c r="N208" s="4">
        <v>700</v>
      </c>
      <c r="O208" s="4">
        <v>15</v>
      </c>
      <c r="P208" s="4">
        <v>10710</v>
      </c>
      <c r="Q208" s="4">
        <v>3</v>
      </c>
      <c r="R208" s="4" t="s">
        <v>79</v>
      </c>
      <c r="S208" s="4" t="s">
        <v>151</v>
      </c>
      <c r="T208" s="4" t="s">
        <v>228</v>
      </c>
      <c r="U208" s="6" t="s">
        <v>1037</v>
      </c>
      <c r="V208" s="4" t="s">
        <v>69</v>
      </c>
      <c r="AD208" s="57">
        <v>45970</v>
      </c>
      <c r="AE208">
        <v>535.5</v>
      </c>
    </row>
    <row r="209" spans="1:31" x14ac:dyDescent="0.3">
      <c r="A209" s="7" t="s">
        <v>1038</v>
      </c>
      <c r="B209" s="8" t="s">
        <v>327</v>
      </c>
      <c r="C209" s="8" t="s">
        <v>54</v>
      </c>
      <c r="D209" s="53">
        <v>46039</v>
      </c>
      <c r="E209" s="49" t="s">
        <v>1040</v>
      </c>
      <c r="F209" s="4" t="str">
        <f>TRIM(PROPER(Sales_Data!F209))</f>
        <v>Amit Sharma</v>
      </c>
      <c r="G209" s="8" t="s">
        <v>76</v>
      </c>
      <c r="H209" s="8" t="s">
        <v>1041</v>
      </c>
      <c r="I209" s="8" t="s">
        <v>114</v>
      </c>
      <c r="J209" s="4" t="str">
        <f>PROPER(Sales_Data!J209)</f>
        <v>West</v>
      </c>
      <c r="K209" s="4" t="str">
        <f>PROPER(Sales_Data!K209)</f>
        <v>Electronics</v>
      </c>
      <c r="L209" s="8" t="s">
        <v>60</v>
      </c>
      <c r="M209" s="8">
        <v>12</v>
      </c>
      <c r="N209" s="8">
        <v>55000</v>
      </c>
      <c r="O209" s="8">
        <v>0</v>
      </c>
      <c r="P209" s="8">
        <v>660000</v>
      </c>
      <c r="Q209" s="8">
        <v>2</v>
      </c>
      <c r="R209" s="8" t="s">
        <v>88</v>
      </c>
      <c r="S209" s="8" t="s">
        <v>49</v>
      </c>
      <c r="T209" s="8" t="s">
        <v>332</v>
      </c>
      <c r="U209" s="9" t="s">
        <v>1042</v>
      </c>
      <c r="V209" s="8" t="s">
        <v>69</v>
      </c>
      <c r="AD209" s="57">
        <v>45976</v>
      </c>
      <c r="AE209">
        <v>89400</v>
      </c>
    </row>
    <row r="210" spans="1:31" x14ac:dyDescent="0.3">
      <c r="A210" s="3" t="s">
        <v>1043</v>
      </c>
      <c r="B210" s="4" t="s">
        <v>23</v>
      </c>
      <c r="C210" s="4" t="s">
        <v>40</v>
      </c>
      <c r="D210" s="52">
        <v>45976</v>
      </c>
      <c r="E210" s="48" t="s">
        <v>1044</v>
      </c>
      <c r="F210" s="4" t="str">
        <f>TRIM(PROPER(Sales_Data!F210))</f>
        <v>Kavya Nair</v>
      </c>
      <c r="G210" s="4" t="s">
        <v>28</v>
      </c>
      <c r="H210" s="4" t="s">
        <v>1045</v>
      </c>
      <c r="I210" s="4" t="s">
        <v>105</v>
      </c>
      <c r="J210" s="4" t="str">
        <f>PROPER(Sales_Data!J210)</f>
        <v>West</v>
      </c>
      <c r="K210" s="4" t="str">
        <f>PROPER(Sales_Data!K210)</f>
        <v>Electronics</v>
      </c>
      <c r="L210" s="4" t="s">
        <v>47</v>
      </c>
      <c r="M210" s="4">
        <v>7</v>
      </c>
      <c r="N210" s="4">
        <v>12000</v>
      </c>
      <c r="O210" s="4">
        <v>5</v>
      </c>
      <c r="P210" s="4">
        <v>79800</v>
      </c>
      <c r="Q210" s="4">
        <v>3</v>
      </c>
      <c r="R210" s="4" t="s">
        <v>79</v>
      </c>
      <c r="S210" s="4" t="s">
        <v>151</v>
      </c>
      <c r="T210" s="4" t="s">
        <v>50</v>
      </c>
      <c r="U210" s="6" t="s">
        <v>1046</v>
      </c>
      <c r="V210" s="4" t="s">
        <v>64</v>
      </c>
      <c r="AD210" s="57">
        <v>45977</v>
      </c>
      <c r="AE210">
        <v>34200</v>
      </c>
    </row>
    <row r="211" spans="1:31" x14ac:dyDescent="0.3">
      <c r="A211" s="7" t="s">
        <v>1047</v>
      </c>
      <c r="B211" s="8" t="s">
        <v>251</v>
      </c>
      <c r="C211" s="8" t="s">
        <v>40</v>
      </c>
      <c r="D211" s="53">
        <v>45921</v>
      </c>
      <c r="E211" s="49" t="s">
        <v>129</v>
      </c>
      <c r="F211" s="4" t="str">
        <f>TRIM(PROPER(Sales_Data!F211))</f>
        <v>Sneha Joshi</v>
      </c>
      <c r="G211" s="8" t="s">
        <v>28</v>
      </c>
      <c r="H211" s="8" t="s">
        <v>1049</v>
      </c>
      <c r="I211" s="8" t="s">
        <v>105</v>
      </c>
      <c r="J211" s="4" t="str">
        <f>PROPER(Sales_Data!J211)</f>
        <v>West</v>
      </c>
      <c r="K211" s="4" t="str">
        <f>PROPER(Sales_Data!K211)</f>
        <v>Electronics</v>
      </c>
      <c r="L211" s="8" t="s">
        <v>47</v>
      </c>
      <c r="M211" s="8">
        <v>8</v>
      </c>
      <c r="N211" s="8">
        <v>12000</v>
      </c>
      <c r="O211" s="8">
        <v>15</v>
      </c>
      <c r="P211" s="8">
        <v>81600</v>
      </c>
      <c r="Q211" s="8">
        <v>4</v>
      </c>
      <c r="R211" s="8" t="s">
        <v>79</v>
      </c>
      <c r="S211" s="8" t="s">
        <v>49</v>
      </c>
      <c r="T211" s="8" t="s">
        <v>256</v>
      </c>
      <c r="U211" s="9" t="s">
        <v>1050</v>
      </c>
      <c r="V211" s="8" t="s">
        <v>38</v>
      </c>
      <c r="AD211" s="57">
        <v>45979</v>
      </c>
      <c r="AE211">
        <v>127713.75</v>
      </c>
    </row>
    <row r="212" spans="1:31" x14ac:dyDescent="0.3">
      <c r="A212" s="3" t="s">
        <v>1051</v>
      </c>
      <c r="B212" s="4" t="s">
        <v>327</v>
      </c>
      <c r="C212" s="4" t="s">
        <v>92</v>
      </c>
      <c r="D212" s="52">
        <v>46009</v>
      </c>
      <c r="E212" s="48" t="s">
        <v>1052</v>
      </c>
      <c r="F212" s="4" t="str">
        <f>TRIM(PROPER(Sales_Data!F212))</f>
        <v>Amit Sharma</v>
      </c>
      <c r="G212" s="4" t="s">
        <v>76</v>
      </c>
      <c r="H212" s="4" t="s">
        <v>1053</v>
      </c>
      <c r="I212" s="4" t="s">
        <v>105</v>
      </c>
      <c r="J212" s="4" t="str">
        <f>PROPER(Sales_Data!J212)</f>
        <v>West</v>
      </c>
      <c r="K212" s="4" t="str">
        <f>PROPER(Sales_Data!K212)</f>
        <v>Home Appliances</v>
      </c>
      <c r="L212" s="4" t="s">
        <v>97</v>
      </c>
      <c r="M212" s="4">
        <v>19</v>
      </c>
      <c r="N212" s="4">
        <v>3500</v>
      </c>
      <c r="O212" s="4">
        <v>5</v>
      </c>
      <c r="P212" s="4">
        <v>63175</v>
      </c>
      <c r="Q212" s="4">
        <v>3</v>
      </c>
      <c r="R212" s="4" t="s">
        <v>79</v>
      </c>
      <c r="S212" s="4" t="s">
        <v>61</v>
      </c>
      <c r="T212" s="4" t="s">
        <v>332</v>
      </c>
      <c r="U212" s="6" t="s">
        <v>1054</v>
      </c>
      <c r="V212" s="4" t="s">
        <v>64</v>
      </c>
      <c r="AD212" s="57">
        <v>45980</v>
      </c>
      <c r="AE212">
        <v>22080</v>
      </c>
    </row>
    <row r="213" spans="1:31" x14ac:dyDescent="0.3">
      <c r="A213" s="7" t="s">
        <v>1055</v>
      </c>
      <c r="B213" s="8" t="s">
        <v>251</v>
      </c>
      <c r="C213" s="8" t="s">
        <v>259</v>
      </c>
      <c r="D213" s="53">
        <v>45694</v>
      </c>
      <c r="E213" s="49" t="s">
        <v>987</v>
      </c>
      <c r="F213" s="4" t="str">
        <f>TRIM(PROPER(Sales_Data!F213))</f>
        <v>Sneha Joshi</v>
      </c>
      <c r="G213" s="8" t="s">
        <v>28</v>
      </c>
      <c r="H213" s="8" t="s">
        <v>1056</v>
      </c>
      <c r="I213" s="8" t="s">
        <v>138</v>
      </c>
      <c r="J213" s="4" t="str">
        <f>PROPER(Sales_Data!J213)</f>
        <v>West</v>
      </c>
      <c r="K213" s="4" t="str">
        <f>PROPER(Sales_Data!K213)</f>
        <v>Stationery</v>
      </c>
      <c r="L213" s="8" t="s">
        <v>263</v>
      </c>
      <c r="M213" s="8">
        <v>7</v>
      </c>
      <c r="N213" s="8">
        <v>45</v>
      </c>
      <c r="O213" s="8">
        <v>5</v>
      </c>
      <c r="P213" s="8">
        <v>299.25</v>
      </c>
      <c r="Q213" s="8">
        <v>3</v>
      </c>
      <c r="R213" s="8" t="s">
        <v>79</v>
      </c>
      <c r="S213" s="8" t="s">
        <v>35</v>
      </c>
      <c r="T213" s="8" t="s">
        <v>256</v>
      </c>
      <c r="U213" s="9" t="s">
        <v>1057</v>
      </c>
      <c r="V213" s="8" t="s">
        <v>69</v>
      </c>
      <c r="AD213" s="57">
        <v>45986</v>
      </c>
      <c r="AE213">
        <v>89520</v>
      </c>
    </row>
    <row r="214" spans="1:31" x14ac:dyDescent="0.3">
      <c r="A214" s="3" t="s">
        <v>1058</v>
      </c>
      <c r="B214" s="4" t="s">
        <v>23</v>
      </c>
      <c r="C214" s="4" t="s">
        <v>118</v>
      </c>
      <c r="D214" s="52">
        <v>45810</v>
      </c>
      <c r="E214" s="48" t="s">
        <v>750</v>
      </c>
      <c r="F214" s="4" t="str">
        <f>TRIM(PROPER(Sales_Data!F214))</f>
        <v>Kavya Nair</v>
      </c>
      <c r="G214" s="4" t="s">
        <v>28</v>
      </c>
      <c r="H214" s="4" t="s">
        <v>331</v>
      </c>
      <c r="I214" s="4" t="s">
        <v>30</v>
      </c>
      <c r="J214" s="4" t="str">
        <f>PROPER(Sales_Data!J214)</f>
        <v>South</v>
      </c>
      <c r="K214" s="4" t="str">
        <f>PROPER(Sales_Data!K214)</f>
        <v>Stationery</v>
      </c>
      <c r="L214" s="4" t="s">
        <v>123</v>
      </c>
      <c r="M214" s="4">
        <v>3</v>
      </c>
      <c r="N214" s="4">
        <v>60</v>
      </c>
      <c r="O214" s="4">
        <v>15</v>
      </c>
      <c r="P214" s="4">
        <v>153</v>
      </c>
      <c r="Q214" s="4">
        <v>3</v>
      </c>
      <c r="R214" s="4" t="s">
        <v>48</v>
      </c>
      <c r="S214" s="4" t="s">
        <v>49</v>
      </c>
      <c r="T214" s="4" t="s">
        <v>50</v>
      </c>
      <c r="U214" s="6" t="s">
        <v>1059</v>
      </c>
      <c r="V214" s="4" t="s">
        <v>69</v>
      </c>
      <c r="AD214" s="57">
        <v>45988</v>
      </c>
      <c r="AE214">
        <v>21350</v>
      </c>
    </row>
    <row r="215" spans="1:31" x14ac:dyDescent="0.3">
      <c r="A215" s="7" t="s">
        <v>1060</v>
      </c>
      <c r="B215" s="8" t="s">
        <v>53</v>
      </c>
      <c r="C215" s="8" t="s">
        <v>259</v>
      </c>
      <c r="D215" s="53">
        <v>46134</v>
      </c>
      <c r="E215" s="49" t="s">
        <v>582</v>
      </c>
      <c r="F215" s="4" t="str">
        <f>TRIM(PROPER(Sales_Data!F215))</f>
        <v>Pooja Shah</v>
      </c>
      <c r="G215" s="8" t="s">
        <v>28</v>
      </c>
      <c r="H215" s="8" t="s">
        <v>1062</v>
      </c>
      <c r="I215" s="8" t="s">
        <v>114</v>
      </c>
      <c r="J215" s="4" t="str">
        <f>PROPER(Sales_Data!J215)</f>
        <v>West</v>
      </c>
      <c r="K215" s="4" t="str">
        <f>PROPER(Sales_Data!K215)</f>
        <v>Stationery</v>
      </c>
      <c r="L215" s="8" t="s">
        <v>263</v>
      </c>
      <c r="M215" s="8">
        <v>19</v>
      </c>
      <c r="N215" s="8">
        <v>45</v>
      </c>
      <c r="O215" s="8">
        <v>0</v>
      </c>
      <c r="P215" s="8">
        <v>855</v>
      </c>
      <c r="Q215" s="8">
        <v>2</v>
      </c>
      <c r="R215" s="8" t="s">
        <v>34</v>
      </c>
      <c r="S215" s="8" t="s">
        <v>61</v>
      </c>
      <c r="T215" s="8" t="s">
        <v>62</v>
      </c>
      <c r="U215" s="9" t="s">
        <v>1063</v>
      </c>
      <c r="V215" s="8" t="s">
        <v>38</v>
      </c>
      <c r="AD215" s="57">
        <v>45990</v>
      </c>
      <c r="AE215">
        <v>36</v>
      </c>
    </row>
    <row r="216" spans="1:31" x14ac:dyDescent="0.3">
      <c r="A216" s="3" t="s">
        <v>1064</v>
      </c>
      <c r="B216" s="4" t="s">
        <v>100</v>
      </c>
      <c r="C216" s="4" t="s">
        <v>40</v>
      </c>
      <c r="D216" s="52">
        <v>46087</v>
      </c>
      <c r="E216" s="48" t="s">
        <v>543</v>
      </c>
      <c r="F216" s="4" t="str">
        <f>TRIM(PROPER(Sales_Data!F216))</f>
        <v>Priya Patel</v>
      </c>
      <c r="G216" s="4" t="s">
        <v>28</v>
      </c>
      <c r="H216" s="4" t="s">
        <v>1066</v>
      </c>
      <c r="I216" s="4" t="s">
        <v>59</v>
      </c>
      <c r="J216" s="4" t="str">
        <f>PROPER(Sales_Data!J216)</f>
        <v>South</v>
      </c>
      <c r="K216" s="4" t="str">
        <f>PROPER(Sales_Data!K216)</f>
        <v>Electronics</v>
      </c>
      <c r="L216" s="4" t="s">
        <v>47</v>
      </c>
      <c r="M216" s="4">
        <v>10</v>
      </c>
      <c r="N216" s="4">
        <v>12000</v>
      </c>
      <c r="O216" s="4">
        <v>5</v>
      </c>
      <c r="P216" s="4">
        <v>114000</v>
      </c>
      <c r="Q216" s="4">
        <v>1</v>
      </c>
      <c r="R216" s="4" t="s">
        <v>79</v>
      </c>
      <c r="S216" s="4" t="s">
        <v>115</v>
      </c>
      <c r="T216" s="4" t="s">
        <v>144</v>
      </c>
      <c r="U216" s="6" t="s">
        <v>1067</v>
      </c>
      <c r="V216" s="4" t="s">
        <v>69</v>
      </c>
      <c r="AD216" s="57">
        <v>45992</v>
      </c>
      <c r="AE216">
        <v>149985</v>
      </c>
    </row>
    <row r="217" spans="1:31" x14ac:dyDescent="0.3">
      <c r="A217" s="7" t="s">
        <v>1068</v>
      </c>
      <c r="B217" s="8" t="s">
        <v>23</v>
      </c>
      <c r="C217" s="8" t="s">
        <v>72</v>
      </c>
      <c r="D217" s="53">
        <v>45716</v>
      </c>
      <c r="E217" s="49" t="s">
        <v>1031</v>
      </c>
      <c r="F217" s="4" t="str">
        <f>TRIM(PROPER(Sales_Data!F217))</f>
        <v>Kavya Nair</v>
      </c>
      <c r="G217" s="8" t="s">
        <v>28</v>
      </c>
      <c r="H217" s="8" t="s">
        <v>1070</v>
      </c>
      <c r="I217" s="8" t="s">
        <v>294</v>
      </c>
      <c r="J217" s="4" t="str">
        <f>PROPER(Sales_Data!J217)</f>
        <v>East</v>
      </c>
      <c r="K217" s="4" t="str">
        <f>PROPER(Sales_Data!K217)</f>
        <v>Electronics</v>
      </c>
      <c r="L217" s="8" t="s">
        <v>78</v>
      </c>
      <c r="M217" s="8">
        <v>4</v>
      </c>
      <c r="N217" s="8">
        <v>1200</v>
      </c>
      <c r="O217" s="8">
        <v>0</v>
      </c>
      <c r="P217" s="8">
        <v>4800</v>
      </c>
      <c r="Q217" s="8">
        <v>4</v>
      </c>
      <c r="R217" s="8" t="s">
        <v>34</v>
      </c>
      <c r="S217" s="8" t="s">
        <v>61</v>
      </c>
      <c r="T217" s="8" t="s">
        <v>50</v>
      </c>
      <c r="U217" s="9" t="s">
        <v>1071</v>
      </c>
      <c r="V217" s="8" t="s">
        <v>38</v>
      </c>
      <c r="AD217" s="57">
        <v>45993</v>
      </c>
      <c r="AE217">
        <v>220</v>
      </c>
    </row>
    <row r="218" spans="1:31" x14ac:dyDescent="0.3">
      <c r="A218" s="3" t="s">
        <v>1072</v>
      </c>
      <c r="B218" s="4" t="s">
        <v>221</v>
      </c>
      <c r="C218" s="4" t="s">
        <v>169</v>
      </c>
      <c r="D218" s="52">
        <v>45961</v>
      </c>
      <c r="E218" s="48" t="s">
        <v>1073</v>
      </c>
      <c r="F218" s="4" t="str">
        <f>TRIM(PROPER(Sales_Data!F218))</f>
        <v>Vikas Mehta</v>
      </c>
      <c r="G218" s="4" t="s">
        <v>76</v>
      </c>
      <c r="H218" s="4" t="s">
        <v>1074</v>
      </c>
      <c r="I218" s="4" t="s">
        <v>59</v>
      </c>
      <c r="J218" s="4" t="str">
        <f>PROPER(Sales_Data!J218)</f>
        <v>South</v>
      </c>
      <c r="K218" s="4" t="str">
        <f>PROPER(Sales_Data!K218)</f>
        <v>Home Appliances</v>
      </c>
      <c r="L218" s="4" t="s">
        <v>174</v>
      </c>
      <c r="M218" s="4">
        <v>2</v>
      </c>
      <c r="N218" s="4">
        <v>8500</v>
      </c>
      <c r="O218" s="4">
        <v>20</v>
      </c>
      <c r="P218" s="4">
        <v>13600</v>
      </c>
      <c r="Q218" s="4">
        <v>3</v>
      </c>
      <c r="R218" s="4" t="s">
        <v>79</v>
      </c>
      <c r="S218" s="4" t="s">
        <v>151</v>
      </c>
      <c r="T218" s="4" t="s">
        <v>228</v>
      </c>
      <c r="U218" s="6" t="s">
        <v>1075</v>
      </c>
      <c r="V218" s="4" t="s">
        <v>38</v>
      </c>
      <c r="AD218" s="57">
        <v>45995</v>
      </c>
      <c r="AE218">
        <v>548</v>
      </c>
    </row>
    <row r="219" spans="1:31" x14ac:dyDescent="0.3">
      <c r="A219" s="7" t="s">
        <v>1076</v>
      </c>
      <c r="B219" s="8" t="s">
        <v>83</v>
      </c>
      <c r="C219" s="8" t="s">
        <v>184</v>
      </c>
      <c r="D219" s="53">
        <v>46052</v>
      </c>
      <c r="E219" s="49" t="s">
        <v>322</v>
      </c>
      <c r="F219" s="4" t="str">
        <f>TRIM(PROPER(Sales_Data!F219))</f>
        <v>Arjun Rao</v>
      </c>
      <c r="G219" s="8" t="s">
        <v>76</v>
      </c>
      <c r="H219" s="8" t="s">
        <v>1078</v>
      </c>
      <c r="I219" s="8" t="s">
        <v>294</v>
      </c>
      <c r="J219" s="4" t="str">
        <f>PROPER(Sales_Data!J219)</f>
        <v>East</v>
      </c>
      <c r="K219" s="4" t="str">
        <f>PROPER(Sales_Data!K219)</f>
        <v>Electronics</v>
      </c>
      <c r="L219" s="8" t="s">
        <v>189</v>
      </c>
      <c r="M219" s="8">
        <v>7</v>
      </c>
      <c r="N219" s="8">
        <v>700</v>
      </c>
      <c r="O219" s="8">
        <v>20</v>
      </c>
      <c r="P219" s="8">
        <v>3920</v>
      </c>
      <c r="Q219" s="8">
        <v>2</v>
      </c>
      <c r="R219" s="8" t="s">
        <v>79</v>
      </c>
      <c r="S219" s="8" t="s">
        <v>151</v>
      </c>
      <c r="T219" s="8" t="s">
        <v>89</v>
      </c>
      <c r="U219" s="9" t="s">
        <v>1079</v>
      </c>
      <c r="V219" s="8" t="s">
        <v>64</v>
      </c>
      <c r="AD219" s="57">
        <v>45996</v>
      </c>
      <c r="AE219">
        <v>4400</v>
      </c>
    </row>
    <row r="220" spans="1:31" x14ac:dyDescent="0.3">
      <c r="A220" s="3" t="s">
        <v>1080</v>
      </c>
      <c r="B220" s="4" t="s">
        <v>53</v>
      </c>
      <c r="C220" s="4" t="s">
        <v>222</v>
      </c>
      <c r="D220" s="52">
        <v>46141</v>
      </c>
      <c r="E220" s="48" t="s">
        <v>518</v>
      </c>
      <c r="F220" s="4" t="str">
        <f>TRIM(PROPER(Sales_Data!F220))</f>
        <v>Pooja Shah</v>
      </c>
      <c r="G220" s="4" t="s">
        <v>28</v>
      </c>
      <c r="H220" s="4" t="s">
        <v>1082</v>
      </c>
      <c r="I220" s="4" t="s">
        <v>114</v>
      </c>
      <c r="J220" s="4" t="str">
        <f>PROPER(Sales_Data!J220)</f>
        <v>West</v>
      </c>
      <c r="K220" s="4" t="str">
        <f>PROPER(Sales_Data!K220)</f>
        <v>Stationery</v>
      </c>
      <c r="L220" s="4" t="s">
        <v>227</v>
      </c>
      <c r="M220" s="4">
        <v>9</v>
      </c>
      <c r="N220" s="4">
        <v>20</v>
      </c>
      <c r="O220" s="4">
        <v>15</v>
      </c>
      <c r="P220" s="4">
        <v>153</v>
      </c>
      <c r="Q220" s="4">
        <v>3</v>
      </c>
      <c r="R220" s="4" t="s">
        <v>48</v>
      </c>
      <c r="S220" s="4" t="s">
        <v>115</v>
      </c>
      <c r="T220" s="4" t="s">
        <v>62</v>
      </c>
      <c r="U220" s="6" t="s">
        <v>1083</v>
      </c>
      <c r="V220" s="4" t="s">
        <v>38</v>
      </c>
      <c r="AD220" s="57">
        <v>45997</v>
      </c>
      <c r="AE220">
        <v>663</v>
      </c>
    </row>
    <row r="221" spans="1:31" x14ac:dyDescent="0.3">
      <c r="A221" s="7" t="s">
        <v>1084</v>
      </c>
      <c r="B221" s="8" t="s">
        <v>100</v>
      </c>
      <c r="C221" s="8" t="s">
        <v>169</v>
      </c>
      <c r="D221" s="53">
        <v>45795</v>
      </c>
      <c r="E221" s="49" t="s">
        <v>1086</v>
      </c>
      <c r="F221" s="4" t="str">
        <f>TRIM(PROPER(Sales_Data!F221))</f>
        <v>Priya Patel</v>
      </c>
      <c r="G221" s="8" t="s">
        <v>28</v>
      </c>
      <c r="H221" s="8" t="s">
        <v>1087</v>
      </c>
      <c r="I221" s="8" t="s">
        <v>294</v>
      </c>
      <c r="J221" s="4" t="str">
        <f>PROPER(Sales_Data!J221)</f>
        <v>East</v>
      </c>
      <c r="K221" s="4" t="str">
        <f>PROPER(Sales_Data!K221)</f>
        <v>Home Appliances</v>
      </c>
      <c r="L221" s="8" t="s">
        <v>174</v>
      </c>
      <c r="M221" s="8">
        <v>16</v>
      </c>
      <c r="N221" s="8">
        <v>8500</v>
      </c>
      <c r="O221" s="8">
        <v>0</v>
      </c>
      <c r="P221" s="8">
        <v>136000</v>
      </c>
      <c r="Q221" s="8">
        <v>4</v>
      </c>
      <c r="R221" s="8" t="s">
        <v>48</v>
      </c>
      <c r="S221" s="8" t="s">
        <v>35</v>
      </c>
      <c r="T221" s="8" t="s">
        <v>144</v>
      </c>
      <c r="U221" s="9" t="s">
        <v>1088</v>
      </c>
      <c r="V221" s="8" t="s">
        <v>38</v>
      </c>
      <c r="AD221" s="57">
        <v>46001</v>
      </c>
      <c r="AE221">
        <v>15840</v>
      </c>
    </row>
    <row r="222" spans="1:31" x14ac:dyDescent="0.3">
      <c r="A222" s="3" t="s">
        <v>1089</v>
      </c>
      <c r="B222" s="4" t="s">
        <v>251</v>
      </c>
      <c r="C222" s="4" t="s">
        <v>92</v>
      </c>
      <c r="D222" s="52">
        <v>46107</v>
      </c>
      <c r="E222" s="48" t="s">
        <v>1090</v>
      </c>
      <c r="F222" s="4" t="str">
        <f>TRIM(PROPER(Sales_Data!F222))</f>
        <v>Sneha Joshi</v>
      </c>
      <c r="G222" s="4" t="s">
        <v>28</v>
      </c>
      <c r="H222" s="4" t="s">
        <v>1091</v>
      </c>
      <c r="I222" s="4" t="s">
        <v>44</v>
      </c>
      <c r="J222" s="4" t="str">
        <f>PROPER(Sales_Data!J222)</f>
        <v>North</v>
      </c>
      <c r="K222" s="4" t="str">
        <f>PROPER(Sales_Data!K222)</f>
        <v>Home Appliances</v>
      </c>
      <c r="L222" s="4" t="s">
        <v>97</v>
      </c>
      <c r="M222" s="4">
        <v>10</v>
      </c>
      <c r="N222" s="4">
        <v>3500</v>
      </c>
      <c r="O222" s="4">
        <v>5</v>
      </c>
      <c r="P222" s="4">
        <v>33250</v>
      </c>
      <c r="Q222" s="4">
        <v>3</v>
      </c>
      <c r="R222" s="4" t="s">
        <v>48</v>
      </c>
      <c r="S222" s="4" t="s">
        <v>115</v>
      </c>
      <c r="T222" s="4" t="s">
        <v>256</v>
      </c>
      <c r="U222" s="6" t="s">
        <v>1092</v>
      </c>
      <c r="V222" s="4" t="s">
        <v>38</v>
      </c>
      <c r="AD222" s="57">
        <v>46002</v>
      </c>
      <c r="AE222">
        <v>25340</v>
      </c>
    </row>
    <row r="223" spans="1:31" x14ac:dyDescent="0.3">
      <c r="A223" s="7" t="s">
        <v>1093</v>
      </c>
      <c r="B223" s="8" t="s">
        <v>53</v>
      </c>
      <c r="C223" s="8" t="s">
        <v>40</v>
      </c>
      <c r="D223" s="53">
        <v>46041</v>
      </c>
      <c r="E223" s="49" t="s">
        <v>588</v>
      </c>
      <c r="F223" s="4" t="str">
        <f>TRIM(PROPER(Sales_Data!F223))</f>
        <v>Pooja Shah</v>
      </c>
      <c r="G223" s="8" t="s">
        <v>28</v>
      </c>
      <c r="H223" s="8" t="s">
        <v>1095</v>
      </c>
      <c r="I223" s="8" t="s">
        <v>294</v>
      </c>
      <c r="J223" s="4" t="str">
        <f>PROPER(Sales_Data!J223)</f>
        <v>East</v>
      </c>
      <c r="K223" s="4" t="str">
        <f>PROPER(Sales_Data!K223)</f>
        <v>Electronics</v>
      </c>
      <c r="L223" s="8" t="s">
        <v>47</v>
      </c>
      <c r="M223" s="8">
        <v>1</v>
      </c>
      <c r="N223" s="8">
        <v>12000</v>
      </c>
      <c r="O223" s="8">
        <v>0</v>
      </c>
      <c r="P223" s="8">
        <v>12000</v>
      </c>
      <c r="Q223" s="8">
        <v>5</v>
      </c>
      <c r="R223" s="8" t="s">
        <v>88</v>
      </c>
      <c r="S223" s="8" t="s">
        <v>115</v>
      </c>
      <c r="T223" s="8" t="s">
        <v>62</v>
      </c>
      <c r="U223" s="9" t="s">
        <v>1096</v>
      </c>
      <c r="V223" s="8" t="s">
        <v>64</v>
      </c>
      <c r="AD223" s="57">
        <v>46003</v>
      </c>
      <c r="AE223">
        <v>264000</v>
      </c>
    </row>
    <row r="224" spans="1:31" x14ac:dyDescent="0.3">
      <c r="A224" s="3" t="s">
        <v>1097</v>
      </c>
      <c r="B224" s="4" t="s">
        <v>327</v>
      </c>
      <c r="C224" s="4" t="s">
        <v>259</v>
      </c>
      <c r="D224" s="52">
        <v>46144</v>
      </c>
      <c r="E224" s="48" t="s">
        <v>601</v>
      </c>
      <c r="F224" s="4" t="str">
        <f>TRIM(PROPER(Sales_Data!F224))</f>
        <v>Amit Sharma</v>
      </c>
      <c r="G224" s="4" t="s">
        <v>76</v>
      </c>
      <c r="H224" s="4" t="s">
        <v>1099</v>
      </c>
      <c r="I224" s="4" t="s">
        <v>294</v>
      </c>
      <c r="J224" s="4" t="str">
        <f>PROPER(Sales_Data!J224)</f>
        <v>East</v>
      </c>
      <c r="K224" s="4" t="str">
        <f>PROPER(Sales_Data!K224)</f>
        <v>Stationery</v>
      </c>
      <c r="L224" s="4" t="s">
        <v>263</v>
      </c>
      <c r="M224" s="4">
        <v>19</v>
      </c>
      <c r="N224" s="4">
        <v>45</v>
      </c>
      <c r="O224" s="4">
        <v>15</v>
      </c>
      <c r="P224" s="4">
        <v>726.75</v>
      </c>
      <c r="Q224" s="4">
        <v>2</v>
      </c>
      <c r="R224" s="4" t="s">
        <v>88</v>
      </c>
      <c r="S224" s="4" t="s">
        <v>151</v>
      </c>
      <c r="T224" s="4" t="s">
        <v>332</v>
      </c>
      <c r="U224" s="6" t="s">
        <v>1100</v>
      </c>
      <c r="V224" s="4" t="s">
        <v>64</v>
      </c>
      <c r="AD224" s="57">
        <v>46004</v>
      </c>
      <c r="AE224">
        <v>21710</v>
      </c>
    </row>
    <row r="225" spans="1:31" x14ac:dyDescent="0.3">
      <c r="A225" s="7" t="s">
        <v>1101</v>
      </c>
      <c r="B225" s="8" t="s">
        <v>23</v>
      </c>
      <c r="C225" s="8" t="s">
        <v>54</v>
      </c>
      <c r="D225" s="53">
        <v>45961</v>
      </c>
      <c r="E225" s="49" t="s">
        <v>1102</v>
      </c>
      <c r="F225" s="4" t="str">
        <f>TRIM(PROPER(Sales_Data!F225))</f>
        <v>Kavya Nair</v>
      </c>
      <c r="G225" s="8" t="s">
        <v>28</v>
      </c>
      <c r="H225" s="8" t="s">
        <v>1103</v>
      </c>
      <c r="I225" s="8" t="s">
        <v>44</v>
      </c>
      <c r="J225" s="4" t="str">
        <f>PROPER(Sales_Data!J225)</f>
        <v>North</v>
      </c>
      <c r="K225" s="4" t="str">
        <f>PROPER(Sales_Data!K225)</f>
        <v>Electronics</v>
      </c>
      <c r="L225" s="8" t="s">
        <v>60</v>
      </c>
      <c r="M225" s="8">
        <v>13</v>
      </c>
      <c r="N225" s="8">
        <v>55000</v>
      </c>
      <c r="O225" s="8">
        <v>5</v>
      </c>
      <c r="P225" s="8">
        <v>679250</v>
      </c>
      <c r="Q225" s="8">
        <v>4</v>
      </c>
      <c r="R225" s="8" t="s">
        <v>79</v>
      </c>
      <c r="S225" s="8" t="s">
        <v>49</v>
      </c>
      <c r="T225" s="8" t="s">
        <v>50</v>
      </c>
      <c r="U225" s="9" t="s">
        <v>1104</v>
      </c>
      <c r="V225" s="8" t="s">
        <v>69</v>
      </c>
      <c r="AD225" s="57">
        <v>46005</v>
      </c>
      <c r="AE225">
        <v>198900</v>
      </c>
    </row>
    <row r="226" spans="1:31" x14ac:dyDescent="0.3">
      <c r="A226" s="3" t="s">
        <v>1105</v>
      </c>
      <c r="B226" s="4" t="s">
        <v>83</v>
      </c>
      <c r="C226" s="4" t="s">
        <v>259</v>
      </c>
      <c r="D226" s="52">
        <v>45858</v>
      </c>
      <c r="E226" s="48" t="s">
        <v>155</v>
      </c>
      <c r="F226" s="4" t="str">
        <f>TRIM(PROPER(Sales_Data!F226))</f>
        <v>Arjun Rao</v>
      </c>
      <c r="G226" s="4" t="s">
        <v>76</v>
      </c>
      <c r="H226" s="4" t="s">
        <v>1107</v>
      </c>
      <c r="I226" s="4" t="s">
        <v>105</v>
      </c>
      <c r="J226" s="4" t="str">
        <f>PROPER(Sales_Data!J226)</f>
        <v>West</v>
      </c>
      <c r="K226" s="4" t="str">
        <f>PROPER(Sales_Data!K226)</f>
        <v>Stationery</v>
      </c>
      <c r="L226" s="4" t="s">
        <v>263</v>
      </c>
      <c r="M226" s="4">
        <v>2</v>
      </c>
      <c r="N226" s="4">
        <v>45</v>
      </c>
      <c r="O226" s="4">
        <v>15</v>
      </c>
      <c r="P226" s="4">
        <v>76.5</v>
      </c>
      <c r="Q226" s="4">
        <v>1</v>
      </c>
      <c r="R226" s="4" t="s">
        <v>48</v>
      </c>
      <c r="S226" s="4" t="s">
        <v>115</v>
      </c>
      <c r="T226" s="4" t="s">
        <v>89</v>
      </c>
      <c r="U226" s="6" t="s">
        <v>1108</v>
      </c>
      <c r="V226" s="4" t="s">
        <v>38</v>
      </c>
      <c r="AD226" s="57">
        <v>46006</v>
      </c>
      <c r="AE226">
        <v>10200</v>
      </c>
    </row>
    <row r="227" spans="1:31" x14ac:dyDescent="0.3">
      <c r="A227" s="7" t="s">
        <v>1109</v>
      </c>
      <c r="B227" s="8" t="s">
        <v>100</v>
      </c>
      <c r="C227" s="8" t="s">
        <v>222</v>
      </c>
      <c r="D227" s="53">
        <v>45707</v>
      </c>
      <c r="E227" s="49" t="s">
        <v>1110</v>
      </c>
      <c r="F227" s="4" t="str">
        <f>TRIM(PROPER(Sales_Data!F227))</f>
        <v>Priya Patel</v>
      </c>
      <c r="G227" s="8" t="s">
        <v>28</v>
      </c>
      <c r="H227" s="8" t="s">
        <v>1111</v>
      </c>
      <c r="I227" s="8" t="s">
        <v>30</v>
      </c>
      <c r="J227" s="4" t="str">
        <f>PROPER(Sales_Data!J227)</f>
        <v>South</v>
      </c>
      <c r="K227" s="4" t="str">
        <f>PROPER(Sales_Data!K227)</f>
        <v>Stationery</v>
      </c>
      <c r="L227" s="8" t="s">
        <v>227</v>
      </c>
      <c r="M227" s="8">
        <v>8</v>
      </c>
      <c r="N227" s="8">
        <v>20</v>
      </c>
      <c r="O227" s="8">
        <v>15</v>
      </c>
      <c r="P227" s="8">
        <v>136</v>
      </c>
      <c r="Q227" s="8">
        <v>1</v>
      </c>
      <c r="R227" s="8" t="s">
        <v>79</v>
      </c>
      <c r="S227" s="8" t="s">
        <v>35</v>
      </c>
      <c r="T227" s="8" t="s">
        <v>144</v>
      </c>
      <c r="U227" s="9" t="s">
        <v>1112</v>
      </c>
      <c r="V227" s="8" t="s">
        <v>64</v>
      </c>
      <c r="AD227" s="57">
        <v>46007</v>
      </c>
      <c r="AE227">
        <v>720</v>
      </c>
    </row>
    <row r="228" spans="1:31" x14ac:dyDescent="0.3">
      <c r="A228" s="3" t="s">
        <v>1113</v>
      </c>
      <c r="B228" s="4" t="s">
        <v>168</v>
      </c>
      <c r="C228" s="4" t="s">
        <v>40</v>
      </c>
      <c r="D228" s="52">
        <v>45767</v>
      </c>
      <c r="E228" s="48" t="s">
        <v>1115</v>
      </c>
      <c r="F228" s="4" t="str">
        <f>TRIM(PROPER(Sales_Data!F228))</f>
        <v>Anita Gupta</v>
      </c>
      <c r="G228" s="4" t="s">
        <v>28</v>
      </c>
      <c r="H228" s="4" t="s">
        <v>1116</v>
      </c>
      <c r="I228" s="4" t="s">
        <v>30</v>
      </c>
      <c r="J228" s="4" t="str">
        <f>PROPER(Sales_Data!J228)</f>
        <v>South</v>
      </c>
      <c r="K228" s="4" t="str">
        <f>PROPER(Sales_Data!K228)</f>
        <v>Electronics</v>
      </c>
      <c r="L228" s="4" t="s">
        <v>47</v>
      </c>
      <c r="M228" s="4">
        <v>9</v>
      </c>
      <c r="N228" s="4">
        <v>12000</v>
      </c>
      <c r="O228" s="4">
        <v>5</v>
      </c>
      <c r="P228" s="4">
        <v>102600</v>
      </c>
      <c r="Q228" s="4">
        <v>2</v>
      </c>
      <c r="R228" s="4" t="s">
        <v>79</v>
      </c>
      <c r="S228" s="4" t="s">
        <v>35</v>
      </c>
      <c r="T228" s="4" t="s">
        <v>175</v>
      </c>
      <c r="U228" s="6" t="s">
        <v>1117</v>
      </c>
      <c r="V228" s="4" t="s">
        <v>69</v>
      </c>
      <c r="AD228" s="57">
        <v>46008</v>
      </c>
      <c r="AE228">
        <v>180</v>
      </c>
    </row>
    <row r="229" spans="1:31" x14ac:dyDescent="0.3">
      <c r="A229" s="7" t="s">
        <v>1118</v>
      </c>
      <c r="B229" s="8" t="s">
        <v>71</v>
      </c>
      <c r="C229" s="8" t="s">
        <v>92</v>
      </c>
      <c r="D229" s="53">
        <v>45813</v>
      </c>
      <c r="E229" s="49" t="s">
        <v>1120</v>
      </c>
      <c r="F229" s="4" t="str">
        <f>TRIM(PROPER(Sales_Data!F229))</f>
        <v>Mohit Verma</v>
      </c>
      <c r="G229" s="8" t="s">
        <v>76</v>
      </c>
      <c r="H229" s="8" t="s">
        <v>1121</v>
      </c>
      <c r="I229" s="8" t="s">
        <v>294</v>
      </c>
      <c r="J229" s="4" t="str">
        <f>PROPER(Sales_Data!J229)</f>
        <v>East</v>
      </c>
      <c r="K229" s="4" t="str">
        <f>PROPER(Sales_Data!K229)</f>
        <v>Home Appliances</v>
      </c>
      <c r="L229" s="8" t="s">
        <v>97</v>
      </c>
      <c r="M229" s="8">
        <v>3</v>
      </c>
      <c r="N229" s="8">
        <v>3500</v>
      </c>
      <c r="O229" s="8">
        <v>15</v>
      </c>
      <c r="P229" s="8">
        <v>8925</v>
      </c>
      <c r="Q229" s="8">
        <v>1</v>
      </c>
      <c r="R229" s="8" t="s">
        <v>34</v>
      </c>
      <c r="S229" s="8" t="s">
        <v>49</v>
      </c>
      <c r="T229" s="8" t="s">
        <v>80</v>
      </c>
      <c r="U229" s="9" t="s">
        <v>1122</v>
      </c>
      <c r="V229" s="8" t="s">
        <v>69</v>
      </c>
      <c r="AD229" s="57">
        <v>46009</v>
      </c>
      <c r="AE229">
        <v>415175</v>
      </c>
    </row>
    <row r="230" spans="1:31" x14ac:dyDescent="0.3">
      <c r="A230" s="3" t="s">
        <v>1123</v>
      </c>
      <c r="B230" s="4" t="s">
        <v>100</v>
      </c>
      <c r="C230" s="4" t="s">
        <v>184</v>
      </c>
      <c r="D230" s="52">
        <v>45797</v>
      </c>
      <c r="E230" s="48" t="s">
        <v>1124</v>
      </c>
      <c r="F230" s="4" t="str">
        <f>TRIM(PROPER(Sales_Data!F230))</f>
        <v>Priya Patel</v>
      </c>
      <c r="G230" s="4" t="s">
        <v>28</v>
      </c>
      <c r="H230" s="4" t="s">
        <v>1125</v>
      </c>
      <c r="I230" s="4" t="s">
        <v>30</v>
      </c>
      <c r="J230" s="4" t="str">
        <f>PROPER(Sales_Data!J230)</f>
        <v>South</v>
      </c>
      <c r="K230" s="4" t="str">
        <f>PROPER(Sales_Data!K230)</f>
        <v>Electronics</v>
      </c>
      <c r="L230" s="4" t="s">
        <v>189</v>
      </c>
      <c r="M230" s="4">
        <v>18</v>
      </c>
      <c r="N230" s="4">
        <v>700</v>
      </c>
      <c r="O230" s="4">
        <v>20</v>
      </c>
      <c r="P230" s="4">
        <v>10080</v>
      </c>
      <c r="Q230" s="4">
        <v>1</v>
      </c>
      <c r="R230" s="4" t="s">
        <v>79</v>
      </c>
      <c r="S230" s="4" t="s">
        <v>151</v>
      </c>
      <c r="T230" s="4" t="s">
        <v>144</v>
      </c>
      <c r="U230" s="6" t="s">
        <v>1126</v>
      </c>
      <c r="V230" s="4" t="s">
        <v>38</v>
      </c>
      <c r="AD230" s="57">
        <v>46013</v>
      </c>
      <c r="AE230">
        <v>685740</v>
      </c>
    </row>
    <row r="231" spans="1:31" x14ac:dyDescent="0.3">
      <c r="A231" s="7" t="s">
        <v>1127</v>
      </c>
      <c r="B231" s="8" t="s">
        <v>71</v>
      </c>
      <c r="C231" s="8" t="s">
        <v>92</v>
      </c>
      <c r="D231" s="53">
        <v>46046</v>
      </c>
      <c r="E231" s="49" t="s">
        <v>110</v>
      </c>
      <c r="F231" s="4" t="str">
        <f>TRIM(PROPER(Sales_Data!F231))</f>
        <v>Mohit Verma</v>
      </c>
      <c r="G231" s="8" t="s">
        <v>76</v>
      </c>
      <c r="H231" s="8" t="s">
        <v>1129</v>
      </c>
      <c r="I231" s="8" t="s">
        <v>114</v>
      </c>
      <c r="J231" s="4" t="str">
        <f>PROPER(Sales_Data!J231)</f>
        <v>West</v>
      </c>
      <c r="K231" s="4" t="str">
        <f>PROPER(Sales_Data!K231)</f>
        <v>Home Appliances</v>
      </c>
      <c r="L231" s="8" t="s">
        <v>97</v>
      </c>
      <c r="M231" s="8">
        <v>14</v>
      </c>
      <c r="N231" s="8">
        <v>3500</v>
      </c>
      <c r="O231" s="8">
        <v>5</v>
      </c>
      <c r="P231" s="8">
        <v>46550</v>
      </c>
      <c r="Q231" s="8">
        <v>1</v>
      </c>
      <c r="R231" s="8" t="s">
        <v>34</v>
      </c>
      <c r="S231" s="8" t="s">
        <v>61</v>
      </c>
      <c r="T231" s="8" t="s">
        <v>80</v>
      </c>
      <c r="U231" s="9" t="s">
        <v>1130</v>
      </c>
      <c r="V231" s="8" t="s">
        <v>38</v>
      </c>
      <c r="AD231" s="57">
        <v>46014</v>
      </c>
      <c r="AE231">
        <v>40375</v>
      </c>
    </row>
    <row r="232" spans="1:31" x14ac:dyDescent="0.3">
      <c r="A232" s="3" t="s">
        <v>1131</v>
      </c>
      <c r="B232" s="4" t="s">
        <v>100</v>
      </c>
      <c r="C232" s="4" t="s">
        <v>184</v>
      </c>
      <c r="D232" s="52">
        <v>45810</v>
      </c>
      <c r="E232" s="48" t="s">
        <v>318</v>
      </c>
      <c r="F232" s="4" t="str">
        <f>TRIM(PROPER(Sales_Data!F232))</f>
        <v>Priya Patel</v>
      </c>
      <c r="G232" s="4" t="s">
        <v>28</v>
      </c>
      <c r="H232" s="4" t="s">
        <v>1132</v>
      </c>
      <c r="I232" s="4" t="s">
        <v>294</v>
      </c>
      <c r="J232" s="4" t="str">
        <f>PROPER(Sales_Data!J232)</f>
        <v>East</v>
      </c>
      <c r="K232" s="4" t="str">
        <f>PROPER(Sales_Data!K232)</f>
        <v>Electronics</v>
      </c>
      <c r="L232" s="4" t="s">
        <v>189</v>
      </c>
      <c r="M232" s="4">
        <v>6</v>
      </c>
      <c r="N232" s="4">
        <v>700</v>
      </c>
      <c r="O232" s="4">
        <v>5</v>
      </c>
      <c r="P232" s="4">
        <v>3990</v>
      </c>
      <c r="Q232" s="4">
        <v>5</v>
      </c>
      <c r="R232" s="4" t="s">
        <v>34</v>
      </c>
      <c r="S232" s="4" t="s">
        <v>35</v>
      </c>
      <c r="T232" s="4" t="s">
        <v>144</v>
      </c>
      <c r="U232" s="6" t="s">
        <v>1133</v>
      </c>
      <c r="V232" s="4" t="s">
        <v>38</v>
      </c>
      <c r="AD232" s="57">
        <v>46015</v>
      </c>
      <c r="AE232">
        <v>34020</v>
      </c>
    </row>
    <row r="233" spans="1:31" x14ac:dyDescent="0.3">
      <c r="A233" s="7" t="s">
        <v>1134</v>
      </c>
      <c r="B233" s="8" t="s">
        <v>100</v>
      </c>
      <c r="C233" s="8" t="s">
        <v>92</v>
      </c>
      <c r="D233" s="53">
        <v>45819</v>
      </c>
      <c r="E233" s="49" t="s">
        <v>872</v>
      </c>
      <c r="F233" s="4" t="str">
        <f>TRIM(PROPER(Sales_Data!F233))</f>
        <v>Priya Patel</v>
      </c>
      <c r="G233" s="8" t="s">
        <v>28</v>
      </c>
      <c r="H233" s="8" t="s">
        <v>1135</v>
      </c>
      <c r="I233" s="8" t="s">
        <v>105</v>
      </c>
      <c r="J233" s="4" t="str">
        <f>PROPER(Sales_Data!J233)</f>
        <v>West</v>
      </c>
      <c r="K233" s="4" t="str">
        <f>PROPER(Sales_Data!K233)</f>
        <v>Home Appliances</v>
      </c>
      <c r="L233" s="8" t="s">
        <v>97</v>
      </c>
      <c r="M233" s="8">
        <v>17</v>
      </c>
      <c r="N233" s="8">
        <v>3500</v>
      </c>
      <c r="O233" s="8">
        <v>15</v>
      </c>
      <c r="P233" s="8">
        <v>50575</v>
      </c>
      <c r="Q233" s="8">
        <v>3</v>
      </c>
      <c r="R233" s="8" t="s">
        <v>48</v>
      </c>
      <c r="S233" s="8" t="s">
        <v>49</v>
      </c>
      <c r="T233" s="8" t="s">
        <v>144</v>
      </c>
      <c r="U233" s="9" t="s">
        <v>1136</v>
      </c>
      <c r="V233" s="8" t="s">
        <v>64</v>
      </c>
      <c r="AD233" s="57">
        <v>46017</v>
      </c>
      <c r="AE233">
        <v>193800</v>
      </c>
    </row>
    <row r="234" spans="1:31" x14ac:dyDescent="0.3">
      <c r="A234" s="3" t="s">
        <v>1137</v>
      </c>
      <c r="B234" s="4" t="s">
        <v>251</v>
      </c>
      <c r="C234" s="4" t="s">
        <v>222</v>
      </c>
      <c r="D234" s="52">
        <v>46038</v>
      </c>
      <c r="E234" s="48" t="s">
        <v>1128</v>
      </c>
      <c r="F234" s="4" t="str">
        <f>TRIM(PROPER(Sales_Data!F234))</f>
        <v>Sneha Joshi</v>
      </c>
      <c r="G234" s="4" t="s">
        <v>28</v>
      </c>
      <c r="H234" s="4" t="s">
        <v>1138</v>
      </c>
      <c r="I234" s="4" t="s">
        <v>294</v>
      </c>
      <c r="J234" s="4" t="str">
        <f>PROPER(Sales_Data!J234)</f>
        <v>East</v>
      </c>
      <c r="K234" s="4" t="str">
        <f>PROPER(Sales_Data!K234)</f>
        <v>Stationery</v>
      </c>
      <c r="L234" s="4" t="s">
        <v>227</v>
      </c>
      <c r="M234" s="4">
        <v>7</v>
      </c>
      <c r="N234" s="4">
        <v>20</v>
      </c>
      <c r="O234" s="4">
        <v>5</v>
      </c>
      <c r="P234" s="4">
        <v>133</v>
      </c>
      <c r="Q234" s="4">
        <v>2</v>
      </c>
      <c r="R234" s="4" t="s">
        <v>88</v>
      </c>
      <c r="S234" s="4" t="s">
        <v>151</v>
      </c>
      <c r="T234" s="4" t="s">
        <v>256</v>
      </c>
      <c r="U234" s="6" t="s">
        <v>1139</v>
      </c>
      <c r="V234" s="4" t="s">
        <v>38</v>
      </c>
      <c r="AD234" s="57">
        <v>46018</v>
      </c>
      <c r="AE234">
        <v>80750</v>
      </c>
    </row>
    <row r="235" spans="1:31" x14ac:dyDescent="0.3">
      <c r="A235" s="7" t="s">
        <v>1140</v>
      </c>
      <c r="B235" s="8" t="s">
        <v>23</v>
      </c>
      <c r="C235" s="8" t="s">
        <v>24</v>
      </c>
      <c r="D235" s="53">
        <v>46073</v>
      </c>
      <c r="E235" s="49" t="s">
        <v>1142</v>
      </c>
      <c r="F235" s="4" t="str">
        <f>TRIM(PROPER(Sales_Data!F235))</f>
        <v>Kavya Nair</v>
      </c>
      <c r="G235" s="8" t="s">
        <v>28</v>
      </c>
      <c r="H235" s="8" t="s">
        <v>1143</v>
      </c>
      <c r="I235" s="8" t="s">
        <v>59</v>
      </c>
      <c r="J235" s="4" t="str">
        <f>PROPER(Sales_Data!J235)</f>
        <v>South</v>
      </c>
      <c r="K235" s="4" t="str">
        <f>PROPER(Sales_Data!K235)</f>
        <v>Home Appliances</v>
      </c>
      <c r="L235" s="8" t="s">
        <v>33</v>
      </c>
      <c r="M235" s="8">
        <v>15</v>
      </c>
      <c r="N235" s="8">
        <v>2200</v>
      </c>
      <c r="O235" s="8">
        <v>20</v>
      </c>
      <c r="P235" s="8">
        <v>26400</v>
      </c>
      <c r="Q235" s="8">
        <v>2</v>
      </c>
      <c r="R235" s="8" t="s">
        <v>34</v>
      </c>
      <c r="S235" s="8" t="s">
        <v>61</v>
      </c>
      <c r="T235" s="8" t="s">
        <v>50</v>
      </c>
      <c r="U235" s="9" t="s">
        <v>1144</v>
      </c>
      <c r="V235" s="8" t="s">
        <v>38</v>
      </c>
      <c r="AD235" s="57">
        <v>46019</v>
      </c>
      <c r="AE235">
        <v>27229.5</v>
      </c>
    </row>
    <row r="236" spans="1:31" x14ac:dyDescent="0.3">
      <c r="A236" s="3" t="s">
        <v>1145</v>
      </c>
      <c r="B236" s="4" t="s">
        <v>71</v>
      </c>
      <c r="C236" s="4" t="s">
        <v>222</v>
      </c>
      <c r="D236" s="52">
        <v>46070</v>
      </c>
      <c r="E236" s="48" t="s">
        <v>94</v>
      </c>
      <c r="F236" s="4" t="str">
        <f>TRIM(PROPER(Sales_Data!F236))</f>
        <v>Mohit Verma</v>
      </c>
      <c r="G236" s="4" t="s">
        <v>76</v>
      </c>
      <c r="H236" s="4" t="s">
        <v>1146</v>
      </c>
      <c r="I236" s="4" t="s">
        <v>105</v>
      </c>
      <c r="J236" s="4" t="str">
        <f>PROPER(Sales_Data!J236)</f>
        <v>West</v>
      </c>
      <c r="K236" s="4" t="str">
        <f>PROPER(Sales_Data!K236)</f>
        <v>Stationery</v>
      </c>
      <c r="L236" s="4" t="s">
        <v>227</v>
      </c>
      <c r="M236" s="4">
        <v>5</v>
      </c>
      <c r="N236" s="4">
        <v>20</v>
      </c>
      <c r="O236" s="4">
        <v>0</v>
      </c>
      <c r="P236" s="4">
        <v>100</v>
      </c>
      <c r="Q236" s="4">
        <v>3</v>
      </c>
      <c r="R236" s="4" t="s">
        <v>34</v>
      </c>
      <c r="S236" s="4" t="s">
        <v>151</v>
      </c>
      <c r="T236" s="4" t="s">
        <v>80</v>
      </c>
      <c r="U236" s="6" t="s">
        <v>1147</v>
      </c>
      <c r="V236" s="4" t="s">
        <v>38</v>
      </c>
      <c r="AD236" s="57">
        <v>46020</v>
      </c>
      <c r="AE236">
        <v>15840</v>
      </c>
    </row>
    <row r="237" spans="1:31" x14ac:dyDescent="0.3">
      <c r="A237" s="7" t="s">
        <v>1148</v>
      </c>
      <c r="B237" s="8" t="s">
        <v>127</v>
      </c>
      <c r="C237" s="8" t="s">
        <v>40</v>
      </c>
      <c r="D237" s="53">
        <v>45847</v>
      </c>
      <c r="E237" s="49" t="s">
        <v>779</v>
      </c>
      <c r="F237" s="4" t="str">
        <f>TRIM(PROPER(Sales_Data!F237))</f>
        <v>Rohit Singh</v>
      </c>
      <c r="G237" s="8" t="s">
        <v>76</v>
      </c>
      <c r="H237" s="8" t="s">
        <v>1150</v>
      </c>
      <c r="I237" s="8" t="s">
        <v>44</v>
      </c>
      <c r="J237" s="4" t="str">
        <f>PROPER(Sales_Data!J237)</f>
        <v>North</v>
      </c>
      <c r="K237" s="4" t="str">
        <f>PROPER(Sales_Data!K237)</f>
        <v>Electronics</v>
      </c>
      <c r="L237" s="8" t="s">
        <v>47</v>
      </c>
      <c r="M237" s="8">
        <v>8</v>
      </c>
      <c r="N237" s="8">
        <v>12000</v>
      </c>
      <c r="O237" s="8">
        <v>20</v>
      </c>
      <c r="P237" s="8">
        <v>76800</v>
      </c>
      <c r="Q237" s="8">
        <v>3</v>
      </c>
      <c r="R237" s="8" t="s">
        <v>79</v>
      </c>
      <c r="S237" s="8" t="s">
        <v>61</v>
      </c>
      <c r="T237" s="8" t="s">
        <v>132</v>
      </c>
      <c r="U237" s="9" t="s">
        <v>1151</v>
      </c>
      <c r="V237" s="8" t="s">
        <v>64</v>
      </c>
      <c r="AD237" s="57">
        <v>46022</v>
      </c>
      <c r="AE237">
        <v>224</v>
      </c>
    </row>
    <row r="238" spans="1:31" x14ac:dyDescent="0.3">
      <c r="A238" s="3" t="s">
        <v>1152</v>
      </c>
      <c r="B238" s="4" t="s">
        <v>127</v>
      </c>
      <c r="C238" s="4" t="s">
        <v>92</v>
      </c>
      <c r="D238" s="52">
        <v>45696</v>
      </c>
      <c r="E238" s="48" t="s">
        <v>987</v>
      </c>
      <c r="F238" s="4" t="str">
        <f>TRIM(PROPER(Sales_Data!F238))</f>
        <v>Rohit Singh</v>
      </c>
      <c r="G238" s="4" t="s">
        <v>76</v>
      </c>
      <c r="H238" s="4" t="s">
        <v>1154</v>
      </c>
      <c r="I238" s="4" t="s">
        <v>105</v>
      </c>
      <c r="J238" s="4" t="str">
        <f>PROPER(Sales_Data!J238)</f>
        <v>West</v>
      </c>
      <c r="K238" s="4" t="str">
        <f>PROPER(Sales_Data!K238)</f>
        <v>Home Appliances</v>
      </c>
      <c r="L238" s="4" t="s">
        <v>97</v>
      </c>
      <c r="M238" s="4">
        <v>4</v>
      </c>
      <c r="N238" s="4">
        <v>3500</v>
      </c>
      <c r="O238" s="4">
        <v>20</v>
      </c>
      <c r="P238" s="4">
        <v>11200</v>
      </c>
      <c r="Q238" s="4">
        <v>1</v>
      </c>
      <c r="R238" s="4" t="s">
        <v>79</v>
      </c>
      <c r="S238" s="4" t="s">
        <v>115</v>
      </c>
      <c r="T238" s="4" t="s">
        <v>132</v>
      </c>
      <c r="U238" s="6" t="s">
        <v>1155</v>
      </c>
      <c r="V238" s="4" t="s">
        <v>38</v>
      </c>
      <c r="AD238" s="57">
        <v>46024</v>
      </c>
      <c r="AE238">
        <v>441920</v>
      </c>
    </row>
    <row r="239" spans="1:31" x14ac:dyDescent="0.3">
      <c r="A239" s="7" t="s">
        <v>1156</v>
      </c>
      <c r="B239" s="8" t="s">
        <v>221</v>
      </c>
      <c r="C239" s="8" t="s">
        <v>259</v>
      </c>
      <c r="D239" s="53">
        <v>45713</v>
      </c>
      <c r="E239" s="49" t="s">
        <v>1157</v>
      </c>
      <c r="F239" s="4" t="str">
        <f>TRIM(PROPER(Sales_Data!F239))</f>
        <v>Vikas Mehta</v>
      </c>
      <c r="G239" s="8" t="s">
        <v>76</v>
      </c>
      <c r="H239" s="8" t="s">
        <v>1158</v>
      </c>
      <c r="I239" s="8" t="s">
        <v>30</v>
      </c>
      <c r="J239" s="4" t="str">
        <f>PROPER(Sales_Data!J239)</f>
        <v>South</v>
      </c>
      <c r="K239" s="4" t="str">
        <f>PROPER(Sales_Data!K239)</f>
        <v>Stationery</v>
      </c>
      <c r="L239" s="8" t="s">
        <v>263</v>
      </c>
      <c r="M239" s="8">
        <v>19</v>
      </c>
      <c r="N239" s="8">
        <v>45</v>
      </c>
      <c r="O239" s="8">
        <v>10</v>
      </c>
      <c r="P239" s="8">
        <v>769.5</v>
      </c>
      <c r="Q239" s="8">
        <v>1</v>
      </c>
      <c r="R239" s="8" t="s">
        <v>34</v>
      </c>
      <c r="S239" s="8" t="s">
        <v>115</v>
      </c>
      <c r="T239" s="8" t="s">
        <v>228</v>
      </c>
      <c r="U239" s="9" t="s">
        <v>1159</v>
      </c>
      <c r="V239" s="8" t="s">
        <v>38</v>
      </c>
      <c r="AD239" s="57">
        <v>46025</v>
      </c>
      <c r="AE239">
        <v>9065</v>
      </c>
    </row>
    <row r="240" spans="1:31" x14ac:dyDescent="0.3">
      <c r="A240" s="3" t="s">
        <v>1160</v>
      </c>
      <c r="B240" s="4" t="s">
        <v>53</v>
      </c>
      <c r="C240" s="4" t="s">
        <v>259</v>
      </c>
      <c r="D240" s="52">
        <v>46049</v>
      </c>
      <c r="E240" s="48" t="s">
        <v>1161</v>
      </c>
      <c r="F240" s="4" t="str">
        <f>TRIM(PROPER(Sales_Data!F240))</f>
        <v>Pooja Shah</v>
      </c>
      <c r="G240" s="4" t="s">
        <v>28</v>
      </c>
      <c r="H240" s="4" t="s">
        <v>1162</v>
      </c>
      <c r="I240" s="4" t="s">
        <v>114</v>
      </c>
      <c r="J240" s="4" t="str">
        <f>PROPER(Sales_Data!J240)</f>
        <v>West</v>
      </c>
      <c r="K240" s="4" t="str">
        <f>PROPER(Sales_Data!K240)</f>
        <v>Stationery</v>
      </c>
      <c r="L240" s="4" t="s">
        <v>263</v>
      </c>
      <c r="M240" s="4">
        <v>10</v>
      </c>
      <c r="N240" s="4">
        <v>45</v>
      </c>
      <c r="O240" s="4">
        <v>0</v>
      </c>
      <c r="P240" s="4">
        <v>450</v>
      </c>
      <c r="Q240" s="4">
        <v>4</v>
      </c>
      <c r="R240" s="4" t="s">
        <v>88</v>
      </c>
      <c r="S240" s="4" t="s">
        <v>61</v>
      </c>
      <c r="T240" s="4" t="s">
        <v>62</v>
      </c>
      <c r="U240" s="6" t="s">
        <v>1163</v>
      </c>
      <c r="V240" s="4" t="s">
        <v>38</v>
      </c>
      <c r="AD240" s="57">
        <v>46026</v>
      </c>
      <c r="AE240">
        <v>54700</v>
      </c>
    </row>
    <row r="241" spans="1:31" x14ac:dyDescent="0.3">
      <c r="A241" s="7" t="s">
        <v>1164</v>
      </c>
      <c r="B241" s="8" t="s">
        <v>53</v>
      </c>
      <c r="C241" s="8" t="s">
        <v>259</v>
      </c>
      <c r="D241" s="53">
        <v>46030</v>
      </c>
      <c r="E241" s="49" t="s">
        <v>1039</v>
      </c>
      <c r="F241" s="4" t="str">
        <f>TRIM(PROPER(Sales_Data!F241))</f>
        <v>Pooja Shah</v>
      </c>
      <c r="G241" s="8" t="s">
        <v>28</v>
      </c>
      <c r="H241" s="8" t="s">
        <v>1166</v>
      </c>
      <c r="I241" s="8" t="s">
        <v>30</v>
      </c>
      <c r="J241" s="4" t="str">
        <f>PROPER(Sales_Data!J241)</f>
        <v>South</v>
      </c>
      <c r="K241" s="4" t="str">
        <f>PROPER(Sales_Data!K241)</f>
        <v>Stationery</v>
      </c>
      <c r="L241" s="8" t="s">
        <v>263</v>
      </c>
      <c r="M241" s="8">
        <v>16</v>
      </c>
      <c r="N241" s="8">
        <v>45</v>
      </c>
      <c r="O241" s="8">
        <v>15</v>
      </c>
      <c r="P241" s="8">
        <v>612</v>
      </c>
      <c r="Q241" s="8">
        <v>3</v>
      </c>
      <c r="R241" s="8" t="s">
        <v>34</v>
      </c>
      <c r="S241" s="8" t="s">
        <v>115</v>
      </c>
      <c r="T241" s="8" t="s">
        <v>62</v>
      </c>
      <c r="U241" s="9" t="s">
        <v>1167</v>
      </c>
      <c r="V241" s="8" t="s">
        <v>69</v>
      </c>
      <c r="AD241" s="57">
        <v>46027</v>
      </c>
      <c r="AE241">
        <v>150900</v>
      </c>
    </row>
    <row r="242" spans="1:31" x14ac:dyDescent="0.3">
      <c r="A242" s="3" t="s">
        <v>1168</v>
      </c>
      <c r="B242" s="4" t="s">
        <v>168</v>
      </c>
      <c r="C242" s="4" t="s">
        <v>169</v>
      </c>
      <c r="D242" s="52">
        <v>45741</v>
      </c>
      <c r="E242" s="48" t="s">
        <v>120</v>
      </c>
      <c r="F242" s="4" t="str">
        <f>TRIM(PROPER(Sales_Data!F242))</f>
        <v>Anita Gupta</v>
      </c>
      <c r="G242" s="4" t="s">
        <v>28</v>
      </c>
      <c r="H242" s="4" t="s">
        <v>1169</v>
      </c>
      <c r="I242" s="4" t="s">
        <v>114</v>
      </c>
      <c r="J242" s="4" t="str">
        <f>PROPER(Sales_Data!J242)</f>
        <v>West</v>
      </c>
      <c r="K242" s="4" t="str">
        <f>PROPER(Sales_Data!K242)</f>
        <v>Home Appliances</v>
      </c>
      <c r="L242" s="4" t="s">
        <v>174</v>
      </c>
      <c r="M242" s="4">
        <v>16</v>
      </c>
      <c r="N242" s="4">
        <v>8500</v>
      </c>
      <c r="O242" s="4">
        <v>15</v>
      </c>
      <c r="P242" s="4">
        <v>115600</v>
      </c>
      <c r="Q242" s="4">
        <v>4</v>
      </c>
      <c r="R242" s="4" t="s">
        <v>48</v>
      </c>
      <c r="S242" s="4" t="s">
        <v>35</v>
      </c>
      <c r="T242" s="4" t="s">
        <v>175</v>
      </c>
      <c r="U242" s="6" t="s">
        <v>1170</v>
      </c>
      <c r="V242" s="4" t="s">
        <v>69</v>
      </c>
      <c r="AD242" s="57">
        <v>46028</v>
      </c>
      <c r="AE242">
        <v>170000</v>
      </c>
    </row>
    <row r="243" spans="1:31" x14ac:dyDescent="0.3">
      <c r="A243" s="7" t="s">
        <v>1171</v>
      </c>
      <c r="B243" s="8" t="s">
        <v>168</v>
      </c>
      <c r="C243" s="8" t="s">
        <v>222</v>
      </c>
      <c r="D243" s="53">
        <v>45901</v>
      </c>
      <c r="E243" s="49" t="s">
        <v>1172</v>
      </c>
      <c r="F243" s="4" t="str">
        <f>TRIM(PROPER(Sales_Data!F243))</f>
        <v>Anita Gupta</v>
      </c>
      <c r="G243" s="8" t="s">
        <v>28</v>
      </c>
      <c r="H243" s="8" t="s">
        <v>1173</v>
      </c>
      <c r="I243" s="8" t="s">
        <v>294</v>
      </c>
      <c r="J243" s="4" t="str">
        <f>PROPER(Sales_Data!J243)</f>
        <v>East</v>
      </c>
      <c r="K243" s="4" t="str">
        <f>PROPER(Sales_Data!K243)</f>
        <v>Stationery</v>
      </c>
      <c r="L243" s="8" t="s">
        <v>227</v>
      </c>
      <c r="M243" s="8">
        <v>15</v>
      </c>
      <c r="N243" s="8">
        <v>20</v>
      </c>
      <c r="O243" s="8">
        <v>20</v>
      </c>
      <c r="P243" s="8">
        <v>240</v>
      </c>
      <c r="Q243" s="8">
        <v>3</v>
      </c>
      <c r="R243" s="8" t="s">
        <v>48</v>
      </c>
      <c r="S243" s="8" t="s">
        <v>49</v>
      </c>
      <c r="T243" s="8" t="s">
        <v>175</v>
      </c>
      <c r="U243" s="9" t="s">
        <v>1174</v>
      </c>
      <c r="V243" s="8" t="s">
        <v>69</v>
      </c>
      <c r="AD243" s="57">
        <v>46030</v>
      </c>
      <c r="AE243">
        <v>612</v>
      </c>
    </row>
    <row r="244" spans="1:31" x14ac:dyDescent="0.3">
      <c r="A244" s="3" t="s">
        <v>1175</v>
      </c>
      <c r="B244" s="4" t="s">
        <v>83</v>
      </c>
      <c r="C244" s="4" t="s">
        <v>118</v>
      </c>
      <c r="D244" s="52">
        <v>46031</v>
      </c>
      <c r="E244" s="48" t="s">
        <v>1176</v>
      </c>
      <c r="F244" s="4" t="str">
        <f>TRIM(PROPER(Sales_Data!F244))</f>
        <v>Arjun Rao</v>
      </c>
      <c r="G244" s="4" t="s">
        <v>76</v>
      </c>
      <c r="H244" s="4" t="s">
        <v>1177</v>
      </c>
      <c r="I244" s="4" t="s">
        <v>59</v>
      </c>
      <c r="J244" s="4" t="str">
        <f>PROPER(Sales_Data!J244)</f>
        <v>South</v>
      </c>
      <c r="K244" s="4" t="str">
        <f>PROPER(Sales_Data!K244)</f>
        <v>Stationery</v>
      </c>
      <c r="L244" s="4" t="s">
        <v>123</v>
      </c>
      <c r="M244" s="4">
        <v>14</v>
      </c>
      <c r="N244" s="4">
        <v>60</v>
      </c>
      <c r="O244" s="4">
        <v>5</v>
      </c>
      <c r="P244" s="4">
        <v>798</v>
      </c>
      <c r="Q244" s="4">
        <v>4</v>
      </c>
      <c r="R244" s="4" t="s">
        <v>34</v>
      </c>
      <c r="S244" s="4" t="s">
        <v>49</v>
      </c>
      <c r="T244" s="4" t="s">
        <v>89</v>
      </c>
      <c r="U244" s="6" t="s">
        <v>1178</v>
      </c>
      <c r="V244" s="4" t="s">
        <v>38</v>
      </c>
      <c r="AD244" s="57">
        <v>46031</v>
      </c>
      <c r="AE244">
        <v>13888</v>
      </c>
    </row>
    <row r="245" spans="1:31" x14ac:dyDescent="0.3">
      <c r="A245" s="7" t="s">
        <v>1179</v>
      </c>
      <c r="B245" s="8" t="s">
        <v>53</v>
      </c>
      <c r="C245" s="8" t="s">
        <v>72</v>
      </c>
      <c r="D245" s="53">
        <v>46158</v>
      </c>
      <c r="E245" s="49" t="s">
        <v>1181</v>
      </c>
      <c r="F245" s="4" t="str">
        <f>TRIM(PROPER(Sales_Data!F245))</f>
        <v>Pooja Shah</v>
      </c>
      <c r="G245" s="8" t="s">
        <v>28</v>
      </c>
      <c r="H245" s="8" t="s">
        <v>1182</v>
      </c>
      <c r="I245" s="8" t="s">
        <v>105</v>
      </c>
      <c r="J245" s="4" t="str">
        <f>PROPER(Sales_Data!J245)</f>
        <v>West</v>
      </c>
      <c r="K245" s="4" t="str">
        <f>PROPER(Sales_Data!K245)</f>
        <v>Electronics</v>
      </c>
      <c r="L245" s="8" t="s">
        <v>78</v>
      </c>
      <c r="M245" s="8">
        <v>19</v>
      </c>
      <c r="N245" s="8">
        <v>1200</v>
      </c>
      <c r="O245" s="8">
        <v>20</v>
      </c>
      <c r="P245" s="8">
        <v>18240</v>
      </c>
      <c r="Q245" s="8">
        <v>2</v>
      </c>
      <c r="R245" s="8" t="s">
        <v>34</v>
      </c>
      <c r="S245" s="8" t="s">
        <v>115</v>
      </c>
      <c r="T245" s="8" t="s">
        <v>62</v>
      </c>
      <c r="U245" s="9" t="s">
        <v>1183</v>
      </c>
      <c r="V245" s="8" t="s">
        <v>69</v>
      </c>
      <c r="AD245" s="57">
        <v>46033</v>
      </c>
      <c r="AE245">
        <v>129314</v>
      </c>
    </row>
    <row r="246" spans="1:31" x14ac:dyDescent="0.3">
      <c r="A246" s="3" t="s">
        <v>1184</v>
      </c>
      <c r="B246" s="4" t="s">
        <v>23</v>
      </c>
      <c r="C246" s="4" t="s">
        <v>259</v>
      </c>
      <c r="D246" s="52">
        <v>45943</v>
      </c>
      <c r="E246" s="48" t="s">
        <v>346</v>
      </c>
      <c r="F246" s="4" t="str">
        <f>TRIM(PROPER(Sales_Data!F246))</f>
        <v>Kavya Nair</v>
      </c>
      <c r="G246" s="4" t="s">
        <v>28</v>
      </c>
      <c r="H246" s="4" t="s">
        <v>1185</v>
      </c>
      <c r="I246" s="4" t="s">
        <v>59</v>
      </c>
      <c r="J246" s="4" t="str">
        <f>PROPER(Sales_Data!J246)</f>
        <v>South</v>
      </c>
      <c r="K246" s="4" t="str">
        <f>PROPER(Sales_Data!K246)</f>
        <v>Stationery</v>
      </c>
      <c r="L246" s="4" t="s">
        <v>263</v>
      </c>
      <c r="M246" s="4">
        <v>5</v>
      </c>
      <c r="N246" s="4">
        <v>45</v>
      </c>
      <c r="O246" s="4">
        <v>15</v>
      </c>
      <c r="P246" s="4">
        <v>191.25</v>
      </c>
      <c r="Q246" s="4">
        <v>2</v>
      </c>
      <c r="R246" s="4" t="s">
        <v>34</v>
      </c>
      <c r="S246" s="4" t="s">
        <v>61</v>
      </c>
      <c r="T246" s="4" t="s">
        <v>50</v>
      </c>
      <c r="U246" s="6" t="s">
        <v>1186</v>
      </c>
      <c r="V246" s="4" t="s">
        <v>69</v>
      </c>
      <c r="AD246" s="57">
        <v>46034</v>
      </c>
      <c r="AE246">
        <v>36000</v>
      </c>
    </row>
    <row r="247" spans="1:31" x14ac:dyDescent="0.3">
      <c r="A247" s="7" t="s">
        <v>1187</v>
      </c>
      <c r="B247" s="8" t="s">
        <v>327</v>
      </c>
      <c r="C247" s="8" t="s">
        <v>184</v>
      </c>
      <c r="D247" s="53">
        <v>45802</v>
      </c>
      <c r="E247" s="49" t="s">
        <v>1188</v>
      </c>
      <c r="F247" s="4" t="str">
        <f>TRIM(PROPER(Sales_Data!F247))</f>
        <v>Amit Sharma</v>
      </c>
      <c r="G247" s="8" t="s">
        <v>76</v>
      </c>
      <c r="H247" s="8" t="s">
        <v>1189</v>
      </c>
      <c r="I247" s="8" t="s">
        <v>30</v>
      </c>
      <c r="J247" s="4" t="str">
        <f>PROPER(Sales_Data!J247)</f>
        <v>South</v>
      </c>
      <c r="K247" s="4" t="str">
        <f>PROPER(Sales_Data!K247)</f>
        <v>Electronics</v>
      </c>
      <c r="L247" s="8" t="s">
        <v>189</v>
      </c>
      <c r="M247" s="8">
        <v>19</v>
      </c>
      <c r="N247" s="8">
        <v>700</v>
      </c>
      <c r="O247" s="8">
        <v>5</v>
      </c>
      <c r="P247" s="8">
        <v>12635</v>
      </c>
      <c r="Q247" s="8">
        <v>5</v>
      </c>
      <c r="R247" s="8" t="s">
        <v>88</v>
      </c>
      <c r="S247" s="8" t="s">
        <v>151</v>
      </c>
      <c r="T247" s="8" t="s">
        <v>332</v>
      </c>
      <c r="U247" s="9" t="s">
        <v>1190</v>
      </c>
      <c r="V247" s="8" t="s">
        <v>38</v>
      </c>
      <c r="AD247" s="57">
        <v>46035</v>
      </c>
      <c r="AE247">
        <v>275000</v>
      </c>
    </row>
    <row r="248" spans="1:31" x14ac:dyDescent="0.3">
      <c r="A248" s="3" t="s">
        <v>1191</v>
      </c>
      <c r="B248" s="4" t="s">
        <v>127</v>
      </c>
      <c r="C248" s="4" t="s">
        <v>118</v>
      </c>
      <c r="D248" s="52">
        <v>46025</v>
      </c>
      <c r="E248" s="48" t="s">
        <v>84</v>
      </c>
      <c r="F248" s="4" t="str">
        <f>TRIM(PROPER(Sales_Data!F248))</f>
        <v>Rohit Singh</v>
      </c>
      <c r="G248" s="4" t="s">
        <v>76</v>
      </c>
      <c r="H248" s="4" t="s">
        <v>1192</v>
      </c>
      <c r="I248" s="4" t="s">
        <v>294</v>
      </c>
      <c r="J248" s="4" t="str">
        <f>PROPER(Sales_Data!J248)</f>
        <v>East</v>
      </c>
      <c r="K248" s="4" t="str">
        <f>PROPER(Sales_Data!K248)</f>
        <v>Stationery</v>
      </c>
      <c r="L248" s="4" t="s">
        <v>123</v>
      </c>
      <c r="M248" s="4">
        <v>7</v>
      </c>
      <c r="N248" s="4">
        <v>60</v>
      </c>
      <c r="O248" s="4">
        <v>0</v>
      </c>
      <c r="P248" s="4">
        <v>420</v>
      </c>
      <c r="Q248" s="4">
        <v>4</v>
      </c>
      <c r="R248" s="4" t="s">
        <v>34</v>
      </c>
      <c r="S248" s="4" t="s">
        <v>115</v>
      </c>
      <c r="T248" s="4" t="s">
        <v>132</v>
      </c>
      <c r="U248" s="6" t="s">
        <v>1193</v>
      </c>
      <c r="V248" s="4" t="s">
        <v>64</v>
      </c>
      <c r="AD248" s="57">
        <v>46036</v>
      </c>
      <c r="AE248">
        <v>79800</v>
      </c>
    </row>
    <row r="249" spans="1:31" x14ac:dyDescent="0.3">
      <c r="A249" s="7" t="s">
        <v>1194</v>
      </c>
      <c r="B249" s="8" t="s">
        <v>71</v>
      </c>
      <c r="C249" s="8" t="s">
        <v>24</v>
      </c>
      <c r="D249" s="53">
        <v>46013</v>
      </c>
      <c r="E249" s="49" t="s">
        <v>711</v>
      </c>
      <c r="F249" s="4" t="str">
        <f>TRIM(PROPER(Sales_Data!F249))</f>
        <v>Mohit Verma</v>
      </c>
      <c r="G249" s="8" t="s">
        <v>76</v>
      </c>
      <c r="H249" s="8" t="s">
        <v>1195</v>
      </c>
      <c r="I249" s="8" t="s">
        <v>105</v>
      </c>
      <c r="J249" s="4" t="str">
        <f>PROPER(Sales_Data!J249)</f>
        <v>West</v>
      </c>
      <c r="K249" s="4" t="str">
        <f>PROPER(Sales_Data!K249)</f>
        <v>Home Appliances</v>
      </c>
      <c r="L249" s="8" t="s">
        <v>33</v>
      </c>
      <c r="M249" s="8">
        <v>13</v>
      </c>
      <c r="N249" s="8">
        <v>2200</v>
      </c>
      <c r="O249" s="8">
        <v>10</v>
      </c>
      <c r="P249" s="8">
        <v>25740</v>
      </c>
      <c r="Q249" s="8">
        <v>1</v>
      </c>
      <c r="R249" s="8" t="s">
        <v>79</v>
      </c>
      <c r="S249" s="8" t="s">
        <v>151</v>
      </c>
      <c r="T249" s="8" t="s">
        <v>80</v>
      </c>
      <c r="U249" s="9" t="s">
        <v>1196</v>
      </c>
      <c r="V249" s="8" t="s">
        <v>38</v>
      </c>
      <c r="AD249" s="57">
        <v>46038</v>
      </c>
      <c r="AE249">
        <v>133</v>
      </c>
    </row>
    <row r="250" spans="1:31" x14ac:dyDescent="0.3">
      <c r="A250" s="3" t="s">
        <v>1197</v>
      </c>
      <c r="B250" s="4" t="s">
        <v>71</v>
      </c>
      <c r="C250" s="4" t="s">
        <v>24</v>
      </c>
      <c r="D250" s="52">
        <v>46019</v>
      </c>
      <c r="E250" s="48" t="s">
        <v>1199</v>
      </c>
      <c r="F250" s="4" t="str">
        <f>TRIM(PROPER(Sales_Data!F250))</f>
        <v>Mohit Verma</v>
      </c>
      <c r="G250" s="4" t="s">
        <v>76</v>
      </c>
      <c r="H250" s="4" t="s">
        <v>1200</v>
      </c>
      <c r="I250" s="4" t="s">
        <v>59</v>
      </c>
      <c r="J250" s="4" t="str">
        <f>PROPER(Sales_Data!J250)</f>
        <v>South</v>
      </c>
      <c r="K250" s="4" t="str">
        <f>PROPER(Sales_Data!K250)</f>
        <v>Home Appliances</v>
      </c>
      <c r="L250" s="4" t="s">
        <v>33</v>
      </c>
      <c r="M250" s="4">
        <v>9</v>
      </c>
      <c r="N250" s="4">
        <v>2200</v>
      </c>
      <c r="O250" s="4">
        <v>10</v>
      </c>
      <c r="P250" s="4">
        <v>17820</v>
      </c>
      <c r="Q250" s="4">
        <v>2</v>
      </c>
      <c r="R250" s="4" t="s">
        <v>1201</v>
      </c>
      <c r="S250" s="4" t="s">
        <v>61</v>
      </c>
      <c r="T250" s="4" t="s">
        <v>80</v>
      </c>
      <c r="U250" s="6" t="s">
        <v>1202</v>
      </c>
      <c r="V250" s="4" t="s">
        <v>69</v>
      </c>
      <c r="AD250" s="57">
        <v>46039</v>
      </c>
      <c r="AE250">
        <v>660000</v>
      </c>
    </row>
    <row r="251" spans="1:31" x14ac:dyDescent="0.3">
      <c r="A251" s="7" t="s">
        <v>1203</v>
      </c>
      <c r="B251" s="8" t="s">
        <v>327</v>
      </c>
      <c r="C251" s="8" t="s">
        <v>169</v>
      </c>
      <c r="D251" s="53">
        <v>45792</v>
      </c>
      <c r="E251" s="49" t="s">
        <v>1204</v>
      </c>
      <c r="F251" s="4" t="str">
        <f>TRIM(PROPER(Sales_Data!F251))</f>
        <v>Amit Sharma</v>
      </c>
      <c r="G251" s="8" t="s">
        <v>76</v>
      </c>
      <c r="H251" s="8" t="s">
        <v>1205</v>
      </c>
      <c r="I251" s="8" t="s">
        <v>59</v>
      </c>
      <c r="J251" s="4" t="str">
        <f>PROPER(Sales_Data!J251)</f>
        <v>South</v>
      </c>
      <c r="K251" s="4" t="str">
        <f>PROPER(Sales_Data!K251)</f>
        <v>Home Appliances</v>
      </c>
      <c r="L251" s="8" t="s">
        <v>174</v>
      </c>
      <c r="M251" s="8">
        <v>6</v>
      </c>
      <c r="N251" s="8">
        <v>8500</v>
      </c>
      <c r="O251" s="8">
        <v>15</v>
      </c>
      <c r="P251" s="8">
        <v>43350</v>
      </c>
      <c r="Q251" s="8">
        <v>2</v>
      </c>
      <c r="R251" s="8" t="s">
        <v>34</v>
      </c>
      <c r="S251" s="8" t="s">
        <v>151</v>
      </c>
      <c r="T251" s="8" t="s">
        <v>332</v>
      </c>
      <c r="U251" s="9" t="s">
        <v>1206</v>
      </c>
      <c r="V251" s="8" t="s">
        <v>69</v>
      </c>
      <c r="AD251" s="57">
        <v>46040</v>
      </c>
      <c r="AE251">
        <v>139080</v>
      </c>
    </row>
    <row r="252" spans="1:31" x14ac:dyDescent="0.3">
      <c r="A252" s="3" t="s">
        <v>1207</v>
      </c>
      <c r="B252" s="4" t="s">
        <v>221</v>
      </c>
      <c r="C252" s="4" t="s">
        <v>24</v>
      </c>
      <c r="D252" s="52">
        <v>46070</v>
      </c>
      <c r="E252" s="48" t="s">
        <v>94</v>
      </c>
      <c r="F252" s="4" t="str">
        <f>TRIM(PROPER(Sales_Data!F252))</f>
        <v>Vikas Mehta</v>
      </c>
      <c r="G252" s="4" t="s">
        <v>76</v>
      </c>
      <c r="H252" s="4" t="s">
        <v>1208</v>
      </c>
      <c r="I252" s="4" t="s">
        <v>44</v>
      </c>
      <c r="J252" s="4" t="str">
        <f>PROPER(Sales_Data!J252)</f>
        <v>North</v>
      </c>
      <c r="K252" s="4" t="str">
        <f>PROPER(Sales_Data!K252)</f>
        <v>Home Appliances</v>
      </c>
      <c r="L252" s="4" t="s">
        <v>33</v>
      </c>
      <c r="M252" s="4">
        <v>9</v>
      </c>
      <c r="N252" s="4">
        <v>2200</v>
      </c>
      <c r="O252" s="4">
        <v>10</v>
      </c>
      <c r="P252" s="4">
        <v>17820</v>
      </c>
      <c r="Q252" s="4">
        <v>3</v>
      </c>
      <c r="R252" s="4" t="s">
        <v>79</v>
      </c>
      <c r="S252" s="4" t="s">
        <v>35</v>
      </c>
      <c r="T252" s="4" t="s">
        <v>228</v>
      </c>
      <c r="U252" s="6" t="s">
        <v>1209</v>
      </c>
      <c r="V252" s="4" t="s">
        <v>64</v>
      </c>
      <c r="AD252" s="57">
        <v>46041</v>
      </c>
      <c r="AE252">
        <v>12000</v>
      </c>
    </row>
    <row r="253" spans="1:31" x14ac:dyDescent="0.3">
      <c r="A253" s="7" t="s">
        <v>1210</v>
      </c>
      <c r="B253" s="8" t="s">
        <v>23</v>
      </c>
      <c r="C253" s="8" t="s">
        <v>169</v>
      </c>
      <c r="D253" s="53">
        <v>45739</v>
      </c>
      <c r="E253" s="49" t="s">
        <v>876</v>
      </c>
      <c r="F253" s="4" t="str">
        <f>TRIM(PROPER(Sales_Data!F253))</f>
        <v>Kavya Nair</v>
      </c>
      <c r="G253" s="8" t="s">
        <v>28</v>
      </c>
      <c r="H253" s="8" t="s">
        <v>1211</v>
      </c>
      <c r="I253" s="8" t="s">
        <v>294</v>
      </c>
      <c r="J253" s="4" t="str">
        <f>PROPER(Sales_Data!J253)</f>
        <v>East</v>
      </c>
      <c r="K253" s="4" t="str">
        <f>PROPER(Sales_Data!K253)</f>
        <v>Home Appliances</v>
      </c>
      <c r="L253" s="8" t="s">
        <v>174</v>
      </c>
      <c r="M253" s="8">
        <v>16</v>
      </c>
      <c r="N253" s="8">
        <v>8500</v>
      </c>
      <c r="O253" s="8">
        <v>0</v>
      </c>
      <c r="P253" s="8">
        <v>136000</v>
      </c>
      <c r="Q253" s="8">
        <v>5</v>
      </c>
      <c r="R253" s="8" t="s">
        <v>88</v>
      </c>
      <c r="S253" s="8" t="s">
        <v>115</v>
      </c>
      <c r="T253" s="8" t="s">
        <v>50</v>
      </c>
      <c r="U253" s="9" t="s">
        <v>1212</v>
      </c>
      <c r="V253" s="8" t="s">
        <v>69</v>
      </c>
      <c r="AD253" s="57">
        <v>46043</v>
      </c>
      <c r="AE253">
        <v>30004</v>
      </c>
    </row>
    <row r="254" spans="1:31" x14ac:dyDescent="0.3">
      <c r="A254" s="3" t="s">
        <v>1213</v>
      </c>
      <c r="B254" s="4" t="s">
        <v>327</v>
      </c>
      <c r="C254" s="4" t="s">
        <v>72</v>
      </c>
      <c r="D254" s="52">
        <v>46006</v>
      </c>
      <c r="E254" s="48" t="s">
        <v>692</v>
      </c>
      <c r="F254" s="4" t="str">
        <f>TRIM(PROPER(Sales_Data!F254))</f>
        <v>Amit Sharma</v>
      </c>
      <c r="G254" s="4" t="s">
        <v>76</v>
      </c>
      <c r="H254" s="4" t="s">
        <v>1215</v>
      </c>
      <c r="I254" s="4" t="s">
        <v>44</v>
      </c>
      <c r="J254" s="4" t="str">
        <f>PROPER(Sales_Data!J254)</f>
        <v>North</v>
      </c>
      <c r="K254" s="4" t="str">
        <f>PROPER(Sales_Data!K254)</f>
        <v>Electronics</v>
      </c>
      <c r="L254" s="4" t="s">
        <v>78</v>
      </c>
      <c r="M254" s="4">
        <v>10</v>
      </c>
      <c r="N254" s="4">
        <v>1200</v>
      </c>
      <c r="O254" s="4">
        <v>15</v>
      </c>
      <c r="P254" s="4">
        <v>10200</v>
      </c>
      <c r="Q254" s="4">
        <v>5</v>
      </c>
      <c r="R254" s="4" t="s">
        <v>34</v>
      </c>
      <c r="S254" s="4" t="s">
        <v>49</v>
      </c>
      <c r="T254" s="4" t="s">
        <v>332</v>
      </c>
      <c r="U254" s="6" t="s">
        <v>1216</v>
      </c>
      <c r="V254" s="4" t="s">
        <v>38</v>
      </c>
      <c r="AD254" s="57">
        <v>46045</v>
      </c>
      <c r="AE254">
        <v>6720</v>
      </c>
    </row>
    <row r="255" spans="1:31" x14ac:dyDescent="0.3">
      <c r="A255" s="7" t="s">
        <v>1217</v>
      </c>
      <c r="B255" s="8" t="s">
        <v>127</v>
      </c>
      <c r="C255" s="8" t="s">
        <v>40</v>
      </c>
      <c r="D255" s="53">
        <v>45721</v>
      </c>
      <c r="E255" s="49" t="s">
        <v>136</v>
      </c>
      <c r="F255" s="4" t="str">
        <f>TRIM(PROPER(Sales_Data!F255))</f>
        <v>Rohit Singh</v>
      </c>
      <c r="G255" s="8" t="s">
        <v>76</v>
      </c>
      <c r="H255" s="8" t="s">
        <v>1218</v>
      </c>
      <c r="I255" s="8" t="s">
        <v>294</v>
      </c>
      <c r="J255" s="4" t="str">
        <f>PROPER(Sales_Data!J255)</f>
        <v>East</v>
      </c>
      <c r="K255" s="4" t="str">
        <f>PROPER(Sales_Data!K255)</f>
        <v>Electronics</v>
      </c>
      <c r="L255" s="8" t="s">
        <v>47</v>
      </c>
      <c r="M255" s="8">
        <v>7</v>
      </c>
      <c r="N255" s="8">
        <v>12000</v>
      </c>
      <c r="O255" s="8">
        <v>0</v>
      </c>
      <c r="P255" s="8">
        <v>84000</v>
      </c>
      <c r="Q255" s="8">
        <v>1</v>
      </c>
      <c r="R255" s="8" t="s">
        <v>88</v>
      </c>
      <c r="S255" s="8" t="s">
        <v>151</v>
      </c>
      <c r="T255" s="8" t="s">
        <v>132</v>
      </c>
      <c r="U255" s="9" t="s">
        <v>1219</v>
      </c>
      <c r="V255" s="8" t="s">
        <v>64</v>
      </c>
      <c r="AD255" s="57">
        <v>46046</v>
      </c>
      <c r="AE255">
        <v>46550</v>
      </c>
    </row>
    <row r="256" spans="1:31" x14ac:dyDescent="0.3">
      <c r="A256" s="3" t="s">
        <v>1220</v>
      </c>
      <c r="B256" s="4" t="s">
        <v>221</v>
      </c>
      <c r="C256" s="4" t="s">
        <v>40</v>
      </c>
      <c r="D256" s="52">
        <v>45919</v>
      </c>
      <c r="E256" s="48" t="s">
        <v>1221</v>
      </c>
      <c r="F256" s="4" t="str">
        <f>TRIM(PROPER(Sales_Data!F256))</f>
        <v>Vikas Mehta</v>
      </c>
      <c r="G256" s="4" t="s">
        <v>76</v>
      </c>
      <c r="H256" s="4" t="s">
        <v>1222</v>
      </c>
      <c r="I256" s="4" t="s">
        <v>114</v>
      </c>
      <c r="J256" s="4" t="str">
        <f>PROPER(Sales_Data!J256)</f>
        <v>West</v>
      </c>
      <c r="K256" s="4" t="str">
        <f>PROPER(Sales_Data!K256)</f>
        <v>Electronics</v>
      </c>
      <c r="L256" s="4" t="s">
        <v>47</v>
      </c>
      <c r="M256" s="4">
        <v>3</v>
      </c>
      <c r="N256" s="4">
        <v>12000</v>
      </c>
      <c r="O256" s="4">
        <v>10</v>
      </c>
      <c r="P256" s="4">
        <v>32400</v>
      </c>
      <c r="Q256" s="4">
        <v>4</v>
      </c>
      <c r="R256" s="4" t="s">
        <v>79</v>
      </c>
      <c r="S256" s="4" t="s">
        <v>151</v>
      </c>
      <c r="T256" s="4" t="s">
        <v>228</v>
      </c>
      <c r="U256" s="6" t="s">
        <v>1223</v>
      </c>
      <c r="V256" s="4" t="s">
        <v>38</v>
      </c>
      <c r="AD256" s="57">
        <v>46048</v>
      </c>
      <c r="AE256">
        <v>3294</v>
      </c>
    </row>
    <row r="257" spans="1:31" x14ac:dyDescent="0.3">
      <c r="A257" s="7" t="s">
        <v>1224</v>
      </c>
      <c r="B257" s="8" t="s">
        <v>221</v>
      </c>
      <c r="C257" s="8" t="s">
        <v>40</v>
      </c>
      <c r="D257" s="53">
        <v>45964</v>
      </c>
      <c r="E257" s="49" t="s">
        <v>927</v>
      </c>
      <c r="F257" s="4" t="str">
        <f>TRIM(PROPER(Sales_Data!F257))</f>
        <v>Vikas Mehta</v>
      </c>
      <c r="G257" s="8" t="s">
        <v>76</v>
      </c>
      <c r="H257" s="8" t="s">
        <v>1226</v>
      </c>
      <c r="I257" s="8" t="s">
        <v>30</v>
      </c>
      <c r="J257" s="4" t="str">
        <f>PROPER(Sales_Data!J257)</f>
        <v>South</v>
      </c>
      <c r="K257" s="4" t="str">
        <f>PROPER(Sales_Data!K257)</f>
        <v>Electronics</v>
      </c>
      <c r="L257" s="8" t="s">
        <v>47</v>
      </c>
      <c r="M257" s="8">
        <v>4</v>
      </c>
      <c r="N257" s="8">
        <v>12000</v>
      </c>
      <c r="O257" s="8">
        <v>15</v>
      </c>
      <c r="P257" s="8">
        <v>40800</v>
      </c>
      <c r="Q257" s="8">
        <v>3</v>
      </c>
      <c r="R257" s="8" t="s">
        <v>79</v>
      </c>
      <c r="S257" s="8" t="s">
        <v>35</v>
      </c>
      <c r="T257" s="8" t="s">
        <v>228</v>
      </c>
      <c r="U257" s="9" t="s">
        <v>1227</v>
      </c>
      <c r="V257" s="8" t="s">
        <v>64</v>
      </c>
      <c r="AD257" s="57">
        <v>46049</v>
      </c>
      <c r="AE257">
        <v>450</v>
      </c>
    </row>
    <row r="258" spans="1:31" x14ac:dyDescent="0.3">
      <c r="A258" s="3" t="s">
        <v>1228</v>
      </c>
      <c r="B258" s="4" t="s">
        <v>127</v>
      </c>
      <c r="C258" s="4" t="s">
        <v>40</v>
      </c>
      <c r="D258" s="52">
        <v>45824</v>
      </c>
      <c r="E258" s="48" t="s">
        <v>498</v>
      </c>
      <c r="F258" s="4" t="str">
        <f>TRIM(PROPER(Sales_Data!F258))</f>
        <v>Rohit Singh</v>
      </c>
      <c r="G258" s="4" t="s">
        <v>76</v>
      </c>
      <c r="H258" s="4" t="s">
        <v>1229</v>
      </c>
      <c r="I258" s="4" t="s">
        <v>30</v>
      </c>
      <c r="J258" s="4" t="str">
        <f>PROPER(Sales_Data!J258)</f>
        <v>South</v>
      </c>
      <c r="K258" s="4" t="str">
        <f>PROPER(Sales_Data!K258)</f>
        <v>Electronics</v>
      </c>
      <c r="L258" s="4" t="s">
        <v>47</v>
      </c>
      <c r="M258" s="4">
        <v>13</v>
      </c>
      <c r="N258" s="4">
        <v>12000</v>
      </c>
      <c r="O258" s="4">
        <v>10</v>
      </c>
      <c r="P258" s="4">
        <v>140400</v>
      </c>
      <c r="Q258" s="4">
        <v>2</v>
      </c>
      <c r="R258" s="4" t="s">
        <v>34</v>
      </c>
      <c r="S258" s="4" t="s">
        <v>151</v>
      </c>
      <c r="T258" s="4" t="s">
        <v>132</v>
      </c>
      <c r="U258" s="6" t="s">
        <v>1230</v>
      </c>
      <c r="V258" s="4" t="s">
        <v>69</v>
      </c>
      <c r="AD258" s="57">
        <v>46050</v>
      </c>
      <c r="AE258">
        <v>95</v>
      </c>
    </row>
    <row r="259" spans="1:31" x14ac:dyDescent="0.3">
      <c r="A259" s="7" t="s">
        <v>1231</v>
      </c>
      <c r="B259" s="8" t="s">
        <v>23</v>
      </c>
      <c r="C259" s="8" t="s">
        <v>92</v>
      </c>
      <c r="D259" s="53">
        <v>45812</v>
      </c>
      <c r="E259" s="49" t="s">
        <v>679</v>
      </c>
      <c r="F259" s="4" t="str">
        <f>TRIM(PROPER(Sales_Data!F259))</f>
        <v>Kavya Nair</v>
      </c>
      <c r="G259" s="8" t="s">
        <v>28</v>
      </c>
      <c r="H259" s="8" t="s">
        <v>1232</v>
      </c>
      <c r="I259" s="8" t="s">
        <v>59</v>
      </c>
      <c r="J259" s="4" t="str">
        <f>PROPER(Sales_Data!J259)</f>
        <v>South</v>
      </c>
      <c r="K259" s="4" t="str">
        <f>PROPER(Sales_Data!K259)</f>
        <v>Home Appliances</v>
      </c>
      <c r="L259" s="8" t="s">
        <v>97</v>
      </c>
      <c r="M259" s="8">
        <v>19</v>
      </c>
      <c r="N259" s="8">
        <v>3500</v>
      </c>
      <c r="O259" s="8">
        <v>20</v>
      </c>
      <c r="P259" s="8">
        <v>53200</v>
      </c>
      <c r="Q259" s="8">
        <v>1</v>
      </c>
      <c r="R259" s="8" t="s">
        <v>34</v>
      </c>
      <c r="S259" s="8" t="s">
        <v>61</v>
      </c>
      <c r="T259" s="8" t="s">
        <v>50</v>
      </c>
      <c r="U259" s="9" t="s">
        <v>1233</v>
      </c>
      <c r="V259" s="8" t="s">
        <v>69</v>
      </c>
      <c r="AD259" s="57">
        <v>46052</v>
      </c>
      <c r="AE259">
        <v>3920</v>
      </c>
    </row>
    <row r="260" spans="1:31" x14ac:dyDescent="0.3">
      <c r="A260" s="3" t="s">
        <v>1234</v>
      </c>
      <c r="B260" s="4" t="s">
        <v>23</v>
      </c>
      <c r="C260" s="4" t="s">
        <v>24</v>
      </c>
      <c r="D260" s="52">
        <v>45695</v>
      </c>
      <c r="E260" s="48" t="s">
        <v>436</v>
      </c>
      <c r="F260" s="4" t="str">
        <f>TRIM(PROPER(Sales_Data!F260))</f>
        <v>Kavya Nair</v>
      </c>
      <c r="G260" s="4" t="s">
        <v>28</v>
      </c>
      <c r="H260" s="4" t="s">
        <v>1235</v>
      </c>
      <c r="I260" s="4" t="s">
        <v>105</v>
      </c>
      <c r="J260" s="4" t="str">
        <f>PROPER(Sales_Data!J260)</f>
        <v>West</v>
      </c>
      <c r="K260" s="4" t="str">
        <f>PROPER(Sales_Data!K260)</f>
        <v>Home Appliances</v>
      </c>
      <c r="L260" s="4" t="s">
        <v>33</v>
      </c>
      <c r="M260" s="4">
        <v>7</v>
      </c>
      <c r="N260" s="4">
        <v>2200</v>
      </c>
      <c r="O260" s="4">
        <v>5</v>
      </c>
      <c r="P260" s="4">
        <v>14630</v>
      </c>
      <c r="Q260" s="4">
        <v>3</v>
      </c>
      <c r="R260" s="4" t="s">
        <v>88</v>
      </c>
      <c r="S260" s="4" t="s">
        <v>61</v>
      </c>
      <c r="T260" s="4" t="s">
        <v>50</v>
      </c>
      <c r="U260" s="6" t="s">
        <v>1236</v>
      </c>
      <c r="V260" s="4" t="s">
        <v>69</v>
      </c>
      <c r="AD260" s="57">
        <v>46053</v>
      </c>
      <c r="AE260">
        <v>40935</v>
      </c>
    </row>
    <row r="261" spans="1:31" x14ac:dyDescent="0.3">
      <c r="A261" s="7" t="s">
        <v>1237</v>
      </c>
      <c r="B261" s="8" t="s">
        <v>83</v>
      </c>
      <c r="C261" s="8" t="s">
        <v>184</v>
      </c>
      <c r="D261" s="53">
        <v>46151</v>
      </c>
      <c r="E261" s="49" t="s">
        <v>426</v>
      </c>
      <c r="F261" s="4" t="str">
        <f>TRIM(PROPER(Sales_Data!F261))</f>
        <v>Arjun Rao</v>
      </c>
      <c r="G261" s="8" t="s">
        <v>76</v>
      </c>
      <c r="H261" s="8" t="s">
        <v>1239</v>
      </c>
      <c r="I261" s="8" t="s">
        <v>212</v>
      </c>
      <c r="J261" s="4" t="str">
        <f>PROPER(Sales_Data!J261)</f>
        <v>North</v>
      </c>
      <c r="K261" s="4" t="str">
        <f>PROPER(Sales_Data!K261)</f>
        <v>Electronics</v>
      </c>
      <c r="L261" s="8" t="s">
        <v>189</v>
      </c>
      <c r="M261" s="8">
        <v>18</v>
      </c>
      <c r="N261" s="8">
        <v>700</v>
      </c>
      <c r="O261" s="8">
        <v>5</v>
      </c>
      <c r="P261" s="8">
        <v>11970</v>
      </c>
      <c r="Q261" s="8">
        <v>2</v>
      </c>
      <c r="R261" s="8" t="s">
        <v>88</v>
      </c>
      <c r="S261" s="8" t="s">
        <v>61</v>
      </c>
      <c r="T261" s="8" t="s">
        <v>89</v>
      </c>
      <c r="U261" s="9" t="s">
        <v>1240</v>
      </c>
      <c r="V261" s="8" t="s">
        <v>69</v>
      </c>
      <c r="AD261" s="57">
        <v>46057</v>
      </c>
      <c r="AE261">
        <v>1870</v>
      </c>
    </row>
    <row r="262" spans="1:31" x14ac:dyDescent="0.3">
      <c r="A262" s="3" t="s">
        <v>1241</v>
      </c>
      <c r="B262" s="4" t="s">
        <v>23</v>
      </c>
      <c r="C262" s="4" t="s">
        <v>222</v>
      </c>
      <c r="D262" s="52">
        <v>45858</v>
      </c>
      <c r="E262" s="48" t="s">
        <v>1242</v>
      </c>
      <c r="F262" s="4" t="str">
        <f>TRIM(PROPER(Sales_Data!F262))</f>
        <v>Kavya Nair</v>
      </c>
      <c r="G262" s="4" t="s">
        <v>28</v>
      </c>
      <c r="H262" s="4" t="s">
        <v>1243</v>
      </c>
      <c r="I262" s="4" t="s">
        <v>294</v>
      </c>
      <c r="J262" s="4" t="str">
        <f>PROPER(Sales_Data!J262)</f>
        <v>East</v>
      </c>
      <c r="K262" s="4" t="str">
        <f>PROPER(Sales_Data!K262)</f>
        <v>Stationery</v>
      </c>
      <c r="L262" s="4" t="s">
        <v>227</v>
      </c>
      <c r="M262" s="4">
        <v>11</v>
      </c>
      <c r="N262" s="4">
        <v>20</v>
      </c>
      <c r="O262" s="4">
        <v>0</v>
      </c>
      <c r="P262" s="4">
        <v>220</v>
      </c>
      <c r="Q262" s="4">
        <v>2</v>
      </c>
      <c r="R262" s="4" t="s">
        <v>48</v>
      </c>
      <c r="S262" s="4" t="s">
        <v>115</v>
      </c>
      <c r="T262" s="4" t="s">
        <v>50</v>
      </c>
      <c r="U262" s="6" t="s">
        <v>1244</v>
      </c>
      <c r="V262" s="4" t="s">
        <v>69</v>
      </c>
      <c r="AD262" s="57">
        <v>46061</v>
      </c>
      <c r="AE262">
        <v>8500</v>
      </c>
    </row>
    <row r="263" spans="1:31" x14ac:dyDescent="0.3">
      <c r="A263" s="7" t="s">
        <v>1245</v>
      </c>
      <c r="B263" s="8" t="s">
        <v>327</v>
      </c>
      <c r="C263" s="8" t="s">
        <v>40</v>
      </c>
      <c r="D263" s="53">
        <v>45716</v>
      </c>
      <c r="E263" s="49" t="s">
        <v>272</v>
      </c>
      <c r="F263" s="4" t="str">
        <f>TRIM(PROPER(Sales_Data!F263))</f>
        <v>Amit Sharma</v>
      </c>
      <c r="G263" s="8" t="s">
        <v>76</v>
      </c>
      <c r="H263" s="8" t="s">
        <v>1246</v>
      </c>
      <c r="I263" s="8" t="s">
        <v>114</v>
      </c>
      <c r="J263" s="4" t="str">
        <f>PROPER(Sales_Data!J263)</f>
        <v>West</v>
      </c>
      <c r="K263" s="4" t="str">
        <f>PROPER(Sales_Data!K263)</f>
        <v>Electronics</v>
      </c>
      <c r="L263" s="8" t="s">
        <v>47</v>
      </c>
      <c r="M263" s="8">
        <v>17</v>
      </c>
      <c r="N263" s="8">
        <v>12000</v>
      </c>
      <c r="O263" s="8">
        <v>20</v>
      </c>
      <c r="P263" s="8">
        <v>163200</v>
      </c>
      <c r="Q263" s="8">
        <v>4</v>
      </c>
      <c r="R263" s="8" t="s">
        <v>88</v>
      </c>
      <c r="S263" s="8" t="s">
        <v>151</v>
      </c>
      <c r="T263" s="8" t="s">
        <v>332</v>
      </c>
      <c r="U263" s="9" t="s">
        <v>1247</v>
      </c>
      <c r="V263" s="8" t="s">
        <v>38</v>
      </c>
      <c r="AD263" s="57">
        <v>46062</v>
      </c>
      <c r="AE263">
        <v>37698</v>
      </c>
    </row>
    <row r="264" spans="1:31" x14ac:dyDescent="0.3">
      <c r="A264" s="3" t="s">
        <v>1248</v>
      </c>
      <c r="B264" s="4" t="s">
        <v>251</v>
      </c>
      <c r="C264" s="4" t="s">
        <v>24</v>
      </c>
      <c r="D264" s="52">
        <v>45846</v>
      </c>
      <c r="E264" s="48" t="s">
        <v>267</v>
      </c>
      <c r="F264" s="4" t="str">
        <f>TRIM(PROPER(Sales_Data!F264))</f>
        <v>Sneha Joshi</v>
      </c>
      <c r="G264" s="4" t="s">
        <v>28</v>
      </c>
      <c r="H264" s="4" t="s">
        <v>1250</v>
      </c>
      <c r="I264" s="4" t="s">
        <v>294</v>
      </c>
      <c r="J264" s="4" t="str">
        <f>PROPER(Sales_Data!J264)</f>
        <v>East</v>
      </c>
      <c r="K264" s="4" t="str">
        <f>PROPER(Sales_Data!K264)</f>
        <v>Home Appliances</v>
      </c>
      <c r="L264" s="4" t="s">
        <v>33</v>
      </c>
      <c r="M264" s="4">
        <v>4</v>
      </c>
      <c r="N264" s="4">
        <v>2200</v>
      </c>
      <c r="O264" s="4">
        <v>5</v>
      </c>
      <c r="P264" s="4">
        <v>8360</v>
      </c>
      <c r="Q264" s="4">
        <v>2</v>
      </c>
      <c r="R264" s="4" t="s">
        <v>34</v>
      </c>
      <c r="S264" s="4" t="s">
        <v>35</v>
      </c>
      <c r="T264" s="4" t="s">
        <v>256</v>
      </c>
      <c r="U264" s="6" t="s">
        <v>1251</v>
      </c>
      <c r="V264" s="4" t="s">
        <v>38</v>
      </c>
      <c r="AD264" s="57">
        <v>46063</v>
      </c>
      <c r="AE264">
        <v>408</v>
      </c>
    </row>
    <row r="265" spans="1:31" x14ac:dyDescent="0.3">
      <c r="A265" s="7" t="s">
        <v>1252</v>
      </c>
      <c r="B265" s="8" t="s">
        <v>23</v>
      </c>
      <c r="C265" s="8" t="s">
        <v>54</v>
      </c>
      <c r="D265" s="53">
        <v>46003</v>
      </c>
      <c r="E265" s="49" t="s">
        <v>455</v>
      </c>
      <c r="F265" s="4" t="str">
        <f>TRIM(PROPER(Sales_Data!F265))</f>
        <v>Kavya Nair</v>
      </c>
      <c r="G265" s="8" t="s">
        <v>28</v>
      </c>
      <c r="H265" s="8" t="s">
        <v>1254</v>
      </c>
      <c r="I265" s="8" t="s">
        <v>138</v>
      </c>
      <c r="J265" s="4" t="str">
        <f>PROPER(Sales_Data!J265)</f>
        <v>West</v>
      </c>
      <c r="K265" s="4" t="str">
        <f>PROPER(Sales_Data!K265)</f>
        <v>Electronics</v>
      </c>
      <c r="L265" s="8" t="s">
        <v>60</v>
      </c>
      <c r="M265" s="8">
        <v>6</v>
      </c>
      <c r="N265" s="8">
        <v>55000</v>
      </c>
      <c r="O265" s="8">
        <v>20</v>
      </c>
      <c r="P265" s="8">
        <v>264000</v>
      </c>
      <c r="Q265" s="8">
        <v>2</v>
      </c>
      <c r="R265" s="8" t="s">
        <v>88</v>
      </c>
      <c r="S265" s="8" t="s">
        <v>151</v>
      </c>
      <c r="T265" s="8" t="s">
        <v>50</v>
      </c>
      <c r="U265" s="9" t="s">
        <v>1255</v>
      </c>
      <c r="V265" s="8" t="s">
        <v>69</v>
      </c>
      <c r="AD265" s="57">
        <v>46064</v>
      </c>
      <c r="AE265">
        <v>47600</v>
      </c>
    </row>
    <row r="266" spans="1:31" x14ac:dyDescent="0.3">
      <c r="A266" s="3" t="s">
        <v>1256</v>
      </c>
      <c r="B266" s="4" t="s">
        <v>71</v>
      </c>
      <c r="C266" s="4" t="s">
        <v>169</v>
      </c>
      <c r="D266" s="52">
        <v>46026</v>
      </c>
      <c r="E266" s="48" t="s">
        <v>998</v>
      </c>
      <c r="F266" s="4" t="str">
        <f>TRIM(PROPER(Sales_Data!F266))</f>
        <v>Mohit Verma</v>
      </c>
      <c r="G266" s="4" t="s">
        <v>76</v>
      </c>
      <c r="H266" s="4" t="s">
        <v>1257</v>
      </c>
      <c r="I266" s="4" t="s">
        <v>44</v>
      </c>
      <c r="J266" s="4" t="str">
        <f>PROPER(Sales_Data!J266)</f>
        <v>North</v>
      </c>
      <c r="K266" s="4" t="str">
        <f>PROPER(Sales_Data!K266)</f>
        <v>Home Appliances</v>
      </c>
      <c r="L266" s="4" t="s">
        <v>174</v>
      </c>
      <c r="M266" s="4">
        <v>6</v>
      </c>
      <c r="N266" s="4">
        <v>8500</v>
      </c>
      <c r="O266" s="4">
        <v>10</v>
      </c>
      <c r="P266" s="4">
        <v>45900</v>
      </c>
      <c r="Q266" s="4">
        <v>5</v>
      </c>
      <c r="R266" s="4" t="s">
        <v>88</v>
      </c>
      <c r="S266" s="4" t="s">
        <v>61</v>
      </c>
      <c r="T266" s="4" t="s">
        <v>80</v>
      </c>
      <c r="U266" s="6" t="s">
        <v>1258</v>
      </c>
      <c r="V266" s="4" t="s">
        <v>38</v>
      </c>
      <c r="AD266" s="57">
        <v>46065</v>
      </c>
      <c r="AE266">
        <v>144</v>
      </c>
    </row>
    <row r="267" spans="1:31" x14ac:dyDescent="0.3">
      <c r="A267" s="7" t="s">
        <v>1259</v>
      </c>
      <c r="B267" s="8" t="s">
        <v>23</v>
      </c>
      <c r="C267" s="8" t="s">
        <v>222</v>
      </c>
      <c r="D267" s="53">
        <v>45889</v>
      </c>
      <c r="E267" s="49" t="s">
        <v>371</v>
      </c>
      <c r="F267" s="4" t="str">
        <f>TRIM(PROPER(Sales_Data!F267))</f>
        <v>Kavya Nair</v>
      </c>
      <c r="G267" s="8" t="s">
        <v>28</v>
      </c>
      <c r="H267" s="8" t="s">
        <v>1260</v>
      </c>
      <c r="I267" s="8" t="s">
        <v>212</v>
      </c>
      <c r="J267" s="4" t="str">
        <f>PROPER(Sales_Data!J267)</f>
        <v>North</v>
      </c>
      <c r="K267" s="4" t="str">
        <f>PROPER(Sales_Data!K267)</f>
        <v>Stationery</v>
      </c>
      <c r="L267" s="8" t="s">
        <v>227</v>
      </c>
      <c r="M267" s="8">
        <v>6</v>
      </c>
      <c r="N267" s="8">
        <v>20</v>
      </c>
      <c r="O267" s="8">
        <v>15</v>
      </c>
      <c r="P267" s="8">
        <v>102</v>
      </c>
      <c r="Q267" s="8">
        <v>2</v>
      </c>
      <c r="R267" s="8" t="s">
        <v>88</v>
      </c>
      <c r="S267" s="8" t="s">
        <v>49</v>
      </c>
      <c r="T267" s="8" t="s">
        <v>50</v>
      </c>
      <c r="U267" s="9" t="s">
        <v>1261</v>
      </c>
      <c r="V267" s="8" t="s">
        <v>69</v>
      </c>
      <c r="AD267" s="57">
        <v>46066</v>
      </c>
      <c r="AE267">
        <v>12080</v>
      </c>
    </row>
    <row r="268" spans="1:31" x14ac:dyDescent="0.3">
      <c r="A268" s="3" t="s">
        <v>1262</v>
      </c>
      <c r="B268" s="4" t="s">
        <v>53</v>
      </c>
      <c r="C268" s="4" t="s">
        <v>118</v>
      </c>
      <c r="D268" s="52">
        <v>45780</v>
      </c>
      <c r="E268" s="48" t="s">
        <v>597</v>
      </c>
      <c r="F268" s="4" t="str">
        <f>TRIM(PROPER(Sales_Data!F268))</f>
        <v>Pooja Shah</v>
      </c>
      <c r="G268" s="4" t="s">
        <v>28</v>
      </c>
      <c r="H268" s="4" t="s">
        <v>1264</v>
      </c>
      <c r="I268" s="4" t="s">
        <v>105</v>
      </c>
      <c r="J268" s="4" t="str">
        <f>PROPER(Sales_Data!J268)</f>
        <v>West</v>
      </c>
      <c r="K268" s="4" t="str">
        <f>PROPER(Sales_Data!K268)</f>
        <v>Stationery</v>
      </c>
      <c r="L268" s="4" t="s">
        <v>123</v>
      </c>
      <c r="M268" s="4">
        <v>6</v>
      </c>
      <c r="N268" s="4">
        <v>60</v>
      </c>
      <c r="O268" s="4">
        <v>5</v>
      </c>
      <c r="P268" s="4">
        <v>342</v>
      </c>
      <c r="Q268" s="4">
        <v>1</v>
      </c>
      <c r="R268" s="4" t="s">
        <v>48</v>
      </c>
      <c r="S268" s="4" t="s">
        <v>61</v>
      </c>
      <c r="T268" s="4" t="s">
        <v>62</v>
      </c>
      <c r="U268" s="6" t="s">
        <v>1265</v>
      </c>
      <c r="V268" s="4" t="s">
        <v>38</v>
      </c>
      <c r="AD268" s="57">
        <v>46067</v>
      </c>
      <c r="AE268">
        <v>1062</v>
      </c>
    </row>
    <row r="269" spans="1:31" x14ac:dyDescent="0.3">
      <c r="A269" s="7" t="s">
        <v>1266</v>
      </c>
      <c r="B269" s="8" t="s">
        <v>127</v>
      </c>
      <c r="C269" s="8" t="s">
        <v>169</v>
      </c>
      <c r="D269" s="53">
        <v>45666</v>
      </c>
      <c r="E269" s="49" t="s">
        <v>1268</v>
      </c>
      <c r="F269" s="4" t="str">
        <f>TRIM(PROPER(Sales_Data!F269))</f>
        <v>Rohit Singh</v>
      </c>
      <c r="G269" s="8" t="s">
        <v>76</v>
      </c>
      <c r="H269" s="8" t="s">
        <v>1269</v>
      </c>
      <c r="I269" s="8" t="s">
        <v>30</v>
      </c>
      <c r="J269" s="4" t="str">
        <f>PROPER(Sales_Data!J269)</f>
        <v>South</v>
      </c>
      <c r="K269" s="4" t="str">
        <f>PROPER(Sales_Data!K269)</f>
        <v>Home Appliances</v>
      </c>
      <c r="L269" s="8" t="s">
        <v>174</v>
      </c>
      <c r="M269" s="8">
        <v>19</v>
      </c>
      <c r="N269" s="8">
        <v>8500</v>
      </c>
      <c r="O269" s="8">
        <v>0</v>
      </c>
      <c r="P269" s="8">
        <v>161500</v>
      </c>
      <c r="Q269" s="8">
        <v>5</v>
      </c>
      <c r="R269" s="8" t="s">
        <v>88</v>
      </c>
      <c r="S269" s="8" t="s">
        <v>151</v>
      </c>
      <c r="T269" s="8" t="s">
        <v>132</v>
      </c>
      <c r="U269" s="9" t="s">
        <v>1270</v>
      </c>
      <c r="V269" s="8" t="s">
        <v>38</v>
      </c>
      <c r="AD269" s="57">
        <v>46070</v>
      </c>
      <c r="AE269">
        <v>18096</v>
      </c>
    </row>
    <row r="270" spans="1:31" x14ac:dyDescent="0.3">
      <c r="A270" s="3" t="s">
        <v>1271</v>
      </c>
      <c r="B270" s="4" t="s">
        <v>251</v>
      </c>
      <c r="C270" s="4" t="s">
        <v>54</v>
      </c>
      <c r="D270" s="52">
        <v>45901</v>
      </c>
      <c r="E270" s="48" t="s">
        <v>573</v>
      </c>
      <c r="F270" s="4" t="str">
        <f>TRIM(PROPER(Sales_Data!F270))</f>
        <v>Sneha Joshi</v>
      </c>
      <c r="G270" s="4" t="s">
        <v>28</v>
      </c>
      <c r="H270" s="4" t="s">
        <v>1272</v>
      </c>
      <c r="I270" s="4" t="s">
        <v>212</v>
      </c>
      <c r="J270" s="4" t="str">
        <f>PROPER(Sales_Data!J270)</f>
        <v>North</v>
      </c>
      <c r="K270" s="4" t="str">
        <f>PROPER(Sales_Data!K270)</f>
        <v>Electronics</v>
      </c>
      <c r="L270" s="4" t="s">
        <v>60</v>
      </c>
      <c r="M270" s="4">
        <v>8</v>
      </c>
      <c r="N270" s="4">
        <v>55000</v>
      </c>
      <c r="O270" s="4">
        <v>0</v>
      </c>
      <c r="P270" s="4">
        <v>440000</v>
      </c>
      <c r="Q270" s="4">
        <v>3</v>
      </c>
      <c r="R270" s="4" t="s">
        <v>79</v>
      </c>
      <c r="S270" s="4" t="s">
        <v>115</v>
      </c>
      <c r="T270" s="4" t="s">
        <v>256</v>
      </c>
      <c r="U270" s="6" t="s">
        <v>1273</v>
      </c>
      <c r="V270" s="4" t="s">
        <v>64</v>
      </c>
      <c r="AD270" s="57">
        <v>46071</v>
      </c>
      <c r="AE270">
        <v>173060</v>
      </c>
    </row>
    <row r="271" spans="1:31" x14ac:dyDescent="0.3">
      <c r="A271" s="7" t="s">
        <v>1274</v>
      </c>
      <c r="B271" s="8" t="s">
        <v>71</v>
      </c>
      <c r="C271" s="8" t="s">
        <v>40</v>
      </c>
      <c r="D271" s="53">
        <v>46144</v>
      </c>
      <c r="E271" s="49" t="s">
        <v>583</v>
      </c>
      <c r="F271" s="4" t="str">
        <f>TRIM(PROPER(Sales_Data!F271))</f>
        <v>Mohit Verma</v>
      </c>
      <c r="G271" s="8" t="s">
        <v>76</v>
      </c>
      <c r="H271" s="8" t="s">
        <v>1275</v>
      </c>
      <c r="I271" s="8" t="s">
        <v>294</v>
      </c>
      <c r="J271" s="4" t="str">
        <f>PROPER(Sales_Data!J271)</f>
        <v>East</v>
      </c>
      <c r="K271" s="4" t="str">
        <f>PROPER(Sales_Data!K271)</f>
        <v>Electronics</v>
      </c>
      <c r="L271" s="8" t="s">
        <v>47</v>
      </c>
      <c r="M271" s="8">
        <v>18</v>
      </c>
      <c r="N271" s="8">
        <v>12000</v>
      </c>
      <c r="O271" s="8">
        <v>20</v>
      </c>
      <c r="P271" s="8">
        <v>172800</v>
      </c>
      <c r="Q271" s="8">
        <v>5</v>
      </c>
      <c r="R271" s="8" t="s">
        <v>88</v>
      </c>
      <c r="S271" s="8" t="s">
        <v>61</v>
      </c>
      <c r="T271" s="8" t="s">
        <v>80</v>
      </c>
      <c r="U271" s="9" t="s">
        <v>1276</v>
      </c>
      <c r="V271" s="8" t="s">
        <v>69</v>
      </c>
      <c r="AD271" s="57">
        <v>46072</v>
      </c>
      <c r="AE271">
        <v>37400</v>
      </c>
    </row>
    <row r="272" spans="1:31" x14ac:dyDescent="0.3">
      <c r="A272" s="3" t="s">
        <v>1277</v>
      </c>
      <c r="B272" s="4" t="s">
        <v>127</v>
      </c>
      <c r="C272" s="4" t="s">
        <v>169</v>
      </c>
      <c r="D272" s="52">
        <v>45764</v>
      </c>
      <c r="E272" s="48" t="s">
        <v>198</v>
      </c>
      <c r="F272" s="4" t="str">
        <f>TRIM(PROPER(Sales_Data!F272))</f>
        <v>Rohit Singh</v>
      </c>
      <c r="G272" s="4" t="s">
        <v>76</v>
      </c>
      <c r="H272" s="4" t="s">
        <v>1279</v>
      </c>
      <c r="I272" s="4" t="s">
        <v>138</v>
      </c>
      <c r="J272" s="4" t="str">
        <f>PROPER(Sales_Data!J272)</f>
        <v>West</v>
      </c>
      <c r="K272" s="4" t="str">
        <f>PROPER(Sales_Data!K272)</f>
        <v>Home Appliances</v>
      </c>
      <c r="L272" s="4" t="s">
        <v>174</v>
      </c>
      <c r="M272" s="4">
        <v>8</v>
      </c>
      <c r="N272" s="4">
        <v>8500</v>
      </c>
      <c r="O272" s="4">
        <v>5</v>
      </c>
      <c r="P272" s="4">
        <v>64600</v>
      </c>
      <c r="Q272" s="4">
        <v>2</v>
      </c>
      <c r="R272" s="4" t="s">
        <v>79</v>
      </c>
      <c r="S272" s="4" t="s">
        <v>61</v>
      </c>
      <c r="T272" s="4" t="s">
        <v>132</v>
      </c>
      <c r="U272" s="6" t="s">
        <v>1280</v>
      </c>
      <c r="V272" s="4" t="s">
        <v>69</v>
      </c>
      <c r="AD272" s="57">
        <v>46073</v>
      </c>
      <c r="AE272">
        <v>26400</v>
      </c>
    </row>
    <row r="273" spans="1:31" x14ac:dyDescent="0.3">
      <c r="A273" s="7" t="s">
        <v>1281</v>
      </c>
      <c r="B273" s="8" t="s">
        <v>23</v>
      </c>
      <c r="C273" s="8" t="s">
        <v>222</v>
      </c>
      <c r="D273" s="53">
        <v>45878</v>
      </c>
      <c r="E273" s="49" t="s">
        <v>724</v>
      </c>
      <c r="F273" s="4" t="str">
        <f>TRIM(PROPER(Sales_Data!F273))</f>
        <v>Kavya Nair</v>
      </c>
      <c r="G273" s="8" t="s">
        <v>28</v>
      </c>
      <c r="H273" s="8" t="s">
        <v>1283</v>
      </c>
      <c r="I273" s="8" t="s">
        <v>105</v>
      </c>
      <c r="J273" s="4" t="str">
        <f>PROPER(Sales_Data!J273)</f>
        <v>West</v>
      </c>
      <c r="K273" s="4" t="str">
        <f>PROPER(Sales_Data!K273)</f>
        <v>Stationery</v>
      </c>
      <c r="L273" s="8" t="s">
        <v>227</v>
      </c>
      <c r="M273" s="8">
        <v>13</v>
      </c>
      <c r="N273" s="8">
        <v>20</v>
      </c>
      <c r="O273" s="8">
        <v>5</v>
      </c>
      <c r="P273" s="8">
        <v>247</v>
      </c>
      <c r="Q273" s="8">
        <v>3</v>
      </c>
      <c r="R273" s="8" t="s">
        <v>48</v>
      </c>
      <c r="S273" s="8" t="s">
        <v>115</v>
      </c>
      <c r="T273" s="8" t="s">
        <v>50</v>
      </c>
      <c r="U273" s="9" t="s">
        <v>1284</v>
      </c>
      <c r="V273" s="8" t="s">
        <v>64</v>
      </c>
      <c r="AD273" s="57">
        <v>46074</v>
      </c>
      <c r="AE273">
        <v>6600</v>
      </c>
    </row>
    <row r="274" spans="1:31" x14ac:dyDescent="0.3">
      <c r="A274" s="3" t="s">
        <v>1285</v>
      </c>
      <c r="B274" s="4" t="s">
        <v>83</v>
      </c>
      <c r="C274" s="4" t="s">
        <v>118</v>
      </c>
      <c r="D274" s="52">
        <v>46116</v>
      </c>
      <c r="E274" s="48" t="s">
        <v>1286</v>
      </c>
      <c r="F274" s="4" t="str">
        <f>TRIM(PROPER(Sales_Data!F274))</f>
        <v>Arjun Rao</v>
      </c>
      <c r="G274" s="4" t="s">
        <v>76</v>
      </c>
      <c r="H274" s="4" t="s">
        <v>1287</v>
      </c>
      <c r="I274" s="4" t="s">
        <v>212</v>
      </c>
      <c r="J274" s="4" t="str">
        <f>PROPER(Sales_Data!J274)</f>
        <v>North</v>
      </c>
      <c r="K274" s="4" t="str">
        <f>PROPER(Sales_Data!K274)</f>
        <v>Stationery</v>
      </c>
      <c r="L274" s="4" t="s">
        <v>123</v>
      </c>
      <c r="M274" s="4">
        <v>1</v>
      </c>
      <c r="N274" s="4">
        <v>60</v>
      </c>
      <c r="O274" s="4">
        <v>15</v>
      </c>
      <c r="P274" s="4">
        <v>51</v>
      </c>
      <c r="Q274" s="4">
        <v>2</v>
      </c>
      <c r="R274" s="4" t="s">
        <v>79</v>
      </c>
      <c r="S274" s="4" t="s">
        <v>61</v>
      </c>
      <c r="T274" s="4" t="s">
        <v>89</v>
      </c>
      <c r="U274" s="6" t="s">
        <v>1288</v>
      </c>
      <c r="V274" s="4" t="s">
        <v>69</v>
      </c>
      <c r="AD274" s="57">
        <v>46075</v>
      </c>
      <c r="AE274">
        <v>88400</v>
      </c>
    </row>
    <row r="275" spans="1:31" x14ac:dyDescent="0.3">
      <c r="A275" s="7" t="s">
        <v>1289</v>
      </c>
      <c r="B275" s="8" t="s">
        <v>53</v>
      </c>
      <c r="C275" s="8" t="s">
        <v>222</v>
      </c>
      <c r="D275" s="53">
        <v>45830</v>
      </c>
      <c r="E275" s="49" t="s">
        <v>965</v>
      </c>
      <c r="F275" s="4" t="str">
        <f>TRIM(PROPER(Sales_Data!F275))</f>
        <v>Pooja Shah</v>
      </c>
      <c r="G275" s="8" t="s">
        <v>28</v>
      </c>
      <c r="H275" s="8" t="s">
        <v>1291</v>
      </c>
      <c r="I275" s="8" t="s">
        <v>114</v>
      </c>
      <c r="J275" s="4" t="str">
        <f>PROPER(Sales_Data!J275)</f>
        <v>West</v>
      </c>
      <c r="K275" s="4" t="str">
        <f>PROPER(Sales_Data!K275)</f>
        <v>Stationery</v>
      </c>
      <c r="L275" s="8" t="s">
        <v>227</v>
      </c>
      <c r="M275" s="8">
        <v>5</v>
      </c>
      <c r="N275" s="8">
        <v>20</v>
      </c>
      <c r="O275" s="8">
        <v>5</v>
      </c>
      <c r="P275" s="8">
        <v>95</v>
      </c>
      <c r="Q275" s="8">
        <v>2</v>
      </c>
      <c r="R275" s="8" t="s">
        <v>48</v>
      </c>
      <c r="S275" s="8" t="s">
        <v>49</v>
      </c>
      <c r="T275" s="8" t="s">
        <v>62</v>
      </c>
      <c r="U275" s="9" t="s">
        <v>1292</v>
      </c>
      <c r="V275" s="8" t="s">
        <v>64</v>
      </c>
      <c r="AD275" s="57">
        <v>46077</v>
      </c>
      <c r="AE275">
        <v>408</v>
      </c>
    </row>
    <row r="276" spans="1:31" x14ac:dyDescent="0.3">
      <c r="A276" s="3" t="s">
        <v>1293</v>
      </c>
      <c r="B276" s="4" t="s">
        <v>221</v>
      </c>
      <c r="C276" s="4" t="s">
        <v>222</v>
      </c>
      <c r="D276" s="52">
        <v>45796</v>
      </c>
      <c r="E276" s="48" t="s">
        <v>1017</v>
      </c>
      <c r="F276" s="4" t="str">
        <f>TRIM(PROPER(Sales_Data!F276))</f>
        <v>Vikas Mehta</v>
      </c>
      <c r="G276" s="4" t="s">
        <v>76</v>
      </c>
      <c r="H276" s="4" t="s">
        <v>1295</v>
      </c>
      <c r="I276" s="4" t="s">
        <v>294</v>
      </c>
      <c r="J276" s="4" t="str">
        <f>PROPER(Sales_Data!J276)</f>
        <v>East</v>
      </c>
      <c r="K276" s="4" t="str">
        <f>PROPER(Sales_Data!K276)</f>
        <v>Stationery</v>
      </c>
      <c r="L276" s="4" t="s">
        <v>227</v>
      </c>
      <c r="M276" s="4">
        <v>19</v>
      </c>
      <c r="N276" s="4">
        <v>20</v>
      </c>
      <c r="O276" s="4">
        <v>20</v>
      </c>
      <c r="P276" s="4">
        <v>304</v>
      </c>
      <c r="Q276" s="4">
        <v>3</v>
      </c>
      <c r="R276" s="4" t="s">
        <v>34</v>
      </c>
      <c r="S276" s="4" t="s">
        <v>35</v>
      </c>
      <c r="T276" s="4" t="s">
        <v>228</v>
      </c>
      <c r="U276" s="6" t="s">
        <v>1296</v>
      </c>
      <c r="V276" s="4" t="s">
        <v>69</v>
      </c>
      <c r="AD276" s="57">
        <v>46078</v>
      </c>
      <c r="AE276">
        <v>607.5</v>
      </c>
    </row>
    <row r="277" spans="1:31" x14ac:dyDescent="0.3">
      <c r="A277" s="7" t="s">
        <v>1297</v>
      </c>
      <c r="B277" s="8" t="s">
        <v>100</v>
      </c>
      <c r="C277" s="8" t="s">
        <v>259</v>
      </c>
      <c r="D277" s="53">
        <v>45745</v>
      </c>
      <c r="E277" s="49" t="s">
        <v>366</v>
      </c>
      <c r="F277" s="4" t="str">
        <f>TRIM(PROPER(Sales_Data!F277))</f>
        <v>Priya Patel</v>
      </c>
      <c r="G277" s="8" t="s">
        <v>28</v>
      </c>
      <c r="H277" s="8" t="s">
        <v>1299</v>
      </c>
      <c r="I277" s="8" t="s">
        <v>138</v>
      </c>
      <c r="J277" s="4" t="str">
        <f>PROPER(Sales_Data!J277)</f>
        <v>West</v>
      </c>
      <c r="K277" s="4" t="str">
        <f>PROPER(Sales_Data!K277)</f>
        <v>Stationery</v>
      </c>
      <c r="L277" s="8" t="s">
        <v>263</v>
      </c>
      <c r="M277" s="8">
        <v>17</v>
      </c>
      <c r="N277" s="8">
        <v>45</v>
      </c>
      <c r="O277" s="8">
        <v>5</v>
      </c>
      <c r="P277" s="8">
        <v>726.75</v>
      </c>
      <c r="Q277" s="8">
        <v>4</v>
      </c>
      <c r="R277" s="8" t="s">
        <v>34</v>
      </c>
      <c r="S277" s="8" t="s">
        <v>115</v>
      </c>
      <c r="T277" s="8" t="s">
        <v>144</v>
      </c>
      <c r="U277" s="9" t="s">
        <v>1300</v>
      </c>
      <c r="V277" s="8" t="s">
        <v>64</v>
      </c>
      <c r="AD277" s="57">
        <v>46081</v>
      </c>
      <c r="AE277">
        <v>27200</v>
      </c>
    </row>
    <row r="278" spans="1:31" x14ac:dyDescent="0.3">
      <c r="A278" s="3" t="s">
        <v>1301</v>
      </c>
      <c r="B278" s="4" t="s">
        <v>83</v>
      </c>
      <c r="C278" s="4" t="s">
        <v>184</v>
      </c>
      <c r="D278" s="52">
        <v>46071</v>
      </c>
      <c r="E278" s="48" t="s">
        <v>170</v>
      </c>
      <c r="F278" s="4" t="str">
        <f>TRIM(PROPER(Sales_Data!F278))</f>
        <v>Arjun Rao</v>
      </c>
      <c r="G278" s="4" t="s">
        <v>76</v>
      </c>
      <c r="H278" s="4" t="s">
        <v>1303</v>
      </c>
      <c r="I278" s="4" t="s">
        <v>59</v>
      </c>
      <c r="J278" s="4" t="str">
        <f>PROPER(Sales_Data!J278)</f>
        <v>South</v>
      </c>
      <c r="K278" s="4" t="str">
        <f>PROPER(Sales_Data!K278)</f>
        <v>Electronics</v>
      </c>
      <c r="L278" s="4" t="s">
        <v>189</v>
      </c>
      <c r="M278" s="4">
        <v>8</v>
      </c>
      <c r="N278" s="4">
        <v>700</v>
      </c>
      <c r="O278" s="4">
        <v>15</v>
      </c>
      <c r="P278" s="4">
        <v>4760</v>
      </c>
      <c r="Q278" s="4">
        <v>4</v>
      </c>
      <c r="R278" s="4" t="s">
        <v>48</v>
      </c>
      <c r="S278" s="4" t="s">
        <v>35</v>
      </c>
      <c r="T278" s="4" t="s">
        <v>89</v>
      </c>
      <c r="U278" s="6" t="s">
        <v>1304</v>
      </c>
      <c r="V278" s="4" t="s">
        <v>64</v>
      </c>
      <c r="AD278" s="57">
        <v>46085</v>
      </c>
      <c r="AE278">
        <v>56000</v>
      </c>
    </row>
    <row r="279" spans="1:31" x14ac:dyDescent="0.3">
      <c r="A279" s="7" t="s">
        <v>1305</v>
      </c>
      <c r="B279" s="8" t="s">
        <v>168</v>
      </c>
      <c r="C279" s="8" t="s">
        <v>24</v>
      </c>
      <c r="D279" s="53">
        <v>46043</v>
      </c>
      <c r="E279" s="49" t="s">
        <v>1307</v>
      </c>
      <c r="F279" s="4" t="str">
        <f>TRIM(PROPER(Sales_Data!F279))</f>
        <v>Anita Gupta</v>
      </c>
      <c r="G279" s="8" t="s">
        <v>28</v>
      </c>
      <c r="H279" s="8" t="s">
        <v>1308</v>
      </c>
      <c r="I279" s="8" t="s">
        <v>105</v>
      </c>
      <c r="J279" s="4" t="str">
        <f>PROPER(Sales_Data!J279)</f>
        <v>West</v>
      </c>
      <c r="K279" s="4" t="str">
        <f>PROPER(Sales_Data!K279)</f>
        <v>Home Appliances</v>
      </c>
      <c r="L279" s="8" t="s">
        <v>33</v>
      </c>
      <c r="M279" s="8">
        <v>15</v>
      </c>
      <c r="N279" s="8">
        <v>2200</v>
      </c>
      <c r="O279" s="8">
        <v>10</v>
      </c>
      <c r="P279" s="8">
        <v>29700</v>
      </c>
      <c r="Q279" s="8">
        <v>5</v>
      </c>
      <c r="R279" s="8" t="s">
        <v>88</v>
      </c>
      <c r="S279" s="8" t="s">
        <v>151</v>
      </c>
      <c r="T279" s="8" t="s">
        <v>175</v>
      </c>
      <c r="U279" s="9" t="s">
        <v>1309</v>
      </c>
      <c r="V279" s="8" t="s">
        <v>38</v>
      </c>
      <c r="AD279" s="57">
        <v>46086</v>
      </c>
      <c r="AE279">
        <v>15600</v>
      </c>
    </row>
    <row r="280" spans="1:31" x14ac:dyDescent="0.3">
      <c r="A280" s="3" t="s">
        <v>1310</v>
      </c>
      <c r="B280" s="4" t="s">
        <v>100</v>
      </c>
      <c r="C280" s="4" t="s">
        <v>24</v>
      </c>
      <c r="D280" s="52">
        <v>45917</v>
      </c>
      <c r="E280" s="48" t="s">
        <v>1311</v>
      </c>
      <c r="F280" s="4" t="str">
        <f>TRIM(PROPER(Sales_Data!F280))</f>
        <v>Priya Patel</v>
      </c>
      <c r="G280" s="4" t="s">
        <v>28</v>
      </c>
      <c r="H280" s="4" t="s">
        <v>1312</v>
      </c>
      <c r="I280" s="4" t="s">
        <v>105</v>
      </c>
      <c r="J280" s="4" t="str">
        <f>PROPER(Sales_Data!J280)</f>
        <v>West</v>
      </c>
      <c r="K280" s="4" t="str">
        <f>PROPER(Sales_Data!K280)</f>
        <v>Home Appliances</v>
      </c>
      <c r="L280" s="4" t="s">
        <v>33</v>
      </c>
      <c r="M280" s="4">
        <v>1</v>
      </c>
      <c r="N280" s="4">
        <v>2200</v>
      </c>
      <c r="O280" s="4">
        <v>0</v>
      </c>
      <c r="P280" s="4">
        <v>2200</v>
      </c>
      <c r="Q280" s="4">
        <v>4</v>
      </c>
      <c r="R280" s="4" t="s">
        <v>34</v>
      </c>
      <c r="S280" s="4" t="s">
        <v>49</v>
      </c>
      <c r="T280" s="4" t="s">
        <v>144</v>
      </c>
      <c r="U280" s="6" t="s">
        <v>1313</v>
      </c>
      <c r="V280" s="4" t="s">
        <v>69</v>
      </c>
      <c r="AD280" s="57">
        <v>46087</v>
      </c>
      <c r="AE280">
        <v>114000</v>
      </c>
    </row>
    <row r="281" spans="1:31" x14ac:dyDescent="0.3">
      <c r="A281" s="7" t="s">
        <v>1314</v>
      </c>
      <c r="B281" s="8" t="s">
        <v>251</v>
      </c>
      <c r="C281" s="8" t="s">
        <v>92</v>
      </c>
      <c r="D281" s="53">
        <v>45827</v>
      </c>
      <c r="E281" s="49" t="s">
        <v>1315</v>
      </c>
      <c r="F281" s="4" t="str">
        <f>TRIM(PROPER(Sales_Data!F281))</f>
        <v>Sneha Joshi</v>
      </c>
      <c r="G281" s="8" t="s">
        <v>28</v>
      </c>
      <c r="H281" s="8" t="s">
        <v>1316</v>
      </c>
      <c r="I281" s="8" t="s">
        <v>138</v>
      </c>
      <c r="J281" s="4" t="str">
        <f>PROPER(Sales_Data!J281)</f>
        <v>West</v>
      </c>
      <c r="K281" s="4" t="str">
        <f>PROPER(Sales_Data!K281)</f>
        <v>Home Appliances</v>
      </c>
      <c r="L281" s="8" t="s">
        <v>97</v>
      </c>
      <c r="M281" s="8">
        <v>10</v>
      </c>
      <c r="N281" s="8">
        <v>3500</v>
      </c>
      <c r="O281" s="8">
        <v>10</v>
      </c>
      <c r="P281" s="8">
        <v>31500</v>
      </c>
      <c r="Q281" s="8">
        <v>4</v>
      </c>
      <c r="R281" s="8" t="s">
        <v>48</v>
      </c>
      <c r="S281" s="8" t="s">
        <v>35</v>
      </c>
      <c r="T281" s="8" t="s">
        <v>256</v>
      </c>
      <c r="U281" s="9" t="s">
        <v>1317</v>
      </c>
      <c r="V281" s="8" t="s">
        <v>69</v>
      </c>
      <c r="AD281" s="57">
        <v>46088</v>
      </c>
      <c r="AE281">
        <v>8778</v>
      </c>
    </row>
    <row r="282" spans="1:31" x14ac:dyDescent="0.3">
      <c r="A282" s="3" t="s">
        <v>1318</v>
      </c>
      <c r="B282" s="4" t="s">
        <v>71</v>
      </c>
      <c r="C282" s="4" t="s">
        <v>92</v>
      </c>
      <c r="D282" s="52">
        <v>45789</v>
      </c>
      <c r="E282" s="48" t="s">
        <v>1320</v>
      </c>
      <c r="F282" s="4" t="str">
        <f>TRIM(PROPER(Sales_Data!F282))</f>
        <v>Mohit Verma</v>
      </c>
      <c r="G282" s="4" t="s">
        <v>76</v>
      </c>
      <c r="H282" s="4" t="s">
        <v>1321</v>
      </c>
      <c r="I282" s="4" t="s">
        <v>212</v>
      </c>
      <c r="J282" s="4" t="str">
        <f>PROPER(Sales_Data!J282)</f>
        <v>North</v>
      </c>
      <c r="K282" s="4" t="str">
        <f>PROPER(Sales_Data!K282)</f>
        <v>Home Appliances</v>
      </c>
      <c r="L282" s="4" t="s">
        <v>97</v>
      </c>
      <c r="M282" s="4">
        <v>16</v>
      </c>
      <c r="N282" s="4">
        <v>3500</v>
      </c>
      <c r="O282" s="4">
        <v>15</v>
      </c>
      <c r="P282" s="4">
        <v>47600</v>
      </c>
      <c r="Q282" s="4">
        <v>1</v>
      </c>
      <c r="R282" s="4" t="s">
        <v>79</v>
      </c>
      <c r="S282" s="4" t="s">
        <v>115</v>
      </c>
      <c r="T282" s="4" t="s">
        <v>80</v>
      </c>
      <c r="U282" s="6" t="s">
        <v>1322</v>
      </c>
      <c r="V282" s="4" t="s">
        <v>64</v>
      </c>
      <c r="AD282" s="57">
        <v>46089</v>
      </c>
      <c r="AE282">
        <v>88570</v>
      </c>
    </row>
    <row r="283" spans="1:31" x14ac:dyDescent="0.3">
      <c r="A283" s="7" t="s">
        <v>1323</v>
      </c>
      <c r="B283" s="8" t="s">
        <v>251</v>
      </c>
      <c r="C283" s="8" t="s">
        <v>40</v>
      </c>
      <c r="D283" s="53">
        <v>45906</v>
      </c>
      <c r="E283" s="49" t="s">
        <v>25</v>
      </c>
      <c r="F283" s="4" t="str">
        <f>TRIM(PROPER(Sales_Data!F283))</f>
        <v>Sneha Joshi</v>
      </c>
      <c r="G283" s="8" t="s">
        <v>28</v>
      </c>
      <c r="H283" s="8" t="s">
        <v>1325</v>
      </c>
      <c r="I283" s="8" t="s">
        <v>212</v>
      </c>
      <c r="J283" s="4" t="str">
        <f>PROPER(Sales_Data!J283)</f>
        <v>North</v>
      </c>
      <c r="K283" s="4" t="str">
        <f>PROPER(Sales_Data!K283)</f>
        <v>Electronics</v>
      </c>
      <c r="L283" s="8" t="s">
        <v>47</v>
      </c>
      <c r="M283" s="8">
        <v>1</v>
      </c>
      <c r="N283" s="8">
        <v>12000</v>
      </c>
      <c r="O283" s="8">
        <v>0</v>
      </c>
      <c r="P283" s="8">
        <v>12000</v>
      </c>
      <c r="Q283" s="8">
        <v>4</v>
      </c>
      <c r="R283" s="8" t="s">
        <v>48</v>
      </c>
      <c r="S283" s="8" t="s">
        <v>115</v>
      </c>
      <c r="T283" s="8" t="s">
        <v>256</v>
      </c>
      <c r="U283" s="9" t="s">
        <v>1326</v>
      </c>
      <c r="V283" s="8" t="s">
        <v>69</v>
      </c>
      <c r="AD283" s="57">
        <v>46092</v>
      </c>
      <c r="AE283">
        <v>157980</v>
      </c>
    </row>
    <row r="284" spans="1:31" x14ac:dyDescent="0.3">
      <c r="A284" s="3" t="s">
        <v>1327</v>
      </c>
      <c r="B284" s="4" t="s">
        <v>83</v>
      </c>
      <c r="C284" s="4" t="s">
        <v>184</v>
      </c>
      <c r="D284" s="52">
        <v>45770</v>
      </c>
      <c r="E284" s="48" t="s">
        <v>606</v>
      </c>
      <c r="F284" s="4" t="str">
        <f>TRIM(PROPER(Sales_Data!F284))</f>
        <v>Arjun Rao</v>
      </c>
      <c r="G284" s="4" t="s">
        <v>76</v>
      </c>
      <c r="H284" s="4" t="s">
        <v>1329</v>
      </c>
      <c r="I284" s="4" t="s">
        <v>105</v>
      </c>
      <c r="J284" s="4" t="str">
        <f>PROPER(Sales_Data!J284)</f>
        <v>West</v>
      </c>
      <c r="K284" s="4" t="str">
        <f>PROPER(Sales_Data!K284)</f>
        <v>Electronics</v>
      </c>
      <c r="L284" s="4" t="s">
        <v>189</v>
      </c>
      <c r="M284" s="4">
        <v>6</v>
      </c>
      <c r="N284" s="4">
        <v>700</v>
      </c>
      <c r="O284" s="4">
        <v>20</v>
      </c>
      <c r="P284" s="4">
        <v>3360</v>
      </c>
      <c r="Q284" s="4">
        <v>2</v>
      </c>
      <c r="R284" s="4" t="s">
        <v>48</v>
      </c>
      <c r="S284" s="4" t="s">
        <v>115</v>
      </c>
      <c r="T284" s="4" t="s">
        <v>89</v>
      </c>
      <c r="U284" s="6" t="s">
        <v>1330</v>
      </c>
      <c r="V284" s="4" t="s">
        <v>64</v>
      </c>
      <c r="AD284" s="57">
        <v>46094</v>
      </c>
      <c r="AE284">
        <v>305589.5</v>
      </c>
    </row>
    <row r="285" spans="1:31" x14ac:dyDescent="0.3">
      <c r="A285" s="7" t="s">
        <v>1331</v>
      </c>
      <c r="B285" s="8" t="s">
        <v>71</v>
      </c>
      <c r="C285" s="8" t="s">
        <v>24</v>
      </c>
      <c r="D285" s="53">
        <v>46074</v>
      </c>
      <c r="E285" s="49" t="s">
        <v>1332</v>
      </c>
      <c r="F285" s="4" t="str">
        <f>TRIM(PROPER(Sales_Data!F285))</f>
        <v>Mohit Verma</v>
      </c>
      <c r="G285" s="8" t="s">
        <v>76</v>
      </c>
      <c r="H285" s="8" t="s">
        <v>1333</v>
      </c>
      <c r="I285" s="8" t="s">
        <v>138</v>
      </c>
      <c r="J285" s="4" t="str">
        <f>PROPER(Sales_Data!J285)</f>
        <v>West</v>
      </c>
      <c r="K285" s="4" t="str">
        <f>PROPER(Sales_Data!K285)</f>
        <v>Home Appliances</v>
      </c>
      <c r="L285" s="8" t="s">
        <v>33</v>
      </c>
      <c r="M285" s="8">
        <v>3</v>
      </c>
      <c r="N285" s="8">
        <v>2200</v>
      </c>
      <c r="O285" s="8">
        <v>0</v>
      </c>
      <c r="P285" s="8">
        <v>6600</v>
      </c>
      <c r="Q285" s="8">
        <v>4</v>
      </c>
      <c r="R285" s="8" t="s">
        <v>79</v>
      </c>
      <c r="S285" s="8" t="s">
        <v>35</v>
      </c>
      <c r="T285" s="8" t="s">
        <v>80</v>
      </c>
      <c r="U285" s="9" t="s">
        <v>1334</v>
      </c>
      <c r="V285" s="8" t="s">
        <v>38</v>
      </c>
      <c r="AD285" s="57">
        <v>46095</v>
      </c>
      <c r="AE285">
        <v>140</v>
      </c>
    </row>
    <row r="286" spans="1:31" x14ac:dyDescent="0.3">
      <c r="A286" s="3" t="s">
        <v>1335</v>
      </c>
      <c r="B286" s="4" t="s">
        <v>251</v>
      </c>
      <c r="C286" s="4" t="s">
        <v>259</v>
      </c>
      <c r="D286" s="52">
        <v>46019</v>
      </c>
      <c r="E286" s="48" t="s">
        <v>216</v>
      </c>
      <c r="F286" s="4" t="str">
        <f>TRIM(PROPER(Sales_Data!F286))</f>
        <v>Sneha Joshi</v>
      </c>
      <c r="G286" s="4" t="s">
        <v>28</v>
      </c>
      <c r="H286" s="4" t="s">
        <v>1336</v>
      </c>
      <c r="I286" s="4" t="s">
        <v>30</v>
      </c>
      <c r="J286" s="4" t="str">
        <f>PROPER(Sales_Data!J286)</f>
        <v>South</v>
      </c>
      <c r="K286" s="4" t="str">
        <f>PROPER(Sales_Data!K286)</f>
        <v>Stationery</v>
      </c>
      <c r="L286" s="4" t="s">
        <v>263</v>
      </c>
      <c r="M286" s="4">
        <v>6</v>
      </c>
      <c r="N286" s="4">
        <v>45</v>
      </c>
      <c r="O286" s="4">
        <v>15</v>
      </c>
      <c r="P286" s="4">
        <v>229.5</v>
      </c>
      <c r="Q286" s="4">
        <v>1</v>
      </c>
      <c r="R286" s="4" t="s">
        <v>88</v>
      </c>
      <c r="S286" s="4" t="s">
        <v>49</v>
      </c>
      <c r="T286" s="4" t="s">
        <v>256</v>
      </c>
      <c r="U286" s="6" t="s">
        <v>1337</v>
      </c>
      <c r="V286" s="4" t="s">
        <v>38</v>
      </c>
      <c r="AD286" s="57">
        <v>46096</v>
      </c>
      <c r="AE286">
        <v>14820</v>
      </c>
    </row>
    <row r="287" spans="1:31" x14ac:dyDescent="0.3">
      <c r="A287" s="7" t="s">
        <v>1338</v>
      </c>
      <c r="B287" s="8" t="s">
        <v>251</v>
      </c>
      <c r="C287" s="8" t="s">
        <v>72</v>
      </c>
      <c r="D287" s="53">
        <v>45922</v>
      </c>
      <c r="E287" s="49" t="s">
        <v>1339</v>
      </c>
      <c r="F287" s="4" t="str">
        <f>TRIM(PROPER(Sales_Data!F287))</f>
        <v>Sneha Joshi</v>
      </c>
      <c r="G287" s="8" t="s">
        <v>28</v>
      </c>
      <c r="H287" s="8" t="s">
        <v>1340</v>
      </c>
      <c r="I287" s="8" t="s">
        <v>59</v>
      </c>
      <c r="J287" s="4" t="str">
        <f>PROPER(Sales_Data!J287)</f>
        <v>South</v>
      </c>
      <c r="K287" s="4" t="str">
        <f>PROPER(Sales_Data!K287)</f>
        <v>Electronics</v>
      </c>
      <c r="L287" s="8" t="s">
        <v>78</v>
      </c>
      <c r="M287" s="8">
        <v>2</v>
      </c>
      <c r="N287" s="8">
        <v>1200</v>
      </c>
      <c r="O287" s="8">
        <v>0</v>
      </c>
      <c r="P287" s="8">
        <v>2400</v>
      </c>
      <c r="Q287" s="8">
        <v>1</v>
      </c>
      <c r="R287" s="8" t="s">
        <v>34</v>
      </c>
      <c r="S287" s="8" t="s">
        <v>151</v>
      </c>
      <c r="T287" s="8" t="s">
        <v>256</v>
      </c>
      <c r="U287" s="9" t="s">
        <v>1341</v>
      </c>
      <c r="V287" s="8" t="s">
        <v>69</v>
      </c>
      <c r="AD287" s="57">
        <v>46097</v>
      </c>
      <c r="AE287">
        <v>54720</v>
      </c>
    </row>
    <row r="288" spans="1:31" x14ac:dyDescent="0.3">
      <c r="A288" s="3" t="s">
        <v>1342</v>
      </c>
      <c r="B288" s="4" t="s">
        <v>168</v>
      </c>
      <c r="C288" s="4" t="s">
        <v>184</v>
      </c>
      <c r="D288" s="52">
        <v>46150</v>
      </c>
      <c r="E288" s="48" t="s">
        <v>1344</v>
      </c>
      <c r="F288" s="4" t="str">
        <f>TRIM(PROPER(Sales_Data!F288))</f>
        <v>Anita Gupta</v>
      </c>
      <c r="G288" s="4" t="s">
        <v>28</v>
      </c>
      <c r="H288" s="4" t="s">
        <v>1345</v>
      </c>
      <c r="I288" s="4" t="s">
        <v>30</v>
      </c>
      <c r="J288" s="4" t="str">
        <f>PROPER(Sales_Data!J288)</f>
        <v>South</v>
      </c>
      <c r="K288" s="4" t="str">
        <f>PROPER(Sales_Data!K288)</f>
        <v>Electronics</v>
      </c>
      <c r="L288" s="4" t="s">
        <v>189</v>
      </c>
      <c r="M288" s="4">
        <v>14</v>
      </c>
      <c r="N288" s="4">
        <v>700</v>
      </c>
      <c r="O288" s="4">
        <v>15</v>
      </c>
      <c r="P288" s="4">
        <v>8330</v>
      </c>
      <c r="Q288" s="4">
        <v>5</v>
      </c>
      <c r="R288" s="4" t="s">
        <v>34</v>
      </c>
      <c r="S288" s="4" t="s">
        <v>115</v>
      </c>
      <c r="T288" s="4" t="s">
        <v>175</v>
      </c>
      <c r="U288" s="6" t="s">
        <v>1346</v>
      </c>
      <c r="V288" s="4" t="s">
        <v>64</v>
      </c>
      <c r="AD288" s="57">
        <v>46098</v>
      </c>
      <c r="AE288">
        <v>55970</v>
      </c>
    </row>
    <row r="289" spans="1:31" x14ac:dyDescent="0.3">
      <c r="A289" s="7" t="s">
        <v>1347</v>
      </c>
      <c r="B289" s="8" t="s">
        <v>100</v>
      </c>
      <c r="C289" s="8" t="s">
        <v>222</v>
      </c>
      <c r="D289" s="53">
        <v>45966</v>
      </c>
      <c r="E289" s="49" t="s">
        <v>507</v>
      </c>
      <c r="F289" s="4" t="str">
        <f>TRIM(PROPER(Sales_Data!F289))</f>
        <v>Priya Patel</v>
      </c>
      <c r="G289" s="8" t="s">
        <v>28</v>
      </c>
      <c r="H289" s="8" t="s">
        <v>1348</v>
      </c>
      <c r="I289" s="8" t="s">
        <v>105</v>
      </c>
      <c r="J289" s="4" t="str">
        <f>PROPER(Sales_Data!J289)</f>
        <v>West</v>
      </c>
      <c r="K289" s="4" t="str">
        <f>PROPER(Sales_Data!K289)</f>
        <v>Stationery</v>
      </c>
      <c r="L289" s="8" t="s">
        <v>227</v>
      </c>
      <c r="M289" s="8">
        <v>13</v>
      </c>
      <c r="N289" s="8">
        <v>20</v>
      </c>
      <c r="O289" s="8">
        <v>5</v>
      </c>
      <c r="P289" s="8">
        <v>247</v>
      </c>
      <c r="Q289" s="8">
        <v>1</v>
      </c>
      <c r="R289" s="8" t="s">
        <v>79</v>
      </c>
      <c r="S289" s="8" t="s">
        <v>35</v>
      </c>
      <c r="T289" s="8" t="s">
        <v>1349</v>
      </c>
      <c r="U289" s="9" t="s">
        <v>1350</v>
      </c>
      <c r="V289" s="8" t="s">
        <v>64</v>
      </c>
      <c r="AD289" s="57">
        <v>46102</v>
      </c>
      <c r="AE289">
        <v>11215</v>
      </c>
    </row>
    <row r="290" spans="1:31" x14ac:dyDescent="0.3">
      <c r="A290" s="3" t="s">
        <v>1351</v>
      </c>
      <c r="B290" s="4" t="s">
        <v>71</v>
      </c>
      <c r="C290" s="4" t="s">
        <v>24</v>
      </c>
      <c r="D290" s="52">
        <v>45724</v>
      </c>
      <c r="E290" s="48" t="s">
        <v>136</v>
      </c>
      <c r="F290" s="4" t="str">
        <f>TRIM(PROPER(Sales_Data!F290))</f>
        <v>Mohit Verma</v>
      </c>
      <c r="G290" s="4" t="s">
        <v>76</v>
      </c>
      <c r="H290" s="4" t="s">
        <v>1352</v>
      </c>
      <c r="I290" s="4" t="s">
        <v>114</v>
      </c>
      <c r="J290" s="4" t="str">
        <f>PROPER(Sales_Data!J290)</f>
        <v>West</v>
      </c>
      <c r="K290" s="4" t="str">
        <f>PROPER(Sales_Data!K290)</f>
        <v>Home Appliances</v>
      </c>
      <c r="L290" s="4" t="s">
        <v>33</v>
      </c>
      <c r="M290" s="4">
        <v>3</v>
      </c>
      <c r="N290" s="4">
        <v>2200</v>
      </c>
      <c r="O290" s="4">
        <v>0</v>
      </c>
      <c r="P290" s="4">
        <v>6600</v>
      </c>
      <c r="Q290" s="4">
        <v>4</v>
      </c>
      <c r="R290" s="4" t="s">
        <v>48</v>
      </c>
      <c r="S290" s="4" t="s">
        <v>61</v>
      </c>
      <c r="T290" s="4" t="s">
        <v>80</v>
      </c>
      <c r="U290" s="6" t="s">
        <v>1353</v>
      </c>
      <c r="V290" s="4" t="s">
        <v>69</v>
      </c>
      <c r="AD290" s="57">
        <v>46103</v>
      </c>
      <c r="AE290">
        <v>5600</v>
      </c>
    </row>
    <row r="291" spans="1:31" x14ac:dyDescent="0.3">
      <c r="A291" s="7" t="s">
        <v>1354</v>
      </c>
      <c r="B291" s="8" t="s">
        <v>71</v>
      </c>
      <c r="C291" s="8" t="s">
        <v>118</v>
      </c>
      <c r="D291" s="53">
        <v>46062</v>
      </c>
      <c r="E291" s="49" t="s">
        <v>923</v>
      </c>
      <c r="F291" s="4" t="str">
        <f>TRIM(PROPER(Sales_Data!F291))</f>
        <v>Mohit Verma</v>
      </c>
      <c r="G291" s="8" t="s">
        <v>76</v>
      </c>
      <c r="H291" s="8" t="s">
        <v>1355</v>
      </c>
      <c r="I291" s="8" t="s">
        <v>114</v>
      </c>
      <c r="J291" s="4" t="str">
        <f>PROPER(Sales_Data!J291)</f>
        <v>West</v>
      </c>
      <c r="K291" s="4" t="str">
        <f>PROPER(Sales_Data!K291)</f>
        <v>Stationery</v>
      </c>
      <c r="L291" s="8" t="s">
        <v>123</v>
      </c>
      <c r="M291" s="8">
        <v>3</v>
      </c>
      <c r="N291" s="8">
        <v>60</v>
      </c>
      <c r="O291" s="8">
        <v>15</v>
      </c>
      <c r="P291" s="8">
        <v>153</v>
      </c>
      <c r="Q291" s="8">
        <v>4</v>
      </c>
      <c r="R291" s="8" t="s">
        <v>88</v>
      </c>
      <c r="S291" s="8" t="s">
        <v>115</v>
      </c>
      <c r="T291" s="8" t="s">
        <v>80</v>
      </c>
      <c r="U291" s="9" t="s">
        <v>1356</v>
      </c>
      <c r="V291" s="8" t="s">
        <v>38</v>
      </c>
      <c r="AD291" s="57">
        <v>46104</v>
      </c>
      <c r="AE291">
        <v>990000</v>
      </c>
    </row>
    <row r="292" spans="1:31" x14ac:dyDescent="0.3">
      <c r="A292" s="3" t="s">
        <v>1357</v>
      </c>
      <c r="B292" s="4" t="s">
        <v>127</v>
      </c>
      <c r="C292" s="4" t="s">
        <v>92</v>
      </c>
      <c r="D292" s="52">
        <v>45733</v>
      </c>
      <c r="E292" s="48" t="s">
        <v>825</v>
      </c>
      <c r="F292" s="4" t="str">
        <f>TRIM(PROPER(Sales_Data!F292))</f>
        <v>Rohit Singh</v>
      </c>
      <c r="G292" s="4" t="s">
        <v>76</v>
      </c>
      <c r="H292" s="4" t="s">
        <v>584</v>
      </c>
      <c r="I292" s="4" t="s">
        <v>105</v>
      </c>
      <c r="J292" s="4" t="str">
        <f>PROPER(Sales_Data!J292)</f>
        <v>West</v>
      </c>
      <c r="K292" s="4" t="str">
        <f>PROPER(Sales_Data!K292)</f>
        <v>Home Appliances</v>
      </c>
      <c r="L292" s="4" t="s">
        <v>97</v>
      </c>
      <c r="M292" s="4">
        <v>9</v>
      </c>
      <c r="N292" s="4">
        <v>3500</v>
      </c>
      <c r="O292" s="4">
        <v>5</v>
      </c>
      <c r="P292" s="4">
        <v>29925</v>
      </c>
      <c r="Q292" s="4">
        <v>1</v>
      </c>
      <c r="R292" s="4" t="s">
        <v>34</v>
      </c>
      <c r="S292" s="4" t="s">
        <v>61</v>
      </c>
      <c r="T292" s="4" t="s">
        <v>132</v>
      </c>
      <c r="U292" s="6" t="s">
        <v>1358</v>
      </c>
      <c r="V292" s="4" t="s">
        <v>64</v>
      </c>
      <c r="AD292" s="57">
        <v>46105</v>
      </c>
      <c r="AE292">
        <v>4902</v>
      </c>
    </row>
    <row r="293" spans="1:31" x14ac:dyDescent="0.3">
      <c r="A293" s="7" t="s">
        <v>1359</v>
      </c>
      <c r="B293" s="8" t="s">
        <v>327</v>
      </c>
      <c r="C293" s="8" t="s">
        <v>72</v>
      </c>
      <c r="D293" s="53">
        <v>45743</v>
      </c>
      <c r="E293" s="49" t="s">
        <v>1360</v>
      </c>
      <c r="F293" s="4" t="str">
        <f>TRIM(PROPER(Sales_Data!F293))</f>
        <v>Amit Sharma</v>
      </c>
      <c r="G293" s="8" t="s">
        <v>76</v>
      </c>
      <c r="H293" s="8" t="s">
        <v>1361</v>
      </c>
      <c r="I293" s="8" t="s">
        <v>212</v>
      </c>
      <c r="J293" s="4" t="str">
        <f>PROPER(Sales_Data!J293)</f>
        <v>North</v>
      </c>
      <c r="K293" s="4" t="str">
        <f>PROPER(Sales_Data!K293)</f>
        <v>Electronics</v>
      </c>
      <c r="L293" s="8" t="s">
        <v>78</v>
      </c>
      <c r="M293" s="8">
        <v>5</v>
      </c>
      <c r="N293" s="8">
        <v>1200</v>
      </c>
      <c r="O293" s="8">
        <v>20</v>
      </c>
      <c r="P293" s="8">
        <v>4800</v>
      </c>
      <c r="Q293" s="8">
        <v>2</v>
      </c>
      <c r="R293" s="8" t="s">
        <v>88</v>
      </c>
      <c r="S293" s="8" t="s">
        <v>115</v>
      </c>
      <c r="T293" s="8" t="s">
        <v>332</v>
      </c>
      <c r="U293" s="9" t="s">
        <v>1362</v>
      </c>
      <c r="V293" s="8" t="s">
        <v>64</v>
      </c>
      <c r="AD293" s="57">
        <v>46107</v>
      </c>
      <c r="AE293">
        <v>33250</v>
      </c>
    </row>
    <row r="294" spans="1:31" x14ac:dyDescent="0.3">
      <c r="A294" s="3" t="s">
        <v>1363</v>
      </c>
      <c r="B294" s="4" t="s">
        <v>53</v>
      </c>
      <c r="C294" s="4" t="s">
        <v>72</v>
      </c>
      <c r="D294" s="52">
        <v>45728</v>
      </c>
      <c r="E294" s="48" t="s">
        <v>910</v>
      </c>
      <c r="F294" s="4" t="str">
        <f>TRIM(PROPER(Sales_Data!F294))</f>
        <v>Pooja Shah</v>
      </c>
      <c r="G294" s="4" t="s">
        <v>28</v>
      </c>
      <c r="H294" s="4" t="s">
        <v>1364</v>
      </c>
      <c r="I294" s="4" t="s">
        <v>212</v>
      </c>
      <c r="J294" s="4" t="str">
        <f>PROPER(Sales_Data!J294)</f>
        <v>North</v>
      </c>
      <c r="K294" s="4" t="str">
        <f>PROPER(Sales_Data!K294)</f>
        <v>Electronics</v>
      </c>
      <c r="L294" s="4" t="s">
        <v>78</v>
      </c>
      <c r="M294" s="4">
        <v>10</v>
      </c>
      <c r="N294" s="4">
        <v>1200</v>
      </c>
      <c r="O294" s="4">
        <v>20</v>
      </c>
      <c r="P294" s="4">
        <v>9600</v>
      </c>
      <c r="Q294" s="4">
        <v>4</v>
      </c>
      <c r="R294" s="4" t="s">
        <v>34</v>
      </c>
      <c r="S294" s="4" t="s">
        <v>49</v>
      </c>
      <c r="T294" s="5" t="s">
        <v>1365</v>
      </c>
      <c r="U294" s="6" t="s">
        <v>1366</v>
      </c>
      <c r="V294" s="4" t="s">
        <v>38</v>
      </c>
      <c r="AD294" s="57">
        <v>46108</v>
      </c>
      <c r="AE294">
        <v>10500</v>
      </c>
    </row>
    <row r="295" spans="1:31" x14ac:dyDescent="0.3">
      <c r="A295" s="7" t="s">
        <v>1367</v>
      </c>
      <c r="B295" s="8" t="s">
        <v>23</v>
      </c>
      <c r="C295" s="8" t="s">
        <v>72</v>
      </c>
      <c r="D295" s="53">
        <v>46066</v>
      </c>
      <c r="E295" s="49" t="s">
        <v>1369</v>
      </c>
      <c r="F295" s="4" t="str">
        <f>TRIM(PROPER(Sales_Data!F295))</f>
        <v>Kavya Nair</v>
      </c>
      <c r="G295" s="8" t="s">
        <v>28</v>
      </c>
      <c r="H295" s="8" t="s">
        <v>1370</v>
      </c>
      <c r="I295" s="8" t="s">
        <v>138</v>
      </c>
      <c r="J295" s="4" t="str">
        <f>PROPER(Sales_Data!J295)</f>
        <v>West</v>
      </c>
      <c r="K295" s="4" t="str">
        <f>PROPER(Sales_Data!K295)</f>
        <v>Electronics</v>
      </c>
      <c r="L295" s="8" t="s">
        <v>78</v>
      </c>
      <c r="M295" s="8">
        <v>5</v>
      </c>
      <c r="N295" s="8">
        <v>1200</v>
      </c>
      <c r="O295" s="8">
        <v>20</v>
      </c>
      <c r="P295" s="8">
        <v>4800</v>
      </c>
      <c r="Q295" s="8">
        <v>3</v>
      </c>
      <c r="R295" s="8" t="s">
        <v>48</v>
      </c>
      <c r="S295" s="8" t="s">
        <v>151</v>
      </c>
      <c r="T295" s="8" t="s">
        <v>50</v>
      </c>
      <c r="U295" s="9" t="s">
        <v>1371</v>
      </c>
      <c r="V295" s="8" t="s">
        <v>38</v>
      </c>
      <c r="AD295" s="57">
        <v>46110</v>
      </c>
      <c r="AE295">
        <v>420750</v>
      </c>
    </row>
    <row r="296" spans="1:31" x14ac:dyDescent="0.3">
      <c r="A296" s="3" t="s">
        <v>1372</v>
      </c>
      <c r="B296" s="4" t="s">
        <v>168</v>
      </c>
      <c r="C296" s="4" t="s">
        <v>222</v>
      </c>
      <c r="D296" s="52">
        <v>45699</v>
      </c>
      <c r="E296" s="48" t="s">
        <v>1374</v>
      </c>
      <c r="F296" s="4" t="str">
        <f>TRIM(PROPER(Sales_Data!F296))</f>
        <v>Anita Gupta</v>
      </c>
      <c r="G296" s="4" t="s">
        <v>28</v>
      </c>
      <c r="H296" s="4" t="s">
        <v>1375</v>
      </c>
      <c r="I296" s="4" t="s">
        <v>105</v>
      </c>
      <c r="J296" s="4" t="str">
        <f>PROPER(Sales_Data!J296)</f>
        <v>West</v>
      </c>
      <c r="K296" s="4" t="str">
        <f>PROPER(Sales_Data!K296)</f>
        <v>Stationery</v>
      </c>
      <c r="L296" s="4" t="s">
        <v>227</v>
      </c>
      <c r="M296" s="4">
        <v>10</v>
      </c>
      <c r="N296" s="4">
        <v>20</v>
      </c>
      <c r="O296" s="4">
        <v>5</v>
      </c>
      <c r="P296" s="4">
        <v>190</v>
      </c>
      <c r="Q296" s="4">
        <v>4</v>
      </c>
      <c r="R296" s="4" t="s">
        <v>34</v>
      </c>
      <c r="S296" s="4" t="s">
        <v>151</v>
      </c>
      <c r="T296" s="4" t="s">
        <v>175</v>
      </c>
      <c r="U296" s="6" t="s">
        <v>1376</v>
      </c>
      <c r="V296" s="4" t="s">
        <v>64</v>
      </c>
      <c r="AD296" s="57">
        <v>46113</v>
      </c>
      <c r="AE296">
        <v>990969</v>
      </c>
    </row>
    <row r="297" spans="1:31" x14ac:dyDescent="0.3">
      <c r="A297" s="7" t="s">
        <v>1377</v>
      </c>
      <c r="B297" s="8" t="s">
        <v>100</v>
      </c>
      <c r="C297" s="8" t="s">
        <v>118</v>
      </c>
      <c r="D297" s="53">
        <v>45674</v>
      </c>
      <c r="E297" s="49" t="s">
        <v>1379</v>
      </c>
      <c r="F297" s="4" t="str">
        <f>TRIM(PROPER(Sales_Data!F297))</f>
        <v>Priya Patel</v>
      </c>
      <c r="G297" s="8" t="s">
        <v>28</v>
      </c>
      <c r="H297" s="8" t="s">
        <v>1380</v>
      </c>
      <c r="I297" s="8" t="s">
        <v>44</v>
      </c>
      <c r="J297" s="4" t="str">
        <f>PROPER(Sales_Data!J297)</f>
        <v>North</v>
      </c>
      <c r="K297" s="4" t="str">
        <f>PROPER(Sales_Data!K297)</f>
        <v>Stationery</v>
      </c>
      <c r="L297" s="8" t="s">
        <v>123</v>
      </c>
      <c r="M297" s="8">
        <v>20</v>
      </c>
      <c r="N297" s="8">
        <v>60</v>
      </c>
      <c r="O297" s="8">
        <v>15</v>
      </c>
      <c r="P297" s="8">
        <v>1020</v>
      </c>
      <c r="Q297" s="8">
        <v>5</v>
      </c>
      <c r="R297" s="8" t="s">
        <v>79</v>
      </c>
      <c r="S297" s="8" t="s">
        <v>35</v>
      </c>
      <c r="T297" s="8" t="s">
        <v>144</v>
      </c>
      <c r="U297" s="9" t="s">
        <v>1381</v>
      </c>
      <c r="V297" s="8" t="s">
        <v>64</v>
      </c>
      <c r="AD297" s="57">
        <v>46114</v>
      </c>
      <c r="AE297">
        <v>3600</v>
      </c>
    </row>
    <row r="298" spans="1:31" x14ac:dyDescent="0.3">
      <c r="A298" s="3" t="s">
        <v>1382</v>
      </c>
      <c r="B298" s="4" t="s">
        <v>327</v>
      </c>
      <c r="C298" s="4" t="s">
        <v>24</v>
      </c>
      <c r="D298" s="52">
        <v>45748</v>
      </c>
      <c r="E298" s="48" t="s">
        <v>577</v>
      </c>
      <c r="F298" s="4" t="str">
        <f>TRIM(PROPER(Sales_Data!F298))</f>
        <v>Amit Sharma</v>
      </c>
      <c r="G298" s="4" t="s">
        <v>76</v>
      </c>
      <c r="H298" s="4" t="s">
        <v>1383</v>
      </c>
      <c r="I298" s="4" t="s">
        <v>138</v>
      </c>
      <c r="J298" s="4" t="str">
        <f>PROPER(Sales_Data!J298)</f>
        <v>West</v>
      </c>
      <c r="K298" s="4" t="str">
        <f>PROPER(Sales_Data!K298)</f>
        <v>Home Appliances</v>
      </c>
      <c r="L298" s="4" t="s">
        <v>33</v>
      </c>
      <c r="M298" s="4">
        <v>7</v>
      </c>
      <c r="N298" s="4">
        <v>2200</v>
      </c>
      <c r="O298" s="4">
        <v>15</v>
      </c>
      <c r="P298" s="4">
        <v>13090</v>
      </c>
      <c r="Q298" s="4">
        <v>4</v>
      </c>
      <c r="R298" s="4" t="s">
        <v>34</v>
      </c>
      <c r="S298" s="4" t="s">
        <v>61</v>
      </c>
      <c r="T298" s="4" t="s">
        <v>332</v>
      </c>
      <c r="U298" s="6" t="s">
        <v>1384</v>
      </c>
      <c r="V298" s="4" t="s">
        <v>69</v>
      </c>
      <c r="AD298" s="57">
        <v>46115</v>
      </c>
      <c r="AE298">
        <v>513</v>
      </c>
    </row>
    <row r="299" spans="1:31" x14ac:dyDescent="0.3">
      <c r="A299" s="7" t="s">
        <v>1385</v>
      </c>
      <c r="B299" s="8" t="s">
        <v>127</v>
      </c>
      <c r="C299" s="8" t="s">
        <v>54</v>
      </c>
      <c r="D299" s="53">
        <v>45670</v>
      </c>
      <c r="E299" s="49" t="s">
        <v>760</v>
      </c>
      <c r="F299" s="4" t="str">
        <f>TRIM(PROPER(Sales_Data!F299))</f>
        <v>Rohit Singh</v>
      </c>
      <c r="G299" s="8" t="s">
        <v>76</v>
      </c>
      <c r="H299" s="8" t="s">
        <v>1386</v>
      </c>
      <c r="I299" s="8" t="s">
        <v>30</v>
      </c>
      <c r="J299" s="4" t="str">
        <f>PROPER(Sales_Data!J299)</f>
        <v>South</v>
      </c>
      <c r="K299" s="4" t="str">
        <f>PROPER(Sales_Data!K299)</f>
        <v>Electronics</v>
      </c>
      <c r="L299" s="8" t="s">
        <v>60</v>
      </c>
      <c r="M299" s="8">
        <v>11</v>
      </c>
      <c r="N299" s="8">
        <v>55000</v>
      </c>
      <c r="O299" s="8">
        <v>5</v>
      </c>
      <c r="P299" s="8">
        <v>574750</v>
      </c>
      <c r="Q299" s="8">
        <v>1</v>
      </c>
      <c r="R299" s="8" t="s">
        <v>88</v>
      </c>
      <c r="S299" s="8" t="s">
        <v>35</v>
      </c>
      <c r="T299" s="8" t="s">
        <v>132</v>
      </c>
      <c r="U299" s="9" t="s">
        <v>1387</v>
      </c>
      <c r="V299" s="8" t="s">
        <v>69</v>
      </c>
      <c r="AD299" s="57">
        <v>46116</v>
      </c>
      <c r="AE299">
        <v>64851</v>
      </c>
    </row>
    <row r="300" spans="1:31" x14ac:dyDescent="0.3">
      <c r="A300" s="3" t="s">
        <v>1388</v>
      </c>
      <c r="B300" s="4" t="s">
        <v>83</v>
      </c>
      <c r="C300" s="4" t="s">
        <v>92</v>
      </c>
      <c r="D300" s="52">
        <v>45935</v>
      </c>
      <c r="E300" s="48" t="s">
        <v>1389</v>
      </c>
      <c r="F300" s="4" t="str">
        <f>TRIM(PROPER(Sales_Data!F300))</f>
        <v>Arjun Rao</v>
      </c>
      <c r="G300" s="4" t="s">
        <v>76</v>
      </c>
      <c r="H300" s="4" t="s">
        <v>1390</v>
      </c>
      <c r="I300" s="4" t="s">
        <v>212</v>
      </c>
      <c r="J300" s="4" t="str">
        <f>PROPER(Sales_Data!J300)</f>
        <v>North</v>
      </c>
      <c r="K300" s="4" t="str">
        <f>PROPER(Sales_Data!K300)</f>
        <v>Home Appliances</v>
      </c>
      <c r="L300" s="4" t="s">
        <v>97</v>
      </c>
      <c r="M300" s="4">
        <v>12</v>
      </c>
      <c r="N300" s="4">
        <v>3500</v>
      </c>
      <c r="O300" s="4">
        <v>0</v>
      </c>
      <c r="P300" s="4">
        <v>42000</v>
      </c>
      <c r="Q300" s="4">
        <v>2</v>
      </c>
      <c r="R300" s="4" t="s">
        <v>48</v>
      </c>
      <c r="S300" s="4" t="s">
        <v>2140</v>
      </c>
      <c r="T300" s="4" t="s">
        <v>89</v>
      </c>
      <c r="U300" s="6" t="s">
        <v>1391</v>
      </c>
      <c r="V300" s="4" t="s">
        <v>64</v>
      </c>
      <c r="AD300" s="57">
        <v>46118</v>
      </c>
      <c r="AE300">
        <v>10710</v>
      </c>
    </row>
    <row r="301" spans="1:31" x14ac:dyDescent="0.3">
      <c r="A301" s="7" t="s">
        <v>1392</v>
      </c>
      <c r="B301" s="8" t="s">
        <v>71</v>
      </c>
      <c r="C301" s="8" t="s">
        <v>259</v>
      </c>
      <c r="D301" s="53">
        <v>46078</v>
      </c>
      <c r="E301" s="49" t="s">
        <v>298</v>
      </c>
      <c r="F301" s="4" t="str">
        <f>TRIM(PROPER(Sales_Data!F301))</f>
        <v>Mohit Verma</v>
      </c>
      <c r="G301" s="8" t="s">
        <v>76</v>
      </c>
      <c r="H301" s="8" t="s">
        <v>1393</v>
      </c>
      <c r="I301" s="8" t="s">
        <v>30</v>
      </c>
      <c r="J301" s="4" t="str">
        <f>PROPER(Sales_Data!J301)</f>
        <v>South</v>
      </c>
      <c r="K301" s="4" t="str">
        <f>PROPER(Sales_Data!K301)</f>
        <v>Stationery</v>
      </c>
      <c r="L301" s="8" t="s">
        <v>263</v>
      </c>
      <c r="M301" s="8">
        <v>15</v>
      </c>
      <c r="N301" s="8">
        <v>45</v>
      </c>
      <c r="O301" s="8">
        <v>10</v>
      </c>
      <c r="P301" s="8">
        <v>607.5</v>
      </c>
      <c r="Q301" s="8">
        <v>2</v>
      </c>
      <c r="R301" s="8" t="s">
        <v>34</v>
      </c>
      <c r="S301" s="8" t="s">
        <v>151</v>
      </c>
      <c r="T301" s="8" t="s">
        <v>80</v>
      </c>
      <c r="U301" s="9" t="s">
        <v>1394</v>
      </c>
      <c r="V301" s="8" t="s">
        <v>64</v>
      </c>
      <c r="AD301" s="57">
        <v>46119</v>
      </c>
      <c r="AE301">
        <v>65025</v>
      </c>
    </row>
    <row r="302" spans="1:31" x14ac:dyDescent="0.3">
      <c r="A302" s="3" t="s">
        <v>1395</v>
      </c>
      <c r="B302" s="4" t="s">
        <v>327</v>
      </c>
      <c r="C302" s="4" t="s">
        <v>259</v>
      </c>
      <c r="D302" s="52">
        <v>45793</v>
      </c>
      <c r="E302" s="48" t="s">
        <v>936</v>
      </c>
      <c r="F302" s="4" t="str">
        <f>TRIM(PROPER(Sales_Data!F302))</f>
        <v>Amit Sharma</v>
      </c>
      <c r="G302" s="4" t="s">
        <v>76</v>
      </c>
      <c r="H302" s="4" t="s">
        <v>1396</v>
      </c>
      <c r="I302" s="4" t="s">
        <v>59</v>
      </c>
      <c r="J302" s="4" t="str">
        <f>PROPER(Sales_Data!J302)</f>
        <v>South</v>
      </c>
      <c r="K302" s="4" t="str">
        <f>PROPER(Sales_Data!K302)</f>
        <v>Stationery</v>
      </c>
      <c r="L302" s="4" t="s">
        <v>263</v>
      </c>
      <c r="M302" s="4">
        <v>13</v>
      </c>
      <c r="N302" s="4">
        <v>45</v>
      </c>
      <c r="O302" s="4">
        <v>0</v>
      </c>
      <c r="P302" s="4">
        <v>585</v>
      </c>
      <c r="Q302" s="4">
        <v>5</v>
      </c>
      <c r="R302" s="4" t="s">
        <v>48</v>
      </c>
      <c r="S302" s="4" t="s">
        <v>49</v>
      </c>
      <c r="T302" s="4" t="s">
        <v>332</v>
      </c>
      <c r="U302" s="6" t="s">
        <v>1397</v>
      </c>
      <c r="V302" s="4" t="s">
        <v>64</v>
      </c>
      <c r="AD302" s="57">
        <v>46120</v>
      </c>
      <c r="AE302">
        <v>26220</v>
      </c>
    </row>
    <row r="303" spans="1:31" x14ac:dyDescent="0.3">
      <c r="A303" s="7" t="s">
        <v>1398</v>
      </c>
      <c r="B303" s="8" t="s">
        <v>127</v>
      </c>
      <c r="C303" s="8" t="s">
        <v>54</v>
      </c>
      <c r="D303" s="53">
        <v>46024</v>
      </c>
      <c r="E303" s="49" t="s">
        <v>1199</v>
      </c>
      <c r="F303" s="4" t="str">
        <f>TRIM(PROPER(Sales_Data!F303))</f>
        <v>Rohit Singh</v>
      </c>
      <c r="G303" s="8" t="s">
        <v>76</v>
      </c>
      <c r="H303" s="8" t="s">
        <v>1399</v>
      </c>
      <c r="I303" s="8" t="s">
        <v>59</v>
      </c>
      <c r="J303" s="4" t="str">
        <f>PROPER(Sales_Data!J303)</f>
        <v>South</v>
      </c>
      <c r="K303" s="4" t="str">
        <f>PROPER(Sales_Data!K303)</f>
        <v>Electronics</v>
      </c>
      <c r="L303" s="8" t="s">
        <v>60</v>
      </c>
      <c r="M303" s="8">
        <v>8</v>
      </c>
      <c r="N303" s="8">
        <v>55000</v>
      </c>
      <c r="O303" s="8">
        <v>0</v>
      </c>
      <c r="P303" s="8">
        <v>440000</v>
      </c>
      <c r="Q303" s="8">
        <v>2</v>
      </c>
      <c r="R303" s="8" t="s">
        <v>88</v>
      </c>
      <c r="S303" s="8" t="s">
        <v>151</v>
      </c>
      <c r="T303" s="8" t="s">
        <v>132</v>
      </c>
      <c r="U303" s="9" t="s">
        <v>1400</v>
      </c>
      <c r="V303" s="8" t="s">
        <v>69</v>
      </c>
      <c r="AD303" s="57">
        <v>46121</v>
      </c>
      <c r="AE303">
        <v>138</v>
      </c>
    </row>
    <row r="304" spans="1:31" x14ac:dyDescent="0.3">
      <c r="A304" s="3" t="s">
        <v>1401</v>
      </c>
      <c r="B304" s="4" t="s">
        <v>251</v>
      </c>
      <c r="C304" s="4" t="s">
        <v>54</v>
      </c>
      <c r="D304" s="52">
        <v>45861</v>
      </c>
      <c r="E304" s="48" t="s">
        <v>381</v>
      </c>
      <c r="F304" s="4" t="str">
        <f>TRIM(PROPER(Sales_Data!F304))</f>
        <v>Sneha Joshi</v>
      </c>
      <c r="G304" s="4" t="s">
        <v>28</v>
      </c>
      <c r="H304" s="4" t="s">
        <v>1402</v>
      </c>
      <c r="I304" s="4" t="s">
        <v>44</v>
      </c>
      <c r="J304" s="4" t="str">
        <f>PROPER(Sales_Data!J304)</f>
        <v>North</v>
      </c>
      <c r="K304" s="4" t="str">
        <f>PROPER(Sales_Data!K304)</f>
        <v>Electronics</v>
      </c>
      <c r="L304" s="4" t="s">
        <v>60</v>
      </c>
      <c r="M304" s="4">
        <v>4</v>
      </c>
      <c r="N304" s="4">
        <v>55000</v>
      </c>
      <c r="O304" s="4">
        <v>20</v>
      </c>
      <c r="P304" s="4">
        <v>176000</v>
      </c>
      <c r="Q304" s="4">
        <v>5</v>
      </c>
      <c r="R304" s="4" t="s">
        <v>34</v>
      </c>
      <c r="S304" s="4" t="s">
        <v>49</v>
      </c>
      <c r="T304" s="4" t="s">
        <v>256</v>
      </c>
      <c r="U304" s="6" t="s">
        <v>1403</v>
      </c>
      <c r="V304" s="4" t="s">
        <v>64</v>
      </c>
      <c r="AD304" s="57">
        <v>46123</v>
      </c>
      <c r="AE304">
        <v>28900</v>
      </c>
    </row>
    <row r="305" spans="1:31" x14ac:dyDescent="0.3">
      <c r="A305" s="7" t="s">
        <v>1404</v>
      </c>
      <c r="B305" s="8" t="s">
        <v>23</v>
      </c>
      <c r="C305" s="8" t="s">
        <v>92</v>
      </c>
      <c r="D305" s="53">
        <v>46135</v>
      </c>
      <c r="E305" s="49" t="s">
        <v>716</v>
      </c>
      <c r="F305" s="4" t="str">
        <f>TRIM(PROPER(Sales_Data!F305))</f>
        <v>Kavya Nair</v>
      </c>
      <c r="G305" s="8" t="s">
        <v>28</v>
      </c>
      <c r="H305" s="8" t="s">
        <v>1406</v>
      </c>
      <c r="I305" s="8" t="s">
        <v>138</v>
      </c>
      <c r="J305" s="4" t="str">
        <f>PROPER(Sales_Data!J305)</f>
        <v>West</v>
      </c>
      <c r="K305" s="4" t="str">
        <f>PROPER(Sales_Data!K305)</f>
        <v>Home Appliances</v>
      </c>
      <c r="L305" s="8" t="s">
        <v>97</v>
      </c>
      <c r="M305" s="8">
        <v>19</v>
      </c>
      <c r="N305" s="8">
        <v>3500</v>
      </c>
      <c r="O305" s="8">
        <v>5</v>
      </c>
      <c r="P305" s="8">
        <v>63175</v>
      </c>
      <c r="Q305" s="8">
        <v>1</v>
      </c>
      <c r="R305" s="8" t="s">
        <v>79</v>
      </c>
      <c r="S305" s="8" t="s">
        <v>115</v>
      </c>
      <c r="T305" s="8" t="s">
        <v>50</v>
      </c>
      <c r="U305" s="9" t="s">
        <v>1407</v>
      </c>
      <c r="V305" s="8" t="s">
        <v>38</v>
      </c>
      <c r="AD305" s="57">
        <v>46127</v>
      </c>
      <c r="AE305">
        <v>59850</v>
      </c>
    </row>
    <row r="306" spans="1:31" x14ac:dyDescent="0.3">
      <c r="A306" s="3" t="s">
        <v>1408</v>
      </c>
      <c r="B306" s="4" t="s">
        <v>221</v>
      </c>
      <c r="C306" s="4" t="s">
        <v>72</v>
      </c>
      <c r="D306" s="52">
        <v>45718</v>
      </c>
      <c r="E306" s="48" t="s">
        <v>414</v>
      </c>
      <c r="F306" s="4" t="str">
        <f>TRIM(PROPER(Sales_Data!F306))</f>
        <v>Vikas Mehta</v>
      </c>
      <c r="G306" s="4" t="s">
        <v>76</v>
      </c>
      <c r="H306" s="4" t="s">
        <v>1410</v>
      </c>
      <c r="I306" s="4" t="s">
        <v>212</v>
      </c>
      <c r="J306" s="4" t="str">
        <f>PROPER(Sales_Data!J306)</f>
        <v>North</v>
      </c>
      <c r="K306" s="4" t="str">
        <f>PROPER(Sales_Data!K306)</f>
        <v>Electronics</v>
      </c>
      <c r="L306" s="4" t="s">
        <v>78</v>
      </c>
      <c r="M306" s="4">
        <v>17</v>
      </c>
      <c r="N306" s="4">
        <v>1200</v>
      </c>
      <c r="O306" s="4">
        <v>15</v>
      </c>
      <c r="P306" s="4">
        <v>17340</v>
      </c>
      <c r="Q306" s="4">
        <v>2</v>
      </c>
      <c r="R306" s="4" t="s">
        <v>48</v>
      </c>
      <c r="S306" s="4" t="s">
        <v>49</v>
      </c>
      <c r="T306" s="4" t="s">
        <v>228</v>
      </c>
      <c r="U306" s="6" t="s">
        <v>1411</v>
      </c>
      <c r="V306" s="4" t="s">
        <v>38</v>
      </c>
      <c r="AD306" s="57">
        <v>46128</v>
      </c>
      <c r="AE306">
        <v>24310</v>
      </c>
    </row>
    <row r="307" spans="1:31" x14ac:dyDescent="0.3">
      <c r="A307" s="7" t="s">
        <v>1412</v>
      </c>
      <c r="B307" s="8" t="s">
        <v>23</v>
      </c>
      <c r="C307" s="8" t="s">
        <v>24</v>
      </c>
      <c r="D307" s="53">
        <v>46062</v>
      </c>
      <c r="E307" s="49" t="s">
        <v>736</v>
      </c>
      <c r="F307" s="4" t="str">
        <f>TRIM(PROPER(Sales_Data!F307))</f>
        <v>Kavya Nair</v>
      </c>
      <c r="G307" s="8" t="s">
        <v>28</v>
      </c>
      <c r="H307" s="8" t="s">
        <v>1413</v>
      </c>
      <c r="I307" s="8" t="s">
        <v>30</v>
      </c>
      <c r="J307" s="4" t="str">
        <f>PROPER(Sales_Data!J307)</f>
        <v>South</v>
      </c>
      <c r="K307" s="4" t="str">
        <f>PROPER(Sales_Data!K307)</f>
        <v>Home Appliances</v>
      </c>
      <c r="L307" s="8" t="s">
        <v>33</v>
      </c>
      <c r="M307" s="8">
        <v>8</v>
      </c>
      <c r="N307" s="8">
        <v>2200</v>
      </c>
      <c r="O307" s="8">
        <v>5</v>
      </c>
      <c r="P307" s="8">
        <v>16720</v>
      </c>
      <c r="Q307" s="8">
        <v>3</v>
      </c>
      <c r="R307" s="8" t="s">
        <v>79</v>
      </c>
      <c r="S307" s="8" t="s">
        <v>115</v>
      </c>
      <c r="T307" s="8" t="s">
        <v>50</v>
      </c>
      <c r="U307" s="9" t="s">
        <v>1414</v>
      </c>
      <c r="V307" s="8" t="s">
        <v>64</v>
      </c>
      <c r="AD307" s="57">
        <v>46129</v>
      </c>
      <c r="AE307">
        <v>115200</v>
      </c>
    </row>
    <row r="308" spans="1:31" x14ac:dyDescent="0.3">
      <c r="A308" s="3" t="s">
        <v>1415</v>
      </c>
      <c r="B308" s="4" t="s">
        <v>251</v>
      </c>
      <c r="C308" s="4" t="s">
        <v>184</v>
      </c>
      <c r="D308" s="52">
        <v>45704</v>
      </c>
      <c r="E308" s="48" t="s">
        <v>387</v>
      </c>
      <c r="F308" s="4" t="str">
        <f>TRIM(PROPER(Sales_Data!F308))</f>
        <v>Sneha Joshi</v>
      </c>
      <c r="G308" s="4" t="s">
        <v>28</v>
      </c>
      <c r="H308" s="4" t="s">
        <v>813</v>
      </c>
      <c r="I308" s="4" t="s">
        <v>105</v>
      </c>
      <c r="J308" s="4" t="str">
        <f>PROPER(Sales_Data!J308)</f>
        <v>West</v>
      </c>
      <c r="K308" s="4" t="str">
        <f>PROPER(Sales_Data!K308)</f>
        <v>Electronics</v>
      </c>
      <c r="L308" s="4" t="s">
        <v>189</v>
      </c>
      <c r="M308" s="4">
        <v>17</v>
      </c>
      <c r="N308" s="4">
        <v>700</v>
      </c>
      <c r="O308" s="4">
        <v>20</v>
      </c>
      <c r="P308" s="4">
        <v>9520</v>
      </c>
      <c r="Q308" s="4">
        <v>4</v>
      </c>
      <c r="R308" s="4" t="s">
        <v>48</v>
      </c>
      <c r="S308" s="4" t="s">
        <v>115</v>
      </c>
      <c r="T308" s="4" t="s">
        <v>256</v>
      </c>
      <c r="U308" s="6" t="s">
        <v>1416</v>
      </c>
      <c r="V308" s="4" t="s">
        <v>38</v>
      </c>
      <c r="AD308" s="57">
        <v>46131</v>
      </c>
      <c r="AE308">
        <v>235030</v>
      </c>
    </row>
    <row r="309" spans="1:31" x14ac:dyDescent="0.3">
      <c r="A309" s="7" t="s">
        <v>1417</v>
      </c>
      <c r="B309" s="8" t="s">
        <v>251</v>
      </c>
      <c r="C309" s="8" t="s">
        <v>169</v>
      </c>
      <c r="D309" s="53">
        <v>45897</v>
      </c>
      <c r="E309" s="49" t="s">
        <v>246</v>
      </c>
      <c r="F309" s="4" t="str">
        <f>TRIM(PROPER(Sales_Data!F309))</f>
        <v>Sneha Joshi</v>
      </c>
      <c r="G309" s="8" t="s">
        <v>28</v>
      </c>
      <c r="H309" s="8" t="s">
        <v>1215</v>
      </c>
      <c r="I309" s="8" t="s">
        <v>114</v>
      </c>
      <c r="J309" s="4" t="str">
        <f>PROPER(Sales_Data!J309)</f>
        <v>West</v>
      </c>
      <c r="K309" s="4" t="str">
        <f>PROPER(Sales_Data!K309)</f>
        <v>Home Appliances</v>
      </c>
      <c r="L309" s="8" t="s">
        <v>174</v>
      </c>
      <c r="M309" s="8">
        <v>6</v>
      </c>
      <c r="N309" s="8">
        <v>8500</v>
      </c>
      <c r="O309" s="8">
        <v>15</v>
      </c>
      <c r="P309" s="8">
        <v>43350</v>
      </c>
      <c r="Q309" s="8">
        <v>1</v>
      </c>
      <c r="R309" s="8" t="s">
        <v>34</v>
      </c>
      <c r="S309" s="8" t="s">
        <v>61</v>
      </c>
      <c r="T309" s="8" t="s">
        <v>256</v>
      </c>
      <c r="U309" s="9" t="s">
        <v>1418</v>
      </c>
      <c r="V309" s="8" t="s">
        <v>38</v>
      </c>
      <c r="AD309" s="57">
        <v>46132</v>
      </c>
      <c r="AE309">
        <v>522595</v>
      </c>
    </row>
    <row r="310" spans="1:31" x14ac:dyDescent="0.3">
      <c r="A310" s="3" t="s">
        <v>1419</v>
      </c>
      <c r="B310" s="4" t="s">
        <v>53</v>
      </c>
      <c r="C310" s="4" t="s">
        <v>92</v>
      </c>
      <c r="D310" s="52">
        <v>45936</v>
      </c>
      <c r="E310" s="48" t="s">
        <v>345</v>
      </c>
      <c r="F310" s="4" t="str">
        <f>TRIM(PROPER(Sales_Data!F310))</f>
        <v>Pooja Shah</v>
      </c>
      <c r="G310" s="4" t="s">
        <v>28</v>
      </c>
      <c r="H310" s="4" t="s">
        <v>1420</v>
      </c>
      <c r="I310" s="4" t="s">
        <v>30</v>
      </c>
      <c r="J310" s="4" t="str">
        <f>PROPER(Sales_Data!J310)</f>
        <v>South</v>
      </c>
      <c r="K310" s="4" t="str">
        <f>PROPER(Sales_Data!K310)</f>
        <v>Home Appliances</v>
      </c>
      <c r="L310" s="4" t="s">
        <v>97</v>
      </c>
      <c r="M310" s="4">
        <v>3</v>
      </c>
      <c r="N310" s="4">
        <v>3500</v>
      </c>
      <c r="O310" s="4">
        <v>10</v>
      </c>
      <c r="P310" s="4">
        <v>9450</v>
      </c>
      <c r="Q310" s="4">
        <v>1</v>
      </c>
      <c r="R310" s="4" t="s">
        <v>48</v>
      </c>
      <c r="S310" s="4" t="s">
        <v>49</v>
      </c>
      <c r="T310" s="4" t="s">
        <v>62</v>
      </c>
      <c r="U310" s="6" t="s">
        <v>1421</v>
      </c>
      <c r="V310" s="4" t="s">
        <v>38</v>
      </c>
      <c r="AD310" s="57">
        <v>46134</v>
      </c>
      <c r="AE310">
        <v>855</v>
      </c>
    </row>
    <row r="311" spans="1:31" x14ac:dyDescent="0.3">
      <c r="A311" s="7" t="s">
        <v>1422</v>
      </c>
      <c r="B311" s="8" t="s">
        <v>71</v>
      </c>
      <c r="C311" s="8" t="s">
        <v>40</v>
      </c>
      <c r="D311" s="53">
        <v>45674</v>
      </c>
      <c r="E311" s="49" t="s">
        <v>783</v>
      </c>
      <c r="F311" s="4" t="str">
        <f>TRIM(PROPER(Sales_Data!F311))</f>
        <v>Mohit Verma</v>
      </c>
      <c r="G311" s="8" t="s">
        <v>76</v>
      </c>
      <c r="H311" s="8" t="s">
        <v>1423</v>
      </c>
      <c r="I311" s="8" t="s">
        <v>138</v>
      </c>
      <c r="J311" s="4" t="str">
        <f>PROPER(Sales_Data!J311)</f>
        <v>West</v>
      </c>
      <c r="K311" s="4" t="str">
        <f>PROPER(Sales_Data!K311)</f>
        <v>Electronics</v>
      </c>
      <c r="L311" s="8" t="s">
        <v>47</v>
      </c>
      <c r="M311" s="8">
        <v>2</v>
      </c>
      <c r="N311" s="8">
        <v>12000</v>
      </c>
      <c r="O311" s="8">
        <v>20</v>
      </c>
      <c r="P311" s="8">
        <v>19200</v>
      </c>
      <c r="Q311" s="8">
        <v>1</v>
      </c>
      <c r="R311" s="8" t="s">
        <v>79</v>
      </c>
      <c r="S311" s="8" t="s">
        <v>61</v>
      </c>
      <c r="T311" s="8" t="s">
        <v>80</v>
      </c>
      <c r="U311" s="9" t="s">
        <v>1424</v>
      </c>
      <c r="V311" s="8" t="s">
        <v>38</v>
      </c>
      <c r="AD311" s="57">
        <v>46135</v>
      </c>
      <c r="AE311">
        <v>63175</v>
      </c>
    </row>
    <row r="312" spans="1:31" x14ac:dyDescent="0.3">
      <c r="A312" s="3" t="s">
        <v>1425</v>
      </c>
      <c r="B312" s="4" t="s">
        <v>221</v>
      </c>
      <c r="C312" s="4" t="s">
        <v>222</v>
      </c>
      <c r="D312" s="52">
        <v>45943</v>
      </c>
      <c r="E312" s="48" t="s">
        <v>1426</v>
      </c>
      <c r="F312" s="4" t="str">
        <f>TRIM(PROPER(Sales_Data!F312))</f>
        <v>Vikas Mehta</v>
      </c>
      <c r="G312" s="4" t="s">
        <v>76</v>
      </c>
      <c r="H312" s="4" t="s">
        <v>1427</v>
      </c>
      <c r="I312" s="4" t="s">
        <v>44</v>
      </c>
      <c r="J312" s="4" t="str">
        <f>PROPER(Sales_Data!J312)</f>
        <v>North</v>
      </c>
      <c r="K312" s="4" t="str">
        <f>PROPER(Sales_Data!K312)</f>
        <v>Stationery</v>
      </c>
      <c r="L312" s="4" t="s">
        <v>227</v>
      </c>
      <c r="M312" s="4">
        <v>12</v>
      </c>
      <c r="N312" s="4">
        <v>20</v>
      </c>
      <c r="O312" s="4">
        <v>20</v>
      </c>
      <c r="P312" s="4">
        <v>192</v>
      </c>
      <c r="Q312" s="4">
        <v>2</v>
      </c>
      <c r="R312" s="4" t="s">
        <v>79</v>
      </c>
      <c r="S312" s="4" t="s">
        <v>49</v>
      </c>
      <c r="T312" s="4" t="s">
        <v>228</v>
      </c>
      <c r="U312" s="6" t="s">
        <v>1428</v>
      </c>
      <c r="V312" s="4" t="s">
        <v>38</v>
      </c>
      <c r="AD312" s="57">
        <v>46136</v>
      </c>
      <c r="AE312">
        <v>174320</v>
      </c>
    </row>
    <row r="313" spans="1:31" x14ac:dyDescent="0.3">
      <c r="A313" s="7" t="s">
        <v>1429</v>
      </c>
      <c r="B313" s="8" t="s">
        <v>100</v>
      </c>
      <c r="C313" s="8" t="s">
        <v>40</v>
      </c>
      <c r="D313" s="53">
        <v>46138</v>
      </c>
      <c r="E313" s="49" t="s">
        <v>1430</v>
      </c>
      <c r="F313" s="4" t="str">
        <f>TRIM(PROPER(Sales_Data!F313))</f>
        <v>Priya Patel</v>
      </c>
      <c r="G313" s="8" t="s">
        <v>28</v>
      </c>
      <c r="H313" s="8" t="s">
        <v>1431</v>
      </c>
      <c r="I313" s="8" t="s">
        <v>294</v>
      </c>
      <c r="J313" s="4" t="str">
        <f>PROPER(Sales_Data!J313)</f>
        <v>East</v>
      </c>
      <c r="K313" s="4" t="str">
        <f>PROPER(Sales_Data!K313)</f>
        <v>Electronics</v>
      </c>
      <c r="L313" s="8" t="s">
        <v>47</v>
      </c>
      <c r="M313" s="8">
        <v>20</v>
      </c>
      <c r="N313" s="8">
        <v>12000</v>
      </c>
      <c r="O313" s="8">
        <v>15</v>
      </c>
      <c r="P313" s="8">
        <v>204000</v>
      </c>
      <c r="Q313" s="8">
        <v>3</v>
      </c>
      <c r="R313" s="8" t="s">
        <v>34</v>
      </c>
      <c r="S313" s="8" t="s">
        <v>35</v>
      </c>
      <c r="T313" s="8" t="s">
        <v>144</v>
      </c>
      <c r="U313" s="9" t="s">
        <v>1432</v>
      </c>
      <c r="V313" s="8" t="s">
        <v>64</v>
      </c>
      <c r="AD313" s="57">
        <v>46137</v>
      </c>
      <c r="AE313">
        <v>39900</v>
      </c>
    </row>
    <row r="314" spans="1:31" x14ac:dyDescent="0.3">
      <c r="A314" s="3" t="s">
        <v>1433</v>
      </c>
      <c r="B314" s="4" t="s">
        <v>53</v>
      </c>
      <c r="C314" s="4" t="s">
        <v>118</v>
      </c>
      <c r="D314" s="52">
        <v>46105</v>
      </c>
      <c r="E314" s="48" t="s">
        <v>740</v>
      </c>
      <c r="F314" s="4" t="str">
        <f>TRIM(PROPER(Sales_Data!F314))</f>
        <v>Pooja Shah</v>
      </c>
      <c r="G314" s="4" t="s">
        <v>28</v>
      </c>
      <c r="H314" s="4" t="s">
        <v>1434</v>
      </c>
      <c r="I314" s="4" t="s">
        <v>212</v>
      </c>
      <c r="J314" s="4" t="str">
        <f>PROPER(Sales_Data!J314)</f>
        <v>North</v>
      </c>
      <c r="K314" s="4" t="str">
        <f>PROPER(Sales_Data!K314)</f>
        <v>Stationery</v>
      </c>
      <c r="L314" s="4" t="s">
        <v>123</v>
      </c>
      <c r="M314" s="4">
        <v>13</v>
      </c>
      <c r="N314" s="4">
        <v>60</v>
      </c>
      <c r="O314" s="4">
        <v>10</v>
      </c>
      <c r="P314" s="4">
        <v>702</v>
      </c>
      <c r="Q314" s="4">
        <v>5</v>
      </c>
      <c r="R314" s="4" t="s">
        <v>34</v>
      </c>
      <c r="S314" s="4" t="s">
        <v>35</v>
      </c>
      <c r="T314" s="4" t="s">
        <v>62</v>
      </c>
      <c r="U314" s="6" t="s">
        <v>1435</v>
      </c>
      <c r="V314" s="4" t="s">
        <v>64</v>
      </c>
      <c r="AD314" s="57">
        <v>46138</v>
      </c>
      <c r="AE314">
        <v>204000</v>
      </c>
    </row>
    <row r="315" spans="1:31" x14ac:dyDescent="0.3">
      <c r="A315" s="7" t="s">
        <v>1436</v>
      </c>
      <c r="B315" s="8" t="s">
        <v>71</v>
      </c>
      <c r="C315" s="8" t="s">
        <v>54</v>
      </c>
      <c r="D315" s="53">
        <v>45785</v>
      </c>
      <c r="E315" s="49" t="s">
        <v>1294</v>
      </c>
      <c r="F315" s="4" t="str">
        <f>TRIM(PROPER(Sales_Data!F315))</f>
        <v>Mohit Verma</v>
      </c>
      <c r="G315" s="8" t="s">
        <v>76</v>
      </c>
      <c r="H315" s="8" t="s">
        <v>1438</v>
      </c>
      <c r="I315" s="8" t="s">
        <v>114</v>
      </c>
      <c r="J315" s="4" t="str">
        <f>PROPER(Sales_Data!J315)</f>
        <v>West</v>
      </c>
      <c r="K315" s="4" t="str">
        <f>PROPER(Sales_Data!K315)</f>
        <v>Electronics</v>
      </c>
      <c r="L315" s="8" t="s">
        <v>60</v>
      </c>
      <c r="M315" s="8">
        <v>13</v>
      </c>
      <c r="N315" s="8">
        <v>55000</v>
      </c>
      <c r="O315" s="8">
        <v>5</v>
      </c>
      <c r="P315" s="8">
        <v>679250</v>
      </c>
      <c r="Q315" s="8">
        <v>1</v>
      </c>
      <c r="R315" s="8" t="s">
        <v>88</v>
      </c>
      <c r="S315" s="8" t="s">
        <v>151</v>
      </c>
      <c r="T315" s="8" t="s">
        <v>80</v>
      </c>
      <c r="U315" s="9" t="s">
        <v>1439</v>
      </c>
      <c r="V315" s="8" t="s">
        <v>64</v>
      </c>
      <c r="AD315" s="57">
        <v>46139</v>
      </c>
      <c r="AE315">
        <v>16800</v>
      </c>
    </row>
    <row r="316" spans="1:31" x14ac:dyDescent="0.3">
      <c r="A316" s="3" t="s">
        <v>1440</v>
      </c>
      <c r="B316" s="4" t="s">
        <v>100</v>
      </c>
      <c r="C316" s="4" t="s">
        <v>72</v>
      </c>
      <c r="D316" s="52">
        <v>46088</v>
      </c>
      <c r="E316" s="48" t="s">
        <v>798</v>
      </c>
      <c r="F316" s="4" t="str">
        <f>TRIM(PROPER(Sales_Data!F316))</f>
        <v>Priya Patel</v>
      </c>
      <c r="G316" s="4" t="s">
        <v>28</v>
      </c>
      <c r="H316" s="4" t="s">
        <v>1441</v>
      </c>
      <c r="I316" s="4" t="s">
        <v>59</v>
      </c>
      <c r="J316" s="4" t="str">
        <f>PROPER(Sales_Data!J316)</f>
        <v>South</v>
      </c>
      <c r="K316" s="4" t="str">
        <f>PROPER(Sales_Data!K316)</f>
        <v>Electronics</v>
      </c>
      <c r="L316" s="4" t="s">
        <v>78</v>
      </c>
      <c r="M316" s="4">
        <v>7</v>
      </c>
      <c r="N316" s="4">
        <v>1200</v>
      </c>
      <c r="O316" s="4">
        <v>15</v>
      </c>
      <c r="P316" s="4">
        <v>7140</v>
      </c>
      <c r="Q316" s="4">
        <v>5</v>
      </c>
      <c r="R316" s="4" t="s">
        <v>88</v>
      </c>
      <c r="S316" s="4" t="s">
        <v>49</v>
      </c>
      <c r="T316" s="4" t="s">
        <v>144</v>
      </c>
      <c r="U316" s="6" t="s">
        <v>1442</v>
      </c>
      <c r="V316" s="4" t="s">
        <v>64</v>
      </c>
      <c r="AD316" s="57">
        <v>46141</v>
      </c>
      <c r="AE316">
        <v>153</v>
      </c>
    </row>
    <row r="317" spans="1:31" x14ac:dyDescent="0.3">
      <c r="A317" s="7" t="s">
        <v>1443</v>
      </c>
      <c r="B317" s="8" t="s">
        <v>83</v>
      </c>
      <c r="C317" s="8" t="s">
        <v>40</v>
      </c>
      <c r="D317" s="53">
        <v>46017</v>
      </c>
      <c r="E317" s="49" t="s">
        <v>1444</v>
      </c>
      <c r="F317" s="4" t="str">
        <f>TRIM(PROPER(Sales_Data!F317))</f>
        <v>Arjun Rao</v>
      </c>
      <c r="G317" s="8" t="s">
        <v>76</v>
      </c>
      <c r="H317" s="8" t="s">
        <v>1445</v>
      </c>
      <c r="I317" s="8" t="s">
        <v>212</v>
      </c>
      <c r="J317" s="4" t="str">
        <f>PROPER(Sales_Data!J317)</f>
        <v>North</v>
      </c>
      <c r="K317" s="4" t="str">
        <f>PROPER(Sales_Data!K317)</f>
        <v>Electronics</v>
      </c>
      <c r="L317" s="8" t="s">
        <v>47</v>
      </c>
      <c r="M317" s="8">
        <v>17</v>
      </c>
      <c r="N317" s="8">
        <v>12000</v>
      </c>
      <c r="O317" s="8">
        <v>5</v>
      </c>
      <c r="P317" s="8">
        <v>193800</v>
      </c>
      <c r="Q317" s="8">
        <v>1</v>
      </c>
      <c r="R317" s="8" t="s">
        <v>34</v>
      </c>
      <c r="S317" s="8" t="s">
        <v>61</v>
      </c>
      <c r="T317" s="8" t="s">
        <v>89</v>
      </c>
      <c r="U317" s="9" t="s">
        <v>1446</v>
      </c>
      <c r="V317" s="8" t="s">
        <v>69</v>
      </c>
      <c r="AD317" s="57">
        <v>46144</v>
      </c>
      <c r="AE317">
        <v>173526.75</v>
      </c>
    </row>
    <row r="318" spans="1:31" x14ac:dyDescent="0.3">
      <c r="A318" s="3" t="s">
        <v>1447</v>
      </c>
      <c r="B318" s="4" t="s">
        <v>83</v>
      </c>
      <c r="C318" s="4" t="s">
        <v>222</v>
      </c>
      <c r="D318" s="52">
        <v>46131</v>
      </c>
      <c r="E318" s="48" t="s">
        <v>517</v>
      </c>
      <c r="F318" s="4" t="str">
        <f>TRIM(PROPER(Sales_Data!F318))</f>
        <v>Arjun Rao</v>
      </c>
      <c r="G318" s="4" t="s">
        <v>76</v>
      </c>
      <c r="H318" s="4" t="s">
        <v>1448</v>
      </c>
      <c r="I318" s="4" t="s">
        <v>59</v>
      </c>
      <c r="J318" s="4" t="str">
        <f>PROPER(Sales_Data!J318)</f>
        <v>South</v>
      </c>
      <c r="K318" s="4" t="str">
        <f>PROPER(Sales_Data!K318)</f>
        <v>Stationery</v>
      </c>
      <c r="L318" s="4" t="s">
        <v>227</v>
      </c>
      <c r="M318" s="4">
        <v>10</v>
      </c>
      <c r="N318" s="4">
        <v>20</v>
      </c>
      <c r="O318" s="4">
        <v>5</v>
      </c>
      <c r="P318" s="4">
        <v>190</v>
      </c>
      <c r="Q318" s="4">
        <v>2</v>
      </c>
      <c r="R318" s="4" t="s">
        <v>34</v>
      </c>
      <c r="S318" s="4" t="s">
        <v>61</v>
      </c>
      <c r="T318" s="4" t="s">
        <v>89</v>
      </c>
      <c r="U318" s="6" t="s">
        <v>1449</v>
      </c>
      <c r="V318" s="4" t="s">
        <v>69</v>
      </c>
      <c r="AD318" s="57">
        <v>46145</v>
      </c>
      <c r="AE318">
        <v>170100</v>
      </c>
    </row>
    <row r="319" spans="1:31" x14ac:dyDescent="0.3">
      <c r="A319" s="7" t="s">
        <v>1450</v>
      </c>
      <c r="B319" s="8" t="s">
        <v>168</v>
      </c>
      <c r="C319" s="8" t="s">
        <v>24</v>
      </c>
      <c r="D319" s="53">
        <v>45966</v>
      </c>
      <c r="E319" s="49" t="s">
        <v>1451</v>
      </c>
      <c r="F319" s="4" t="str">
        <f>TRIM(PROPER(Sales_Data!F319))</f>
        <v>Anita Gupta</v>
      </c>
      <c r="G319" s="8" t="s">
        <v>28</v>
      </c>
      <c r="H319" s="8" t="s">
        <v>1452</v>
      </c>
      <c r="I319" s="8" t="s">
        <v>44</v>
      </c>
      <c r="J319" s="4" t="str">
        <f>PROPER(Sales_Data!J319)</f>
        <v>North</v>
      </c>
      <c r="K319" s="4" t="str">
        <f>PROPER(Sales_Data!K319)</f>
        <v>Home Appliances</v>
      </c>
      <c r="L319" s="8" t="s">
        <v>33</v>
      </c>
      <c r="M319" s="8">
        <v>11</v>
      </c>
      <c r="N319" s="8">
        <v>2200</v>
      </c>
      <c r="O319" s="8">
        <v>5</v>
      </c>
      <c r="P319" s="8">
        <v>22990</v>
      </c>
      <c r="Q319" s="8">
        <v>5</v>
      </c>
      <c r="R319" s="8" t="s">
        <v>79</v>
      </c>
      <c r="S319" s="8" t="s">
        <v>49</v>
      </c>
      <c r="T319" s="8" t="s">
        <v>175</v>
      </c>
      <c r="U319" s="9" t="s">
        <v>1453</v>
      </c>
      <c r="V319" s="8" t="s">
        <v>64</v>
      </c>
      <c r="AD319" s="57">
        <v>46146</v>
      </c>
      <c r="AE319">
        <v>137275</v>
      </c>
    </row>
    <row r="320" spans="1:31" x14ac:dyDescent="0.3">
      <c r="A320" s="3" t="s">
        <v>1454</v>
      </c>
      <c r="B320" s="4" t="s">
        <v>100</v>
      </c>
      <c r="C320" s="4" t="s">
        <v>118</v>
      </c>
      <c r="D320" s="52">
        <v>46077</v>
      </c>
      <c r="E320" s="48" t="s">
        <v>178</v>
      </c>
      <c r="F320" s="4" t="str">
        <f>TRIM(PROPER(Sales_Data!F320))</f>
        <v>Priya Patel</v>
      </c>
      <c r="G320" s="4" t="s">
        <v>28</v>
      </c>
      <c r="H320" s="4" t="s">
        <v>1455</v>
      </c>
      <c r="I320" s="4" t="s">
        <v>212</v>
      </c>
      <c r="J320" s="4" t="str">
        <f>PROPER(Sales_Data!J320)</f>
        <v>North</v>
      </c>
      <c r="K320" s="4" t="str">
        <f>PROPER(Sales_Data!K320)</f>
        <v>Stationery</v>
      </c>
      <c r="L320" s="4" t="s">
        <v>123</v>
      </c>
      <c r="M320" s="4">
        <v>8</v>
      </c>
      <c r="N320" s="4">
        <v>60</v>
      </c>
      <c r="O320" s="4">
        <v>15</v>
      </c>
      <c r="P320" s="4">
        <v>408</v>
      </c>
      <c r="Q320" s="4">
        <v>4</v>
      </c>
      <c r="R320" s="4" t="s">
        <v>34</v>
      </c>
      <c r="S320" s="4" t="s">
        <v>49</v>
      </c>
      <c r="T320" s="4" t="s">
        <v>144</v>
      </c>
      <c r="U320" s="6" t="s">
        <v>1456</v>
      </c>
      <c r="V320" s="4" t="s">
        <v>64</v>
      </c>
      <c r="AD320" s="57">
        <v>46147</v>
      </c>
      <c r="AE320">
        <v>324</v>
      </c>
    </row>
    <row r="321" spans="1:31" x14ac:dyDescent="0.3">
      <c r="A321" s="7" t="s">
        <v>1457</v>
      </c>
      <c r="B321" s="8" t="s">
        <v>221</v>
      </c>
      <c r="C321" s="8" t="s">
        <v>259</v>
      </c>
      <c r="D321" s="53">
        <v>45739</v>
      </c>
      <c r="E321" s="49" t="s">
        <v>119</v>
      </c>
      <c r="F321" s="4" t="str">
        <f>TRIM(PROPER(Sales_Data!F321))</f>
        <v>Vikas Mehta</v>
      </c>
      <c r="G321" s="8" t="s">
        <v>76</v>
      </c>
      <c r="H321" s="8" t="s">
        <v>1458</v>
      </c>
      <c r="I321" s="8" t="s">
        <v>44</v>
      </c>
      <c r="J321" s="4" t="str">
        <f>PROPER(Sales_Data!J321)</f>
        <v>North</v>
      </c>
      <c r="K321" s="4" t="str">
        <f>PROPER(Sales_Data!K321)</f>
        <v>Stationery</v>
      </c>
      <c r="L321" s="8" t="s">
        <v>263</v>
      </c>
      <c r="M321" s="8">
        <v>17</v>
      </c>
      <c r="N321" s="8">
        <v>45</v>
      </c>
      <c r="O321" s="8">
        <v>15</v>
      </c>
      <c r="P321" s="8">
        <v>650.25</v>
      </c>
      <c r="Q321" s="8">
        <v>2</v>
      </c>
      <c r="R321" s="8" t="s">
        <v>88</v>
      </c>
      <c r="S321" s="8" t="s">
        <v>151</v>
      </c>
      <c r="T321" s="8" t="s">
        <v>228</v>
      </c>
      <c r="U321" s="9" t="s">
        <v>1459</v>
      </c>
      <c r="V321" s="8" t="s">
        <v>38</v>
      </c>
      <c r="AD321" s="57">
        <v>46149</v>
      </c>
      <c r="AE321">
        <v>56384.75</v>
      </c>
    </row>
    <row r="322" spans="1:31" x14ac:dyDescent="0.3">
      <c r="A322" s="3" t="s">
        <v>1460</v>
      </c>
      <c r="B322" s="4" t="s">
        <v>327</v>
      </c>
      <c r="C322" s="4" t="s">
        <v>184</v>
      </c>
      <c r="D322" s="52">
        <v>45715</v>
      </c>
      <c r="E322" s="48" t="s">
        <v>1461</v>
      </c>
      <c r="F322" s="4" t="str">
        <f>TRIM(PROPER(Sales_Data!F322))</f>
        <v>Amit Sharma</v>
      </c>
      <c r="G322" s="4" t="s">
        <v>76</v>
      </c>
      <c r="H322" s="4" t="s">
        <v>1462</v>
      </c>
      <c r="I322" s="4" t="s">
        <v>212</v>
      </c>
      <c r="J322" s="4" t="str">
        <f>PROPER(Sales_Data!J322)</f>
        <v>North</v>
      </c>
      <c r="K322" s="4" t="str">
        <f>PROPER(Sales_Data!K322)</f>
        <v>Electronics</v>
      </c>
      <c r="L322" s="4" t="s">
        <v>189</v>
      </c>
      <c r="M322" s="4">
        <v>14</v>
      </c>
      <c r="N322" s="4">
        <v>700</v>
      </c>
      <c r="O322" s="4">
        <v>15</v>
      </c>
      <c r="P322" s="4">
        <v>8330</v>
      </c>
      <c r="Q322" s="4">
        <v>1</v>
      </c>
      <c r="R322" s="4" t="s">
        <v>79</v>
      </c>
      <c r="S322" s="4" t="s">
        <v>115</v>
      </c>
      <c r="T322" s="4" t="s">
        <v>332</v>
      </c>
      <c r="U322" s="6" t="s">
        <v>1463</v>
      </c>
      <c r="V322" s="4" t="s">
        <v>38</v>
      </c>
      <c r="AD322" s="57">
        <v>46150</v>
      </c>
      <c r="AE322">
        <v>8330</v>
      </c>
    </row>
    <row r="323" spans="1:31" x14ac:dyDescent="0.3">
      <c r="A323" s="7" t="s">
        <v>1464</v>
      </c>
      <c r="B323" s="8" t="s">
        <v>83</v>
      </c>
      <c r="C323" s="8" t="s">
        <v>72</v>
      </c>
      <c r="D323" s="53">
        <v>45811</v>
      </c>
      <c r="E323" s="49" t="s">
        <v>948</v>
      </c>
      <c r="F323" s="4" t="str">
        <f>TRIM(PROPER(Sales_Data!F323))</f>
        <v>Arjun Rao</v>
      </c>
      <c r="G323" s="8" t="s">
        <v>76</v>
      </c>
      <c r="H323" s="8" t="s">
        <v>1466</v>
      </c>
      <c r="I323" s="8" t="s">
        <v>114</v>
      </c>
      <c r="J323" s="4" t="str">
        <f>PROPER(Sales_Data!J323)</f>
        <v>West</v>
      </c>
      <c r="K323" s="4" t="str">
        <f>PROPER(Sales_Data!K323)</f>
        <v>Electronics</v>
      </c>
      <c r="L323" s="8" t="s">
        <v>78</v>
      </c>
      <c r="M323" s="8">
        <v>3</v>
      </c>
      <c r="N323" s="8">
        <v>1200</v>
      </c>
      <c r="O323" s="8">
        <v>5</v>
      </c>
      <c r="P323" s="8">
        <v>3420</v>
      </c>
      <c r="Q323" s="8">
        <v>3</v>
      </c>
      <c r="R323" s="8" t="s">
        <v>48</v>
      </c>
      <c r="S323" s="8" t="s">
        <v>151</v>
      </c>
      <c r="T323" s="8" t="s">
        <v>89</v>
      </c>
      <c r="U323" s="9" t="s">
        <v>1467</v>
      </c>
      <c r="V323" s="8" t="s">
        <v>38</v>
      </c>
      <c r="AD323" s="57">
        <v>46151</v>
      </c>
      <c r="AE323">
        <v>11970</v>
      </c>
    </row>
    <row r="324" spans="1:31" x14ac:dyDescent="0.3">
      <c r="A324" s="3" t="s">
        <v>1468</v>
      </c>
      <c r="B324" s="4" t="s">
        <v>23</v>
      </c>
      <c r="C324" s="4" t="s">
        <v>72</v>
      </c>
      <c r="D324" s="52">
        <v>45845</v>
      </c>
      <c r="E324" s="48" t="s">
        <v>914</v>
      </c>
      <c r="F324" s="4" t="str">
        <f>TRIM(PROPER(Sales_Data!F324))</f>
        <v>Kavya Nair</v>
      </c>
      <c r="G324" s="4" t="s">
        <v>28</v>
      </c>
      <c r="H324" s="4" t="s">
        <v>1469</v>
      </c>
      <c r="I324" s="4" t="s">
        <v>138</v>
      </c>
      <c r="J324" s="4" t="str">
        <f>PROPER(Sales_Data!J324)</f>
        <v>West</v>
      </c>
      <c r="K324" s="4" t="str">
        <f>PROPER(Sales_Data!K324)</f>
        <v>Electronics</v>
      </c>
      <c r="L324" s="4" t="s">
        <v>78</v>
      </c>
      <c r="M324" s="4">
        <v>9</v>
      </c>
      <c r="N324" s="4">
        <v>1200</v>
      </c>
      <c r="O324" s="4">
        <v>15</v>
      </c>
      <c r="P324" s="4">
        <v>9180</v>
      </c>
      <c r="Q324" s="4">
        <v>3</v>
      </c>
      <c r="R324" s="4" t="s">
        <v>34</v>
      </c>
      <c r="S324" s="4" t="s">
        <v>49</v>
      </c>
      <c r="T324" s="4" t="s">
        <v>50</v>
      </c>
      <c r="U324" s="6" t="s">
        <v>1470</v>
      </c>
      <c r="V324" s="4" t="s">
        <v>38</v>
      </c>
      <c r="AD324" s="57">
        <v>46152</v>
      </c>
      <c r="AE324">
        <v>304</v>
      </c>
    </row>
    <row r="325" spans="1:31" x14ac:dyDescent="0.3">
      <c r="A325" s="7" t="s">
        <v>1471</v>
      </c>
      <c r="B325" s="8" t="s">
        <v>251</v>
      </c>
      <c r="C325" s="8" t="s">
        <v>222</v>
      </c>
      <c r="D325" s="53">
        <v>46132</v>
      </c>
      <c r="E325" s="49" t="s">
        <v>360</v>
      </c>
      <c r="F325" s="4" t="str">
        <f>TRIM(PROPER(Sales_Data!F325))</f>
        <v>Sneha Joshi</v>
      </c>
      <c r="G325" s="8" t="s">
        <v>28</v>
      </c>
      <c r="H325" s="8" t="s">
        <v>1472</v>
      </c>
      <c r="I325" s="8" t="s">
        <v>105</v>
      </c>
      <c r="J325" s="4" t="str">
        <f>PROPER(Sales_Data!J325)</f>
        <v>West</v>
      </c>
      <c r="K325" s="4" t="str">
        <f>PROPER(Sales_Data!K325)</f>
        <v>Stationery</v>
      </c>
      <c r="L325" s="8" t="s">
        <v>227</v>
      </c>
      <c r="M325" s="8">
        <v>5</v>
      </c>
      <c r="N325" s="8">
        <v>20</v>
      </c>
      <c r="O325" s="8">
        <v>5</v>
      </c>
      <c r="P325" s="8">
        <v>95</v>
      </c>
      <c r="Q325" s="8">
        <v>4</v>
      </c>
      <c r="R325" s="8" t="s">
        <v>34</v>
      </c>
      <c r="S325" s="8" t="s">
        <v>151</v>
      </c>
      <c r="T325" s="8" t="s">
        <v>256</v>
      </c>
      <c r="U325" s="9" t="s">
        <v>1473</v>
      </c>
      <c r="V325" s="8" t="s">
        <v>38</v>
      </c>
      <c r="AD325" s="57">
        <v>46153</v>
      </c>
      <c r="AE325">
        <v>224</v>
      </c>
    </row>
    <row r="326" spans="1:31" x14ac:dyDescent="0.3">
      <c r="A326" s="3" t="s">
        <v>1474</v>
      </c>
      <c r="B326" s="4" t="s">
        <v>251</v>
      </c>
      <c r="C326" s="4" t="s">
        <v>24</v>
      </c>
      <c r="D326" s="52">
        <v>46001</v>
      </c>
      <c r="E326" s="48" t="s">
        <v>1476</v>
      </c>
      <c r="F326" s="4" t="str">
        <f>TRIM(PROPER(Sales_Data!F326))</f>
        <v>Sneha Joshi</v>
      </c>
      <c r="G326" s="4" t="s">
        <v>28</v>
      </c>
      <c r="H326" s="4" t="s">
        <v>1477</v>
      </c>
      <c r="I326" s="4" t="s">
        <v>138</v>
      </c>
      <c r="J326" s="4" t="str">
        <f>PROPER(Sales_Data!J326)</f>
        <v>West</v>
      </c>
      <c r="K326" s="4" t="str">
        <f>PROPER(Sales_Data!K326)</f>
        <v>Home Appliances</v>
      </c>
      <c r="L326" s="4" t="s">
        <v>33</v>
      </c>
      <c r="M326" s="4">
        <v>8</v>
      </c>
      <c r="N326" s="4">
        <v>2200</v>
      </c>
      <c r="O326" s="4">
        <v>10</v>
      </c>
      <c r="P326" s="4">
        <v>15840</v>
      </c>
      <c r="Q326" s="4">
        <v>4</v>
      </c>
      <c r="R326" s="4" t="s">
        <v>88</v>
      </c>
      <c r="S326" s="4" t="s">
        <v>61</v>
      </c>
      <c r="T326" s="4" t="s">
        <v>256</v>
      </c>
      <c r="U326" s="6" t="s">
        <v>1478</v>
      </c>
      <c r="V326" s="4" t="s">
        <v>69</v>
      </c>
      <c r="AD326" s="57">
        <v>46154</v>
      </c>
      <c r="AE326">
        <v>68400</v>
      </c>
    </row>
    <row r="327" spans="1:31" x14ac:dyDescent="0.3">
      <c r="A327" s="7" t="s">
        <v>1479</v>
      </c>
      <c r="B327" s="8" t="s">
        <v>251</v>
      </c>
      <c r="C327" s="8" t="s">
        <v>184</v>
      </c>
      <c r="D327" s="53">
        <v>46089</v>
      </c>
      <c r="E327" s="49" t="s">
        <v>1480</v>
      </c>
      <c r="F327" s="4" t="str">
        <f>TRIM(PROPER(Sales_Data!F327))</f>
        <v>Sneha Joshi</v>
      </c>
      <c r="G327" s="8" t="s">
        <v>28</v>
      </c>
      <c r="H327" s="8" t="s">
        <v>1481</v>
      </c>
      <c r="I327" s="8" t="s">
        <v>105</v>
      </c>
      <c r="J327" s="4" t="str">
        <f>PROPER(Sales_Data!J327)</f>
        <v>West</v>
      </c>
      <c r="K327" s="4" t="str">
        <f>PROPER(Sales_Data!K327)</f>
        <v>Electronics</v>
      </c>
      <c r="L327" s="8" t="s">
        <v>189</v>
      </c>
      <c r="M327" s="8">
        <v>10</v>
      </c>
      <c r="N327" s="8">
        <v>700</v>
      </c>
      <c r="O327" s="8">
        <v>20</v>
      </c>
      <c r="P327" s="8">
        <v>5600</v>
      </c>
      <c r="Q327" s="8">
        <v>1</v>
      </c>
      <c r="R327" s="8" t="s">
        <v>88</v>
      </c>
      <c r="S327" s="8" t="s">
        <v>115</v>
      </c>
      <c r="T327" s="8" t="s">
        <v>256</v>
      </c>
      <c r="U327" s="9" t="s">
        <v>1482</v>
      </c>
      <c r="V327" s="8" t="s">
        <v>38</v>
      </c>
      <c r="AD327" s="57">
        <v>46155</v>
      </c>
      <c r="AE327">
        <v>69325</v>
      </c>
    </row>
    <row r="328" spans="1:31" x14ac:dyDescent="0.3">
      <c r="A328" s="3" t="s">
        <v>1483</v>
      </c>
      <c r="B328" s="4" t="s">
        <v>83</v>
      </c>
      <c r="C328" s="4" t="s">
        <v>184</v>
      </c>
      <c r="D328" s="52">
        <v>45986</v>
      </c>
      <c r="E328" s="48" t="s">
        <v>1485</v>
      </c>
      <c r="F328" s="4" t="str">
        <f>TRIM(PROPER(Sales_Data!F328))</f>
        <v>Arjun Rao</v>
      </c>
      <c r="G328" s="4" t="s">
        <v>76</v>
      </c>
      <c r="H328" s="4" t="s">
        <v>1486</v>
      </c>
      <c r="I328" s="4" t="s">
        <v>59</v>
      </c>
      <c r="J328" s="4" t="str">
        <f>PROPER(Sales_Data!J328)</f>
        <v>South</v>
      </c>
      <c r="K328" s="4" t="str">
        <f>PROPER(Sales_Data!K328)</f>
        <v>Electronics</v>
      </c>
      <c r="L328" s="4" t="s">
        <v>189</v>
      </c>
      <c r="M328" s="4">
        <v>2</v>
      </c>
      <c r="N328" s="4">
        <v>700</v>
      </c>
      <c r="O328" s="4">
        <v>20</v>
      </c>
      <c r="P328" s="4">
        <v>1120</v>
      </c>
      <c r="Q328" s="4">
        <v>2</v>
      </c>
      <c r="R328" s="4" t="s">
        <v>34</v>
      </c>
      <c r="S328" s="4" t="s">
        <v>115</v>
      </c>
      <c r="T328" s="4" t="s">
        <v>89</v>
      </c>
      <c r="U328" s="6" t="s">
        <v>1487</v>
      </c>
      <c r="V328" s="4" t="s">
        <v>64</v>
      </c>
      <c r="AD328" s="57">
        <v>46158</v>
      </c>
      <c r="AE328">
        <v>18240</v>
      </c>
    </row>
    <row r="329" spans="1:31" x14ac:dyDescent="0.3">
      <c r="A329" s="7" t="s">
        <v>1488</v>
      </c>
      <c r="B329" s="8" t="s">
        <v>221</v>
      </c>
      <c r="C329" s="8" t="s">
        <v>92</v>
      </c>
      <c r="D329" s="53">
        <v>45827</v>
      </c>
      <c r="E329" s="49" t="s">
        <v>965</v>
      </c>
      <c r="F329" s="4" t="str">
        <f>TRIM(PROPER(Sales_Data!F329))</f>
        <v>Vikas Mehta</v>
      </c>
      <c r="G329" s="8" t="s">
        <v>76</v>
      </c>
      <c r="H329" s="8" t="s">
        <v>1489</v>
      </c>
      <c r="I329" s="8" t="s">
        <v>114</v>
      </c>
      <c r="J329" s="4" t="str">
        <f>PROPER(Sales_Data!J329)</f>
        <v>West</v>
      </c>
      <c r="K329" s="4" t="str">
        <f>PROPER(Sales_Data!K329)</f>
        <v>Home Appliances</v>
      </c>
      <c r="L329" s="8" t="s">
        <v>97</v>
      </c>
      <c r="M329" s="8">
        <v>16</v>
      </c>
      <c r="N329" s="8">
        <v>3500</v>
      </c>
      <c r="O329" s="8">
        <v>20</v>
      </c>
      <c r="P329" s="8">
        <v>44800</v>
      </c>
      <c r="Q329" s="8">
        <v>2</v>
      </c>
      <c r="R329" s="8" t="s">
        <v>88</v>
      </c>
      <c r="S329" s="8" t="s">
        <v>35</v>
      </c>
      <c r="T329" s="8" t="s">
        <v>228</v>
      </c>
      <c r="U329" s="9" t="s">
        <v>1490</v>
      </c>
      <c r="V329" s="8" t="s">
        <v>64</v>
      </c>
      <c r="AD329" s="56" t="s">
        <v>2143</v>
      </c>
      <c r="AE329">
        <v>33932012.5</v>
      </c>
    </row>
    <row r="330" spans="1:31" x14ac:dyDescent="0.3">
      <c r="A330" s="3" t="s">
        <v>1491</v>
      </c>
      <c r="B330" s="4" t="s">
        <v>168</v>
      </c>
      <c r="C330" s="4" t="s">
        <v>92</v>
      </c>
      <c r="D330" s="52">
        <v>45860</v>
      </c>
      <c r="E330" s="48" t="s">
        <v>756</v>
      </c>
      <c r="F330" s="4" t="str">
        <f>TRIM(PROPER(Sales_Data!F330))</f>
        <v>Anita Gupta</v>
      </c>
      <c r="G330" s="4" t="s">
        <v>28</v>
      </c>
      <c r="H330" s="4" t="s">
        <v>1492</v>
      </c>
      <c r="I330" s="4" t="s">
        <v>44</v>
      </c>
      <c r="J330" s="4" t="str">
        <f>PROPER(Sales_Data!J330)</f>
        <v>North</v>
      </c>
      <c r="K330" s="4" t="str">
        <f>PROPER(Sales_Data!K330)</f>
        <v>Home Appliances</v>
      </c>
      <c r="L330" s="4" t="s">
        <v>97</v>
      </c>
      <c r="M330" s="4">
        <v>9</v>
      </c>
      <c r="N330" s="4">
        <v>3500</v>
      </c>
      <c r="O330" s="4">
        <v>20</v>
      </c>
      <c r="P330" s="4">
        <v>25200</v>
      </c>
      <c r="Q330" s="4">
        <v>1</v>
      </c>
      <c r="R330" s="4" t="s">
        <v>79</v>
      </c>
      <c r="S330" s="4" t="s">
        <v>49</v>
      </c>
      <c r="T330" s="4" t="s">
        <v>175</v>
      </c>
      <c r="U330" s="6" t="s">
        <v>1493</v>
      </c>
      <c r="V330" s="4" t="s">
        <v>69</v>
      </c>
    </row>
    <row r="331" spans="1:31" x14ac:dyDescent="0.3">
      <c r="A331" s="7" t="s">
        <v>1494</v>
      </c>
      <c r="B331" s="8" t="s">
        <v>127</v>
      </c>
      <c r="C331" s="8" t="s">
        <v>184</v>
      </c>
      <c r="D331" s="53">
        <v>45959</v>
      </c>
      <c r="E331" s="49" t="s">
        <v>530</v>
      </c>
      <c r="F331" s="4" t="str">
        <f>TRIM(PROPER(Sales_Data!F331))</f>
        <v>Rohit Singh</v>
      </c>
      <c r="G331" s="8" t="s">
        <v>76</v>
      </c>
      <c r="H331" s="8" t="s">
        <v>1495</v>
      </c>
      <c r="I331" s="8" t="s">
        <v>30</v>
      </c>
      <c r="J331" s="4" t="str">
        <f>PROPER(Sales_Data!J331)</f>
        <v>South</v>
      </c>
      <c r="K331" s="4" t="str">
        <f>PROPER(Sales_Data!K331)</f>
        <v>Electronics</v>
      </c>
      <c r="L331" s="8" t="s">
        <v>189</v>
      </c>
      <c r="M331" s="8">
        <v>15</v>
      </c>
      <c r="N331" s="8">
        <v>700</v>
      </c>
      <c r="O331" s="8">
        <v>5</v>
      </c>
      <c r="P331" s="8">
        <v>9975</v>
      </c>
      <c r="Q331" s="8">
        <v>1</v>
      </c>
      <c r="R331" s="8" t="s">
        <v>34</v>
      </c>
      <c r="S331" s="8" t="s">
        <v>49</v>
      </c>
      <c r="T331" s="8" t="s">
        <v>132</v>
      </c>
      <c r="U331" s="9" t="s">
        <v>1496</v>
      </c>
      <c r="V331" s="8" t="s">
        <v>69</v>
      </c>
    </row>
    <row r="332" spans="1:31" x14ac:dyDescent="0.3">
      <c r="A332" s="3" t="s">
        <v>1497</v>
      </c>
      <c r="B332" s="4" t="s">
        <v>53</v>
      </c>
      <c r="C332" s="4" t="s">
        <v>72</v>
      </c>
      <c r="D332" s="52">
        <v>46086</v>
      </c>
      <c r="E332" s="48" t="s">
        <v>798</v>
      </c>
      <c r="F332" s="4" t="str">
        <f>TRIM(PROPER(Sales_Data!F332))</f>
        <v>Pooja Shah</v>
      </c>
      <c r="G332" s="4" t="s">
        <v>28</v>
      </c>
      <c r="H332" s="4" t="s">
        <v>1498</v>
      </c>
      <c r="I332" s="4" t="s">
        <v>138</v>
      </c>
      <c r="J332" s="4" t="str">
        <f>PROPER(Sales_Data!J332)</f>
        <v>West</v>
      </c>
      <c r="K332" s="4" t="str">
        <f>PROPER(Sales_Data!K332)</f>
        <v>Electronics</v>
      </c>
      <c r="L332" s="4" t="s">
        <v>78</v>
      </c>
      <c r="M332" s="4">
        <v>13</v>
      </c>
      <c r="N332" s="4">
        <v>1200</v>
      </c>
      <c r="O332" s="4">
        <v>0</v>
      </c>
      <c r="P332" s="4">
        <v>15600</v>
      </c>
      <c r="Q332" s="4">
        <v>3</v>
      </c>
      <c r="R332" s="4" t="s">
        <v>48</v>
      </c>
      <c r="S332" s="4" t="s">
        <v>115</v>
      </c>
      <c r="T332" s="4" t="s">
        <v>62</v>
      </c>
      <c r="U332" s="6" t="s">
        <v>1499</v>
      </c>
      <c r="V332" s="4" t="s">
        <v>69</v>
      </c>
    </row>
    <row r="333" spans="1:31" x14ac:dyDescent="0.3">
      <c r="A333" s="7" t="s">
        <v>1500</v>
      </c>
      <c r="B333" s="8" t="s">
        <v>327</v>
      </c>
      <c r="C333" s="8" t="s">
        <v>40</v>
      </c>
      <c r="D333" s="53">
        <v>45895</v>
      </c>
      <c r="E333" s="49" t="s">
        <v>1502</v>
      </c>
      <c r="F333" s="4" t="str">
        <f>TRIM(PROPER(Sales_Data!F333))</f>
        <v>Amit Sharma</v>
      </c>
      <c r="G333" s="8" t="s">
        <v>76</v>
      </c>
      <c r="H333" s="8" t="s">
        <v>1503</v>
      </c>
      <c r="I333" s="8" t="s">
        <v>44</v>
      </c>
      <c r="J333" s="4" t="str">
        <f>PROPER(Sales_Data!J333)</f>
        <v>North</v>
      </c>
      <c r="K333" s="4" t="str">
        <f>PROPER(Sales_Data!K333)</f>
        <v>Electronics</v>
      </c>
      <c r="L333" s="8" t="s">
        <v>47</v>
      </c>
      <c r="M333" s="8">
        <v>5</v>
      </c>
      <c r="N333" s="8">
        <v>12000</v>
      </c>
      <c r="O333" s="8">
        <v>10</v>
      </c>
      <c r="P333" s="8">
        <v>54000</v>
      </c>
      <c r="Q333" s="8">
        <v>3</v>
      </c>
      <c r="R333" s="8" t="s">
        <v>88</v>
      </c>
      <c r="S333" s="8" t="s">
        <v>49</v>
      </c>
      <c r="T333" s="8" t="s">
        <v>332</v>
      </c>
      <c r="U333" s="9" t="s">
        <v>1504</v>
      </c>
      <c r="V333" s="8" t="s">
        <v>38</v>
      </c>
    </row>
    <row r="334" spans="1:31" x14ac:dyDescent="0.3">
      <c r="A334" s="3" t="s">
        <v>1505</v>
      </c>
      <c r="B334" s="4" t="s">
        <v>53</v>
      </c>
      <c r="C334" s="4" t="s">
        <v>259</v>
      </c>
      <c r="D334" s="52">
        <v>45752</v>
      </c>
      <c r="E334" s="48" t="s">
        <v>1507</v>
      </c>
      <c r="F334" s="4" t="str">
        <f>TRIM(PROPER(Sales_Data!F334))</f>
        <v>Pooja Shah</v>
      </c>
      <c r="G334" s="4" t="s">
        <v>28</v>
      </c>
      <c r="H334" s="4" t="s">
        <v>1508</v>
      </c>
      <c r="I334" s="4" t="s">
        <v>59</v>
      </c>
      <c r="J334" s="4" t="str">
        <f>PROPER(Sales_Data!J334)</f>
        <v>South</v>
      </c>
      <c r="K334" s="4" t="str">
        <f>PROPER(Sales_Data!K334)</f>
        <v>Stationery</v>
      </c>
      <c r="L334" s="4" t="s">
        <v>263</v>
      </c>
      <c r="M334" s="4">
        <v>12</v>
      </c>
      <c r="N334" s="4">
        <v>45</v>
      </c>
      <c r="O334" s="4">
        <v>20</v>
      </c>
      <c r="P334" s="4">
        <v>432</v>
      </c>
      <c r="Q334" s="4">
        <v>3</v>
      </c>
      <c r="R334" s="4" t="s">
        <v>48</v>
      </c>
      <c r="S334" s="4" t="s">
        <v>61</v>
      </c>
      <c r="T334" s="4" t="s">
        <v>62</v>
      </c>
      <c r="U334" s="6" t="s">
        <v>1509</v>
      </c>
      <c r="V334" s="4" t="s">
        <v>38</v>
      </c>
    </row>
    <row r="335" spans="1:31" x14ac:dyDescent="0.3">
      <c r="A335" s="7" t="s">
        <v>1510</v>
      </c>
      <c r="B335" s="8" t="s">
        <v>23</v>
      </c>
      <c r="C335" s="8" t="s">
        <v>92</v>
      </c>
      <c r="D335" s="53">
        <v>45756</v>
      </c>
      <c r="E335" s="49" t="s">
        <v>666</v>
      </c>
      <c r="F335" s="4" t="str">
        <f>TRIM(PROPER(Sales_Data!F335))</f>
        <v>Kavya Nair</v>
      </c>
      <c r="G335" s="8" t="s">
        <v>28</v>
      </c>
      <c r="H335" s="8" t="s">
        <v>1511</v>
      </c>
      <c r="I335" s="8" t="s">
        <v>59</v>
      </c>
      <c r="J335" s="4" t="str">
        <f>PROPER(Sales_Data!J335)</f>
        <v>South</v>
      </c>
      <c r="K335" s="4" t="str">
        <f>PROPER(Sales_Data!K335)</f>
        <v>Home Appliances</v>
      </c>
      <c r="L335" s="8" t="s">
        <v>97</v>
      </c>
      <c r="M335" s="8">
        <v>2</v>
      </c>
      <c r="N335" s="8">
        <v>3500</v>
      </c>
      <c r="O335" s="8">
        <v>0</v>
      </c>
      <c r="P335" s="8">
        <v>7000</v>
      </c>
      <c r="Q335" s="8">
        <v>1</v>
      </c>
      <c r="R335" s="8" t="s">
        <v>48</v>
      </c>
      <c r="S335" s="8" t="s">
        <v>115</v>
      </c>
      <c r="T335" s="8" t="s">
        <v>50</v>
      </c>
      <c r="U335" s="9" t="s">
        <v>1512</v>
      </c>
      <c r="V335" s="8" t="s">
        <v>64</v>
      </c>
    </row>
    <row r="336" spans="1:31" x14ac:dyDescent="0.3">
      <c r="A336" s="3" t="s">
        <v>1513</v>
      </c>
      <c r="B336" s="4" t="s">
        <v>23</v>
      </c>
      <c r="C336" s="4" t="s">
        <v>24</v>
      </c>
      <c r="D336" s="52">
        <v>46155</v>
      </c>
      <c r="E336" s="48" t="s">
        <v>1180</v>
      </c>
      <c r="F336" s="4" t="str">
        <f>TRIM(PROPER(Sales_Data!F336))</f>
        <v>Kavya Nair</v>
      </c>
      <c r="G336" s="4" t="s">
        <v>28</v>
      </c>
      <c r="H336" s="4" t="s">
        <v>1514</v>
      </c>
      <c r="I336" s="4" t="s">
        <v>114</v>
      </c>
      <c r="J336" s="4" t="str">
        <f>PROPER(Sales_Data!J336)</f>
        <v>West</v>
      </c>
      <c r="K336" s="4" t="str">
        <f>PROPER(Sales_Data!K336)</f>
        <v>Home Appliances</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53">
        <v>45995</v>
      </c>
      <c r="E337" s="49" t="s">
        <v>1253</v>
      </c>
      <c r="F337" s="4" t="str">
        <f>TRIM(PROPER(Sales_Data!F337))</f>
        <v>Priya Patel</v>
      </c>
      <c r="G337" s="8" t="s">
        <v>28</v>
      </c>
      <c r="H337" s="8" t="s">
        <v>1517</v>
      </c>
      <c r="I337" s="8" t="s">
        <v>138</v>
      </c>
      <c r="J337" s="4" t="str">
        <f>PROPER(Sales_Data!J337)</f>
        <v>West</v>
      </c>
      <c r="K337" s="4" t="str">
        <f>PROPER(Sales_Data!K337)</f>
        <v>Stationery</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52">
        <v>46089</v>
      </c>
      <c r="E338" s="48" t="s">
        <v>798</v>
      </c>
      <c r="F338" s="4" t="str">
        <f>TRIM(PROPER(Sales_Data!F338))</f>
        <v>Rohit Singh</v>
      </c>
      <c r="G338" s="4" t="s">
        <v>76</v>
      </c>
      <c r="H338" s="4" t="s">
        <v>1520</v>
      </c>
      <c r="I338" s="4" t="s">
        <v>30</v>
      </c>
      <c r="J338" s="4" t="str">
        <f>PROPER(Sales_Data!J338)</f>
        <v>South</v>
      </c>
      <c r="K338" s="4" t="str">
        <f>PROPER(Sales_Data!K338)</f>
        <v>Stationery</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53">
        <v>46027</v>
      </c>
      <c r="E339" s="49" t="s">
        <v>253</v>
      </c>
      <c r="F339" s="4" t="str">
        <f>TRIM(PROPER(Sales_Data!F339))</f>
        <v>Kavya Nair</v>
      </c>
      <c r="G339" s="8" t="s">
        <v>28</v>
      </c>
      <c r="H339" s="8" t="s">
        <v>1523</v>
      </c>
      <c r="I339" s="8" t="s">
        <v>212</v>
      </c>
      <c r="J339" s="4" t="str">
        <f>PROPER(Sales_Data!J339)</f>
        <v>North</v>
      </c>
      <c r="K339" s="4" t="str">
        <f>PROPER(Sales_Data!K339)</f>
        <v>Electronics</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52">
        <v>45695</v>
      </c>
      <c r="E340" s="48" t="s">
        <v>1526</v>
      </c>
      <c r="F340" s="4" t="str">
        <f>TRIM(PROPER(Sales_Data!F340))</f>
        <v>Amit Sharma</v>
      </c>
      <c r="G340" s="4" t="s">
        <v>76</v>
      </c>
      <c r="H340" s="4" t="s">
        <v>1527</v>
      </c>
      <c r="I340" s="4" t="s">
        <v>30</v>
      </c>
      <c r="J340" s="4" t="str">
        <f>PROPER(Sales_Data!J340)</f>
        <v>South</v>
      </c>
      <c r="K340" s="4" t="str">
        <f>PROPER(Sales_Data!K340)</f>
        <v>Home Appliances</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53">
        <v>45866</v>
      </c>
      <c r="E341" s="49" t="s">
        <v>156</v>
      </c>
      <c r="F341" s="4" t="str">
        <f>TRIM(PROPER(Sales_Data!F341))</f>
        <v>Kavya Nair</v>
      </c>
      <c r="G341" s="8" t="s">
        <v>28</v>
      </c>
      <c r="H341" s="8" t="s">
        <v>1531</v>
      </c>
      <c r="I341" s="8" t="s">
        <v>294</v>
      </c>
      <c r="J341" s="4" t="str">
        <f>PROPER(Sales_Data!J341)</f>
        <v>East</v>
      </c>
      <c r="K341" s="4" t="str">
        <f>PROPER(Sales_Data!K341)</f>
        <v>Stationery</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52">
        <v>45945</v>
      </c>
      <c r="E342" s="48" t="s">
        <v>793</v>
      </c>
      <c r="F342" s="4" t="str">
        <f>TRIM(PROPER(Sales_Data!F342))</f>
        <v>Rohit Singh</v>
      </c>
      <c r="G342" s="4" t="s">
        <v>76</v>
      </c>
      <c r="H342" s="4" t="s">
        <v>1534</v>
      </c>
      <c r="I342" s="4" t="s">
        <v>44</v>
      </c>
      <c r="J342" s="4" t="str">
        <f>PROPER(Sales_Data!J342)</f>
        <v>North</v>
      </c>
      <c r="K342" s="4" t="str">
        <f>PROPER(Sales_Data!K342)</f>
        <v>Stationery</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53">
        <v>45997</v>
      </c>
      <c r="E343" s="49" t="s">
        <v>1214</v>
      </c>
      <c r="F343" s="4" t="str">
        <f>TRIM(PROPER(Sales_Data!F343))</f>
        <v>Anita Gupta</v>
      </c>
      <c r="G343" s="8" t="s">
        <v>28</v>
      </c>
      <c r="H343" s="8" t="s">
        <v>1538</v>
      </c>
      <c r="I343" s="8" t="s">
        <v>44</v>
      </c>
      <c r="J343" s="4" t="str">
        <f>PROPER(Sales_Data!J343)</f>
        <v>North</v>
      </c>
      <c r="K343" s="4" t="str">
        <f>PROPER(Sales_Data!K343)</f>
        <v>Stationery</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52">
        <v>45797</v>
      </c>
      <c r="E344" s="48" t="s">
        <v>236</v>
      </c>
      <c r="F344" s="4" t="str">
        <f>TRIM(PROPER(Sales_Data!F344))</f>
        <v>Arjun Rao</v>
      </c>
      <c r="G344" s="4" t="s">
        <v>76</v>
      </c>
      <c r="H344" s="4" t="s">
        <v>1541</v>
      </c>
      <c r="I344" s="4" t="s">
        <v>44</v>
      </c>
      <c r="J344" s="4" t="str">
        <f>PROPER(Sales_Data!J344)</f>
        <v>North</v>
      </c>
      <c r="K344" s="4" t="str">
        <f>PROPER(Sales_Data!K344)</f>
        <v>Electronics</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53">
        <v>45863</v>
      </c>
      <c r="E345" s="49" t="s">
        <v>1544</v>
      </c>
      <c r="F345" s="4" t="str">
        <f>TRIM(PROPER(Sales_Data!F345))</f>
        <v>Amit Sharma</v>
      </c>
      <c r="G345" s="8" t="s">
        <v>76</v>
      </c>
      <c r="H345" s="8" t="s">
        <v>1545</v>
      </c>
      <c r="I345" s="8" t="s">
        <v>44</v>
      </c>
      <c r="J345" s="4" t="str">
        <f>PROPER(Sales_Data!J345)</f>
        <v>North</v>
      </c>
      <c r="K345" s="4" t="str">
        <f>PROPER(Sales_Data!K345)</f>
        <v>Stationery</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52">
        <v>45874</v>
      </c>
      <c r="E346" s="48" t="s">
        <v>1548</v>
      </c>
      <c r="F346" s="4" t="str">
        <f>TRIM(PROPER(Sales_Data!F346))</f>
        <v>Rohit Singh</v>
      </c>
      <c r="G346" s="4" t="s">
        <v>76</v>
      </c>
      <c r="H346" s="4" t="s">
        <v>1549</v>
      </c>
      <c r="I346" s="4" t="s">
        <v>59</v>
      </c>
      <c r="J346" s="4" t="str">
        <f>PROPER(Sales_Data!J346)</f>
        <v>South</v>
      </c>
      <c r="K346" s="4" t="str">
        <f>PROPER(Sales_Data!K346)</f>
        <v>Home Appliances</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53">
        <v>46071</v>
      </c>
      <c r="E347" s="49" t="s">
        <v>94</v>
      </c>
      <c r="F347" s="4" t="str">
        <f>TRIM(PROPER(Sales_Data!F347))</f>
        <v>Pooja Shah</v>
      </c>
      <c r="G347" s="8" t="s">
        <v>28</v>
      </c>
      <c r="H347" s="8" t="s">
        <v>1552</v>
      </c>
      <c r="I347" s="8" t="s">
        <v>138</v>
      </c>
      <c r="J347" s="4" t="str">
        <f>PROPER(Sales_Data!J347)</f>
        <v>West</v>
      </c>
      <c r="K347" s="4" t="str">
        <f>PROPER(Sales_Data!K347)</f>
        <v>Home Appliances</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52">
        <v>46102</v>
      </c>
      <c r="E348" s="48" t="s">
        <v>544</v>
      </c>
      <c r="F348" s="4" t="str">
        <f>TRIM(PROPER(Sales_Data!F348))</f>
        <v>Kavya Nair</v>
      </c>
      <c r="G348" s="4" t="s">
        <v>28</v>
      </c>
      <c r="H348" s="4" t="s">
        <v>1555</v>
      </c>
      <c r="I348" s="4" t="s">
        <v>138</v>
      </c>
      <c r="J348" s="4" t="str">
        <f>PROPER(Sales_Data!J348)</f>
        <v>West</v>
      </c>
      <c r="K348" s="4" t="str">
        <f>PROPER(Sales_Data!K348)</f>
        <v>Stationery</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53">
        <v>46128</v>
      </c>
      <c r="E349" s="49" t="s">
        <v>356</v>
      </c>
      <c r="F349" s="4" t="str">
        <f>TRIM(PROPER(Sales_Data!F349))</f>
        <v>Sneha Joshi</v>
      </c>
      <c r="G349" s="8" t="s">
        <v>28</v>
      </c>
      <c r="H349" s="8" t="s">
        <v>1558</v>
      </c>
      <c r="I349" s="8" t="s">
        <v>44</v>
      </c>
      <c r="J349" s="4" t="str">
        <f>PROPER(Sales_Data!J349)</f>
        <v>North</v>
      </c>
      <c r="K349" s="4" t="str">
        <f>PROPER(Sales_Data!K349)</f>
        <v>Home Appliances</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52">
        <v>45943</v>
      </c>
      <c r="E350" s="48" t="s">
        <v>346</v>
      </c>
      <c r="F350" s="4" t="str">
        <f>TRIM(PROPER(Sales_Data!F350))</f>
        <v>Pooja Shah</v>
      </c>
      <c r="G350" s="4" t="s">
        <v>28</v>
      </c>
      <c r="H350" s="4" t="s">
        <v>1562</v>
      </c>
      <c r="I350" s="4" t="s">
        <v>294</v>
      </c>
      <c r="J350" s="4" t="str">
        <f>PROPER(Sales_Data!J350)</f>
        <v>East</v>
      </c>
      <c r="K350" s="4" t="str">
        <f>PROPER(Sales_Data!K350)</f>
        <v>Home Appliances</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53">
        <v>45996</v>
      </c>
      <c r="E351" s="49" t="s">
        <v>1475</v>
      </c>
      <c r="F351" s="4" t="str">
        <f>TRIM(PROPER(Sales_Data!F351))</f>
        <v>Pooja Shah</v>
      </c>
      <c r="G351" s="8" t="s">
        <v>28</v>
      </c>
      <c r="H351" s="8" t="s">
        <v>1566</v>
      </c>
      <c r="I351" s="8" t="s">
        <v>212</v>
      </c>
      <c r="J351" s="4" t="str">
        <f>PROPER(Sales_Data!J351)</f>
        <v>North</v>
      </c>
      <c r="K351" s="4" t="str">
        <f>PROPER(Sales_Data!K351)</f>
        <v>Home Appliances</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52">
        <v>45868</v>
      </c>
      <c r="E352" s="48" t="s">
        <v>720</v>
      </c>
      <c r="F352" s="4" t="str">
        <f>TRIM(PROPER(Sales_Data!F352))</f>
        <v>Arjun Rao</v>
      </c>
      <c r="G352" s="4" t="s">
        <v>76</v>
      </c>
      <c r="H352" s="4" t="s">
        <v>1569</v>
      </c>
      <c r="I352" s="4" t="s">
        <v>105</v>
      </c>
      <c r="J352" s="4" t="str">
        <f>PROPER(Sales_Data!J352)</f>
        <v>West</v>
      </c>
      <c r="K352" s="4" t="str">
        <f>PROPER(Sales_Data!K352)</f>
        <v>Electronics</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53">
        <v>45856</v>
      </c>
      <c r="E353" s="49" t="s">
        <v>835</v>
      </c>
      <c r="F353" s="4" t="str">
        <f>TRIM(PROPER(Sales_Data!F353))</f>
        <v>Rohit Singh</v>
      </c>
      <c r="G353" s="8" t="s">
        <v>76</v>
      </c>
      <c r="H353" s="8" t="s">
        <v>1573</v>
      </c>
      <c r="I353" s="8" t="s">
        <v>138</v>
      </c>
      <c r="J353" s="4" t="str">
        <f>PROPER(Sales_Data!J353)</f>
        <v>West</v>
      </c>
      <c r="K353" s="4" t="str">
        <f>PROPER(Sales_Data!K353)</f>
        <v>Home Appliances</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52">
        <v>46092</v>
      </c>
      <c r="E354" s="48" t="s">
        <v>1480</v>
      </c>
      <c r="F354" s="4" t="str">
        <f>TRIM(PROPER(Sales_Data!F354))</f>
        <v>Arjun Rao</v>
      </c>
      <c r="G354" s="4" t="s">
        <v>76</v>
      </c>
      <c r="H354" s="4" t="s">
        <v>1576</v>
      </c>
      <c r="I354" s="4" t="s">
        <v>138</v>
      </c>
      <c r="J354" s="4" t="str">
        <f>PROPER(Sales_Data!J354)</f>
        <v>West</v>
      </c>
      <c r="K354" s="4" t="str">
        <f>PROPER(Sales_Data!K354)</f>
        <v>Electronics</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53">
        <v>46120</v>
      </c>
      <c r="E355" s="49" t="s">
        <v>657</v>
      </c>
      <c r="F355" s="4" t="str">
        <f>TRIM(PROPER(Sales_Data!F355))</f>
        <v>Sneha Joshi</v>
      </c>
      <c r="G355" s="8" t="s">
        <v>28</v>
      </c>
      <c r="H355" s="8" t="s">
        <v>1579</v>
      </c>
      <c r="I355" s="8" t="s">
        <v>105</v>
      </c>
      <c r="J355" s="4" t="str">
        <f>PROPER(Sales_Data!J355)</f>
        <v>West</v>
      </c>
      <c r="K355" s="4" t="str">
        <f>PROPER(Sales_Data!K355)</f>
        <v>Electronics</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52">
        <v>45918</v>
      </c>
      <c r="E356" s="48" t="s">
        <v>1582</v>
      </c>
      <c r="F356" s="4" t="str">
        <f>TRIM(PROPER(Sales_Data!F356))</f>
        <v>Anita Gupta</v>
      </c>
      <c r="G356" s="4" t="s">
        <v>28</v>
      </c>
      <c r="H356" s="4" t="s">
        <v>1583</v>
      </c>
      <c r="I356" s="4" t="s">
        <v>105</v>
      </c>
      <c r="J356" s="4" t="str">
        <f>PROPER(Sales_Data!J356)</f>
        <v>West</v>
      </c>
      <c r="K356" s="4" t="str">
        <f>PROPER(Sales_Data!K356)</f>
        <v>Electronics</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53">
        <v>45941</v>
      </c>
      <c r="E357" s="49" t="s">
        <v>793</v>
      </c>
      <c r="F357" s="4" t="str">
        <f>TRIM(PROPER(Sales_Data!F357))</f>
        <v>Kavya Nair</v>
      </c>
      <c r="G357" s="8" t="s">
        <v>28</v>
      </c>
      <c r="H357" s="8" t="s">
        <v>1586</v>
      </c>
      <c r="I357" s="8" t="s">
        <v>212</v>
      </c>
      <c r="J357" s="4" t="str">
        <f>PROPER(Sales_Data!J357)</f>
        <v>North</v>
      </c>
      <c r="K357" s="4" t="str">
        <f>PROPER(Sales_Data!K357)</f>
        <v>Stationery</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52"/>
      <c r="E358" s="48" t="s">
        <v>1373</v>
      </c>
      <c r="F358" s="4" t="str">
        <f>TRIM(PROPER(Sales_Data!F358))</f>
        <v>Sneha Joshi</v>
      </c>
      <c r="G358" s="4" t="s">
        <v>28</v>
      </c>
      <c r="H358" s="4" t="s">
        <v>1590</v>
      </c>
      <c r="I358" s="4" t="s">
        <v>105</v>
      </c>
      <c r="J358" s="4" t="str">
        <f>PROPER(Sales_Data!J358)</f>
        <v>West</v>
      </c>
      <c r="K358" s="4" t="str">
        <f>PROPER(Sales_Data!K358)</f>
        <v>Electronics</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53">
        <v>46005</v>
      </c>
      <c r="E359" s="49" t="s">
        <v>961</v>
      </c>
      <c r="F359" s="4" t="str">
        <f>TRIM(PROPER(Sales_Data!F359))</f>
        <v>Mohit Verma</v>
      </c>
      <c r="G359" s="8" t="s">
        <v>76</v>
      </c>
      <c r="H359" s="8" t="s">
        <v>1593</v>
      </c>
      <c r="I359" s="8" t="s">
        <v>212</v>
      </c>
      <c r="J359" s="4" t="str">
        <f>PROPER(Sales_Data!J359)</f>
        <v>North</v>
      </c>
      <c r="K359" s="4" t="str">
        <f>PROPER(Sales_Data!K359)</f>
        <v>Home Appliances</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52">
        <v>46123</v>
      </c>
      <c r="E360" s="48" t="s">
        <v>356</v>
      </c>
      <c r="F360" s="4" t="str">
        <f>TRIM(PROPER(Sales_Data!F360))</f>
        <v>Sneha Joshi</v>
      </c>
      <c r="G360" s="4" t="s">
        <v>28</v>
      </c>
      <c r="H360" s="4" t="s">
        <v>1596</v>
      </c>
      <c r="I360" s="4" t="s">
        <v>114</v>
      </c>
      <c r="J360" s="4" t="str">
        <f>PROPER(Sales_Data!J360)</f>
        <v>West</v>
      </c>
      <c r="K360" s="4" t="str">
        <f>PROPER(Sales_Data!K360)</f>
        <v>Home Appliances</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53">
        <v>45766</v>
      </c>
      <c r="E361" s="49" t="s">
        <v>953</v>
      </c>
      <c r="F361" s="4" t="str">
        <f>TRIM(PROPER(Sales_Data!F361))</f>
        <v>Rohit Singh</v>
      </c>
      <c r="G361" s="8" t="s">
        <v>76</v>
      </c>
      <c r="H361" s="8" t="s">
        <v>1599</v>
      </c>
      <c r="I361" s="8" t="s">
        <v>212</v>
      </c>
      <c r="J361" s="4" t="str">
        <f>PROPER(Sales_Data!J361)</f>
        <v>North</v>
      </c>
      <c r="K361" s="4" t="str">
        <f>PROPER(Sales_Data!K361)</f>
        <v>Stationery</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52">
        <v>46152</v>
      </c>
      <c r="E362" s="48" t="s">
        <v>1602</v>
      </c>
      <c r="F362" s="4" t="str">
        <f>TRIM(PROPER(Sales_Data!F362))</f>
        <v>Rohit Singh</v>
      </c>
      <c r="G362" s="4" t="s">
        <v>76</v>
      </c>
      <c r="H362" s="4" t="s">
        <v>1603</v>
      </c>
      <c r="I362" s="4" t="s">
        <v>105</v>
      </c>
      <c r="J362" s="4" t="str">
        <f>PROPER(Sales_Data!J362)</f>
        <v>West</v>
      </c>
      <c r="K362" s="4" t="str">
        <f>PROPER(Sales_Data!K362)</f>
        <v>Stationery</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53">
        <v>45858</v>
      </c>
      <c r="E363" s="49" t="s">
        <v>155</v>
      </c>
      <c r="F363" s="4" t="str">
        <f>TRIM(PROPER(Sales_Data!F363))</f>
        <v>Mohit Verma</v>
      </c>
      <c r="G363" s="8" t="s">
        <v>76</v>
      </c>
      <c r="H363" s="8" t="s">
        <v>1606</v>
      </c>
      <c r="I363" s="8" t="s">
        <v>105</v>
      </c>
      <c r="J363" s="4" t="str">
        <f>PROPER(Sales_Data!J363)</f>
        <v>West</v>
      </c>
      <c r="K363" s="4" t="str">
        <f>PROPER(Sales_Data!K363)</f>
        <v>Home Appliances</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52">
        <v>46045</v>
      </c>
      <c r="E364" s="48" t="s">
        <v>588</v>
      </c>
      <c r="F364" s="4" t="str">
        <f>TRIM(PROPER(Sales_Data!F364))</f>
        <v>Mohit Verma</v>
      </c>
      <c r="G364" s="4" t="s">
        <v>76</v>
      </c>
      <c r="H364" s="4" t="s">
        <v>1610</v>
      </c>
      <c r="I364" s="4" t="s">
        <v>30</v>
      </c>
      <c r="J364" s="4" t="str">
        <f>PROPER(Sales_Data!J364)</f>
        <v>South</v>
      </c>
      <c r="K364" s="4" t="str">
        <f>PROPER(Sales_Data!K364)</f>
        <v>Electronics</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53">
        <v>46097</v>
      </c>
      <c r="E365" s="49" t="s">
        <v>65</v>
      </c>
      <c r="F365" s="4" t="str">
        <f>TRIM(PROPER(Sales_Data!F365))</f>
        <v>Pooja Shah</v>
      </c>
      <c r="G365" s="8" t="s">
        <v>28</v>
      </c>
      <c r="H365" s="8" t="s">
        <v>1613</v>
      </c>
      <c r="I365" s="8" t="s">
        <v>59</v>
      </c>
      <c r="J365" s="4" t="str">
        <f>PROPER(Sales_Data!J365)</f>
        <v>South</v>
      </c>
      <c r="K365" s="4" t="str">
        <f>PROPER(Sales_Data!K365)</f>
        <v>Stationery</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52">
        <v>45777</v>
      </c>
      <c r="E366" s="48" t="s">
        <v>1616</v>
      </c>
      <c r="F366" s="4" t="str">
        <f>TRIM(PROPER(Sales_Data!F366))</f>
        <v>Priya Patel</v>
      </c>
      <c r="G366" s="4" t="s">
        <v>28</v>
      </c>
      <c r="H366" s="4" t="s">
        <v>1617</v>
      </c>
      <c r="I366" s="4" t="s">
        <v>30</v>
      </c>
      <c r="J366" s="4" t="str">
        <f>PROPER(Sales_Data!J366)</f>
        <v>South</v>
      </c>
      <c r="K366" s="4" t="str">
        <f>PROPER(Sales_Data!K366)</f>
        <v>Electronics</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53">
        <v>45691</v>
      </c>
      <c r="E367" s="49" t="s">
        <v>302</v>
      </c>
      <c r="F367" s="4" t="str">
        <f>TRIM(PROPER(Sales_Data!F367))</f>
        <v>Pooja Shah</v>
      </c>
      <c r="G367" s="8" t="s">
        <v>28</v>
      </c>
      <c r="H367" s="8" t="s">
        <v>1621</v>
      </c>
      <c r="I367" s="8" t="s">
        <v>30</v>
      </c>
      <c r="J367" s="4" t="str">
        <f>PROPER(Sales_Data!J367)</f>
        <v>South</v>
      </c>
      <c r="K367" s="4" t="str">
        <f>PROPER(Sales_Data!K367)</f>
        <v>Stationery</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52">
        <v>46088</v>
      </c>
      <c r="E368" s="48" t="s">
        <v>543</v>
      </c>
      <c r="F368" s="4" t="str">
        <f>TRIM(PROPER(Sales_Data!F368))</f>
        <v>Priya Patel</v>
      </c>
      <c r="G368" s="4" t="s">
        <v>28</v>
      </c>
      <c r="H368" s="4" t="s">
        <v>1624</v>
      </c>
      <c r="I368" s="4" t="s">
        <v>212</v>
      </c>
      <c r="J368" s="4" t="str">
        <f>PROPER(Sales_Data!J368)</f>
        <v>North</v>
      </c>
      <c r="K368" s="4" t="str">
        <f>PROPER(Sales_Data!K368)</f>
        <v>Stationery</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53">
        <v>45780</v>
      </c>
      <c r="E369" s="49" t="s">
        <v>944</v>
      </c>
      <c r="F369" s="4" t="str">
        <f>TRIM(PROPER(Sales_Data!F369))</f>
        <v>Kavya Nair</v>
      </c>
      <c r="G369" s="8" t="s">
        <v>28</v>
      </c>
      <c r="H369" s="8" t="s">
        <v>1627</v>
      </c>
      <c r="I369" s="8" t="s">
        <v>212</v>
      </c>
      <c r="J369" s="4" t="str">
        <f>PROPER(Sales_Data!J369)</f>
        <v>North</v>
      </c>
      <c r="K369" s="4" t="str">
        <f>PROPER(Sales_Data!K369)</f>
        <v>Home Appliances</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52">
        <v>46113</v>
      </c>
      <c r="E370" s="48" t="s">
        <v>1630</v>
      </c>
      <c r="F370" s="4" t="str">
        <f>TRIM(PROPER(Sales_Data!F370))</f>
        <v>Pooja Shah</v>
      </c>
      <c r="G370" s="4" t="s">
        <v>28</v>
      </c>
      <c r="H370" s="4" t="s">
        <v>1631</v>
      </c>
      <c r="I370" s="4" t="s">
        <v>30</v>
      </c>
      <c r="J370" s="4" t="str">
        <f>PROPER(Sales_Data!J370)</f>
        <v>South</v>
      </c>
      <c r="K370" s="4" t="str">
        <f>PROPER(Sales_Data!K370)</f>
        <v>Stationery</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53"/>
      <c r="E371" s="49" t="s">
        <v>1634</v>
      </c>
      <c r="F371" s="4" t="str">
        <f>TRIM(PROPER(Sales_Data!F371))</f>
        <v>Amit Sharma</v>
      </c>
      <c r="G371" s="8" t="s">
        <v>76</v>
      </c>
      <c r="H371" s="8" t="s">
        <v>1635</v>
      </c>
      <c r="I371" s="8" t="s">
        <v>44</v>
      </c>
      <c r="J371" s="4" t="str">
        <f>PROPER(Sales_Data!J371)</f>
        <v>North</v>
      </c>
      <c r="K371" s="4" t="str">
        <f>PROPER(Sales_Data!K371)</f>
        <v>Electronics</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52">
        <v>45936</v>
      </c>
      <c r="E372" s="48" t="s">
        <v>1638</v>
      </c>
      <c r="F372" s="4" t="str">
        <f>TRIM(PROPER(Sales_Data!F372))</f>
        <v>Mohit Verma</v>
      </c>
      <c r="G372" s="4" t="s">
        <v>76</v>
      </c>
      <c r="H372" s="4" t="s">
        <v>1639</v>
      </c>
      <c r="I372" s="4" t="s">
        <v>59</v>
      </c>
      <c r="J372" s="4" t="str">
        <f>PROPER(Sales_Data!J372)</f>
        <v>South</v>
      </c>
      <c r="K372" s="4" t="str">
        <f>PROPER(Sales_Data!K372)</f>
        <v>Stationery</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53">
        <v>45820</v>
      </c>
      <c r="E373" s="49" t="s">
        <v>1643</v>
      </c>
      <c r="F373" s="4" t="str">
        <f>TRIM(PROPER(Sales_Data!F373))</f>
        <v>Sneha Joshi</v>
      </c>
      <c r="G373" s="8" t="s">
        <v>28</v>
      </c>
      <c r="H373" s="8" t="s">
        <v>1644</v>
      </c>
      <c r="I373" s="8" t="s">
        <v>212</v>
      </c>
      <c r="J373" s="4" t="str">
        <f>PROPER(Sales_Data!J373)</f>
        <v>North</v>
      </c>
      <c r="K373" s="4" t="str">
        <f>PROPER(Sales_Data!K373)</f>
        <v>Stationery</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52">
        <v>45979</v>
      </c>
      <c r="E374" s="48" t="s">
        <v>980</v>
      </c>
      <c r="F374" s="4" t="str">
        <f>TRIM(PROPER(Sales_Data!F374))</f>
        <v>Anita Gupta</v>
      </c>
      <c r="G374" s="4" t="s">
        <v>28</v>
      </c>
      <c r="H374" s="4" t="s">
        <v>1647</v>
      </c>
      <c r="I374" s="4" t="s">
        <v>59</v>
      </c>
      <c r="J374" s="4" t="str">
        <f>PROPER(Sales_Data!J374)</f>
        <v>South</v>
      </c>
      <c r="K374" s="4" t="str">
        <f>PROPER(Sales_Data!K374)</f>
        <v>Stationery</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53">
        <v>45962</v>
      </c>
      <c r="E375" s="49" t="s">
        <v>1102</v>
      </c>
      <c r="F375" s="4" t="str">
        <f>TRIM(PROPER(Sales_Data!F375))</f>
        <v>Arjun Rao</v>
      </c>
      <c r="G375" s="8" t="s">
        <v>76</v>
      </c>
      <c r="H375" s="8" t="s">
        <v>1651</v>
      </c>
      <c r="I375" s="8" t="s">
        <v>30</v>
      </c>
      <c r="J375" s="4" t="str">
        <f>PROPER(Sales_Data!J375)</f>
        <v>South</v>
      </c>
      <c r="K375" s="4" t="str">
        <f>PROPER(Sales_Data!K375)</f>
        <v>Electronics</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52">
        <v>45681</v>
      </c>
      <c r="E376" s="48" t="s">
        <v>1654</v>
      </c>
      <c r="F376" s="4" t="str">
        <f>TRIM(PROPER(Sales_Data!F376))</f>
        <v>Vikas Mehta</v>
      </c>
      <c r="G376" s="4" t="s">
        <v>76</v>
      </c>
      <c r="H376" s="4" t="s">
        <v>1655</v>
      </c>
      <c r="I376" s="4" t="s">
        <v>294</v>
      </c>
      <c r="J376" s="4" t="str">
        <f>PROPER(Sales_Data!J376)</f>
        <v>East</v>
      </c>
      <c r="K376" s="4" t="str">
        <f>PROPER(Sales_Data!K376)</f>
        <v>Electronics</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53">
        <v>46066</v>
      </c>
      <c r="E377" s="49" t="s">
        <v>923</v>
      </c>
      <c r="F377" s="4" t="str">
        <f>TRIM(PROPER(Sales_Data!F377))</f>
        <v>Kavya Nair</v>
      </c>
      <c r="G377" s="8" t="s">
        <v>28</v>
      </c>
      <c r="H377" s="8" t="s">
        <v>1658</v>
      </c>
      <c r="I377" s="8" t="s">
        <v>105</v>
      </c>
      <c r="J377" s="4" t="str">
        <f>PROPER(Sales_Data!J377)</f>
        <v>West</v>
      </c>
      <c r="K377" s="4" t="str">
        <f>PROPER(Sales_Data!K377)</f>
        <v>Electronics</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52">
        <v>45696</v>
      </c>
      <c r="E378" s="48" t="s">
        <v>303</v>
      </c>
      <c r="F378" s="4" t="str">
        <f>TRIM(PROPER(Sales_Data!F378))</f>
        <v>Mohit Verma</v>
      </c>
      <c r="G378" s="4" t="s">
        <v>76</v>
      </c>
      <c r="H378" s="4" t="s">
        <v>1661</v>
      </c>
      <c r="I378" s="4" t="s">
        <v>114</v>
      </c>
      <c r="J378" s="4" t="str">
        <f>PROPER(Sales_Data!J378)</f>
        <v>West</v>
      </c>
      <c r="K378" s="4" t="str">
        <f>PROPER(Sales_Data!K378)</f>
        <v>Electronics</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53">
        <v>46019</v>
      </c>
      <c r="E379" s="49" t="s">
        <v>712</v>
      </c>
      <c r="F379" s="4" t="str">
        <f>TRIM(PROPER(Sales_Data!F379))</f>
        <v>Arjun Rao</v>
      </c>
      <c r="G379" s="8" t="s">
        <v>76</v>
      </c>
      <c r="H379" s="8" t="s">
        <v>1664</v>
      </c>
      <c r="I379" s="8" t="s">
        <v>294</v>
      </c>
      <c r="J379" s="4" t="str">
        <f>PROPER(Sales_Data!J379)</f>
        <v>East</v>
      </c>
      <c r="K379" s="4" t="str">
        <f>PROPER(Sales_Data!K379)</f>
        <v>Electronics</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52">
        <v>45931</v>
      </c>
      <c r="E380" s="48" t="s">
        <v>1667</v>
      </c>
      <c r="F380" s="4" t="str">
        <f>TRIM(PROPER(Sales_Data!F380))</f>
        <v>Arjun Rao</v>
      </c>
      <c r="G380" s="4" t="s">
        <v>76</v>
      </c>
      <c r="H380" s="4" t="s">
        <v>1668</v>
      </c>
      <c r="I380" s="4" t="s">
        <v>212</v>
      </c>
      <c r="J380" s="4" t="str">
        <f>PROPER(Sales_Data!J380)</f>
        <v>North</v>
      </c>
      <c r="K380" s="4" t="str">
        <f>PROPER(Sales_Data!K380)</f>
        <v>Stationery</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53">
        <v>46009</v>
      </c>
      <c r="E381" s="49" t="s">
        <v>455</v>
      </c>
      <c r="F381" s="4" t="str">
        <f>TRIM(PROPER(Sales_Data!F381))</f>
        <v>Sneha Joshi</v>
      </c>
      <c r="G381" s="8" t="s">
        <v>28</v>
      </c>
      <c r="H381" s="8" t="s">
        <v>1671</v>
      </c>
      <c r="I381" s="8" t="s">
        <v>44</v>
      </c>
      <c r="J381" s="4" t="str">
        <f>PROPER(Sales_Data!J381)</f>
        <v>North</v>
      </c>
      <c r="K381" s="4" t="str">
        <f>PROPER(Sales_Data!K381)</f>
        <v>Electronics</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52">
        <v>45929</v>
      </c>
      <c r="E382" s="48" t="s">
        <v>74</v>
      </c>
      <c r="F382" s="4" t="str">
        <f>TRIM(PROPER(Sales_Data!F382))</f>
        <v>Sneha Joshi</v>
      </c>
      <c r="G382" s="4" t="s">
        <v>28</v>
      </c>
      <c r="H382" s="4" t="s">
        <v>1674</v>
      </c>
      <c r="I382" s="4" t="s">
        <v>44</v>
      </c>
      <c r="J382" s="4" t="str">
        <f>PROPER(Sales_Data!J382)</f>
        <v>North</v>
      </c>
      <c r="K382" s="4" t="str">
        <f>PROPER(Sales_Data!K382)</f>
        <v>Stationery</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53">
        <v>45791</v>
      </c>
      <c r="E383" s="49" t="s">
        <v>236</v>
      </c>
      <c r="F383" s="4" t="str">
        <f>TRIM(PROPER(Sales_Data!F383))</f>
        <v>Rohit Singh</v>
      </c>
      <c r="G383" s="8" t="s">
        <v>76</v>
      </c>
      <c r="H383" s="8" t="s">
        <v>1678</v>
      </c>
      <c r="I383" s="8" t="s">
        <v>59</v>
      </c>
      <c r="J383" s="4" t="str">
        <f>PROPER(Sales_Data!J383)</f>
        <v>South</v>
      </c>
      <c r="K383" s="4" t="str">
        <f>PROPER(Sales_Data!K383)</f>
        <v>Stationery</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52">
        <v>45748</v>
      </c>
      <c r="E384" s="48" t="s">
        <v>775</v>
      </c>
      <c r="F384" s="4" t="str">
        <f>TRIM(PROPER(Sales_Data!F384))</f>
        <v>Rohit Singh</v>
      </c>
      <c r="G384" s="4" t="s">
        <v>76</v>
      </c>
      <c r="H384" s="4" t="s">
        <v>1682</v>
      </c>
      <c r="I384" s="4" t="s">
        <v>294</v>
      </c>
      <c r="J384" s="4" t="str">
        <f>PROPER(Sales_Data!J384)</f>
        <v>East</v>
      </c>
      <c r="K384" s="4" t="str">
        <f>PROPER(Sales_Data!K384)</f>
        <v>Home Appliances</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53">
        <v>45754</v>
      </c>
      <c r="E385" s="49" t="s">
        <v>539</v>
      </c>
      <c r="F385" s="4" t="str">
        <f>TRIM(PROPER(Sales_Data!F385))</f>
        <v>Vikas Mehta</v>
      </c>
      <c r="G385" s="8" t="s">
        <v>76</v>
      </c>
      <c r="H385" s="8" t="s">
        <v>1685</v>
      </c>
      <c r="I385" s="8" t="s">
        <v>59</v>
      </c>
      <c r="J385" s="4" t="str">
        <f>PROPER(Sales_Data!J385)</f>
        <v>South</v>
      </c>
      <c r="K385" s="4" t="str">
        <f>PROPER(Sales_Data!K385)</f>
        <v>Stationery</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52">
        <v>46072</v>
      </c>
      <c r="E386" s="48" t="s">
        <v>1689</v>
      </c>
      <c r="F386" s="4" t="str">
        <f>TRIM(PROPER(Sales_Data!F386))</f>
        <v>Rohit Singh</v>
      </c>
      <c r="G386" s="4" t="s">
        <v>76</v>
      </c>
      <c r="H386" s="4" t="s">
        <v>1690</v>
      </c>
      <c r="I386" s="4" t="s">
        <v>44</v>
      </c>
      <c r="J386" s="4" t="str">
        <f>PROPER(Sales_Data!J386)</f>
        <v>North</v>
      </c>
      <c r="K386" s="4" t="str">
        <f>PROPER(Sales_Data!K386)</f>
        <v>Home Appliances</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53">
        <v>45995</v>
      </c>
      <c r="E387" s="49" t="s">
        <v>610</v>
      </c>
      <c r="F387" s="4" t="str">
        <f>TRIM(PROPER(Sales_Data!F387))</f>
        <v>Anita Gupta</v>
      </c>
      <c r="G387" s="8" t="s">
        <v>28</v>
      </c>
      <c r="H387" s="8" t="s">
        <v>1693</v>
      </c>
      <c r="I387" s="8" t="s">
        <v>138</v>
      </c>
      <c r="J387" s="4" t="str">
        <f>PROPER(Sales_Data!J387)</f>
        <v>West</v>
      </c>
      <c r="K387" s="4" t="str">
        <f>PROPER(Sales_Data!K387)</f>
        <v>Stationery</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52">
        <v>45950</v>
      </c>
      <c r="E388" s="48" t="s">
        <v>1696</v>
      </c>
      <c r="F388" s="4" t="str">
        <f>TRIM(PROPER(Sales_Data!F388))</f>
        <v>Vikas Mehta</v>
      </c>
      <c r="G388" s="4" t="s">
        <v>76</v>
      </c>
      <c r="H388" s="4" t="s">
        <v>1697</v>
      </c>
      <c r="I388" s="4" t="s">
        <v>30</v>
      </c>
      <c r="J388" s="4" t="str">
        <f>PROPER(Sales_Data!J388)</f>
        <v>South</v>
      </c>
      <c r="K388" s="4" t="str">
        <f>PROPER(Sales_Data!K388)</f>
        <v>Electronics</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53">
        <v>46043</v>
      </c>
      <c r="E389" s="49" t="s">
        <v>1700</v>
      </c>
      <c r="F389" s="4" t="str">
        <f>TRIM(PROPER(Sales_Data!F389))</f>
        <v>Mohit Verma</v>
      </c>
      <c r="G389" s="8" t="s">
        <v>76</v>
      </c>
      <c r="H389" s="8" t="s">
        <v>1701</v>
      </c>
      <c r="I389" s="8" t="s">
        <v>30</v>
      </c>
      <c r="J389" s="4" t="str">
        <f>PROPER(Sales_Data!J389)</f>
        <v>South</v>
      </c>
      <c r="K389" s="4" t="str">
        <f>PROPER(Sales_Data!K389)</f>
        <v>Stationery</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52">
        <v>45682</v>
      </c>
      <c r="E390" s="48" t="s">
        <v>1705</v>
      </c>
      <c r="F390" s="4" t="str">
        <f>TRIM(PROPER(Sales_Data!F390))</f>
        <v>Kavya Nair</v>
      </c>
      <c r="G390" s="4" t="s">
        <v>28</v>
      </c>
      <c r="H390" s="4" t="s">
        <v>1706</v>
      </c>
      <c r="I390" s="4" t="s">
        <v>294</v>
      </c>
      <c r="J390" s="4" t="str">
        <f>PROPER(Sales_Data!J390)</f>
        <v>East</v>
      </c>
      <c r="K390" s="4" t="str">
        <f>PROPER(Sales_Data!K390)</f>
        <v>Home Appliances</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53">
        <v>45716</v>
      </c>
      <c r="E391" s="49" t="s">
        <v>1409</v>
      </c>
      <c r="F391" s="4" t="str">
        <f>TRIM(PROPER(Sales_Data!F391))</f>
        <v>Priya Patel</v>
      </c>
      <c r="G391" s="8" t="s">
        <v>28</v>
      </c>
      <c r="H391" s="8" t="s">
        <v>1709</v>
      </c>
      <c r="I391" s="8" t="s">
        <v>114</v>
      </c>
      <c r="J391" s="4" t="str">
        <f>PROPER(Sales_Data!J391)</f>
        <v>West</v>
      </c>
      <c r="K391" s="4" t="str">
        <f>PROPER(Sales_Data!K391)</f>
        <v>Stationery</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52">
        <v>45828</v>
      </c>
      <c r="E392" s="48" t="s">
        <v>1713</v>
      </c>
      <c r="F392" s="4" t="str">
        <f>TRIM(PROPER(Sales_Data!F392))</f>
        <v>Priya Patel</v>
      </c>
      <c r="G392" s="4" t="s">
        <v>28</v>
      </c>
      <c r="H392" s="4" t="s">
        <v>1714</v>
      </c>
      <c r="I392" s="4" t="s">
        <v>114</v>
      </c>
      <c r="J392" s="4" t="str">
        <f>PROPER(Sales_Data!J392)</f>
        <v>West</v>
      </c>
      <c r="K392" s="4" t="str">
        <f>PROPER(Sales_Data!K392)</f>
        <v>Electronics</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53">
        <v>45805</v>
      </c>
      <c r="E393" s="49" t="s">
        <v>1718</v>
      </c>
      <c r="F393" s="4" t="str">
        <f>TRIM(PROPER(Sales_Data!F393))</f>
        <v>Pooja Shah</v>
      </c>
      <c r="G393" s="8" t="s">
        <v>28</v>
      </c>
      <c r="H393" s="8" t="s">
        <v>1719</v>
      </c>
      <c r="I393" s="8" t="s">
        <v>30</v>
      </c>
      <c r="J393" s="4" t="str">
        <f>PROPER(Sales_Data!J393)</f>
        <v>South</v>
      </c>
      <c r="K393" s="4" t="str">
        <f>PROPER(Sales_Data!K393)</f>
        <v>Stationery</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52">
        <v>45660</v>
      </c>
      <c r="E394" s="48" t="s">
        <v>206</v>
      </c>
      <c r="F394" s="4" t="str">
        <f>TRIM(PROPER(Sales_Data!F394))</f>
        <v>Sneha Joshi</v>
      </c>
      <c r="G394" s="4" t="s">
        <v>28</v>
      </c>
      <c r="H394" s="4" t="s">
        <v>1722</v>
      </c>
      <c r="I394" s="4" t="s">
        <v>44</v>
      </c>
      <c r="J394" s="4" t="str">
        <f>PROPER(Sales_Data!J394)</f>
        <v>North</v>
      </c>
      <c r="K394" s="4" t="str">
        <f>PROPER(Sales_Data!K394)</f>
        <v>Electronics</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53">
        <v>45685</v>
      </c>
      <c r="E395" s="49" t="s">
        <v>783</v>
      </c>
      <c r="F395" s="4" t="str">
        <f>TRIM(PROPER(Sales_Data!F395))</f>
        <v>Priya Patel</v>
      </c>
      <c r="G395" s="8" t="s">
        <v>28</v>
      </c>
      <c r="H395" s="8" t="s">
        <v>1725</v>
      </c>
      <c r="I395" s="8" t="s">
        <v>294</v>
      </c>
      <c r="J395" s="4" t="str">
        <f>PROPER(Sales_Data!J395)</f>
        <v>East</v>
      </c>
      <c r="K395" s="4" t="str">
        <f>PROPER(Sales_Data!K395)</f>
        <v>Home Appliances</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52">
        <v>46071</v>
      </c>
      <c r="E396" s="48" t="s">
        <v>1728</v>
      </c>
      <c r="F396" s="4" t="str">
        <f>TRIM(PROPER(Sales_Data!F396))</f>
        <v>Kavya Nair</v>
      </c>
      <c r="G396" s="4" t="s">
        <v>28</v>
      </c>
      <c r="H396" s="4" t="s">
        <v>1729</v>
      </c>
      <c r="I396" s="4" t="s">
        <v>138</v>
      </c>
      <c r="J396" s="4" t="str">
        <f>PROPER(Sales_Data!J396)</f>
        <v>West</v>
      </c>
      <c r="K396" s="4" t="str">
        <f>PROPER(Sales_Data!K396)</f>
        <v>Home Appliances</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53">
        <v>45872</v>
      </c>
      <c r="E397" s="49" t="s">
        <v>1733</v>
      </c>
      <c r="F397" s="4" t="str">
        <f>TRIM(PROPER(Sales_Data!F397))</f>
        <v>Rohit Singh</v>
      </c>
      <c r="G397" s="8" t="s">
        <v>76</v>
      </c>
      <c r="H397" s="8" t="s">
        <v>1734</v>
      </c>
      <c r="I397" s="8" t="s">
        <v>30</v>
      </c>
      <c r="J397" s="4" t="str">
        <f>PROPER(Sales_Data!J397)</f>
        <v>South</v>
      </c>
      <c r="K397" s="4" t="str">
        <f>PROPER(Sales_Data!K397)</f>
        <v>Electronics</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52">
        <v>45672</v>
      </c>
      <c r="E398" s="48" t="s">
        <v>1737</v>
      </c>
      <c r="F398" s="4" t="str">
        <f>TRIM(PROPER(Sales_Data!F398))</f>
        <v>Arjun Rao</v>
      </c>
      <c r="G398" s="4" t="s">
        <v>76</v>
      </c>
      <c r="H398" s="4" t="s">
        <v>1738</v>
      </c>
      <c r="I398" s="4" t="s">
        <v>44</v>
      </c>
      <c r="J398" s="4" t="str">
        <f>PROPER(Sales_Data!J398)</f>
        <v>North</v>
      </c>
      <c r="K398" s="4" t="str">
        <f>PROPER(Sales_Data!K398)</f>
        <v>Electronics</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53">
        <v>45688</v>
      </c>
      <c r="E399" s="49" t="s">
        <v>765</v>
      </c>
      <c r="F399" s="4" t="str">
        <f>TRIM(PROPER(Sales_Data!F399))</f>
        <v>Arjun Rao</v>
      </c>
      <c r="G399" s="8" t="s">
        <v>76</v>
      </c>
      <c r="H399" s="8" t="s">
        <v>1741</v>
      </c>
      <c r="I399" s="8" t="s">
        <v>294</v>
      </c>
      <c r="J399" s="4" t="str">
        <f>PROPER(Sales_Data!J399)</f>
        <v>East</v>
      </c>
      <c r="K399" s="4" t="str">
        <f>PROPER(Sales_Data!K399)</f>
        <v>Electronics</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52"/>
      <c r="E400" s="48" t="s">
        <v>1225</v>
      </c>
      <c r="F400" s="4" t="str">
        <f>TRIM(PROPER(Sales_Data!F400))</f>
        <v>Amit Sharma</v>
      </c>
      <c r="G400" s="4" t="s">
        <v>76</v>
      </c>
      <c r="H400" s="4" t="s">
        <v>1744</v>
      </c>
      <c r="I400" s="4" t="s">
        <v>59</v>
      </c>
      <c r="J400" s="4" t="str">
        <f>PROPER(Sales_Data!J400)</f>
        <v>South</v>
      </c>
      <c r="K400" s="4" t="str">
        <f>PROPER(Sales_Data!K400)</f>
        <v>Electronics</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53">
        <v>45790</v>
      </c>
      <c r="E401" s="49" t="s">
        <v>707</v>
      </c>
      <c r="F401" s="4" t="str">
        <f>TRIM(PROPER(Sales_Data!F401))</f>
        <v>Kavya Nair</v>
      </c>
      <c r="G401" s="8" t="s">
        <v>28</v>
      </c>
      <c r="H401" s="8" t="s">
        <v>1748</v>
      </c>
      <c r="I401" s="8" t="s">
        <v>44</v>
      </c>
      <c r="J401" s="4" t="str">
        <f>PROPER(Sales_Data!J401)</f>
        <v>North</v>
      </c>
      <c r="K401" s="4" t="str">
        <f>PROPER(Sales_Data!K401)</f>
        <v>Electronics</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52">
        <v>46018</v>
      </c>
      <c r="E402" s="48" t="s">
        <v>84</v>
      </c>
      <c r="F402" s="4" t="str">
        <f>TRIM(PROPER(Sales_Data!F402))</f>
        <v>Mohit Verma</v>
      </c>
      <c r="G402" s="4" t="s">
        <v>76</v>
      </c>
      <c r="H402" s="4" t="s">
        <v>1751</v>
      </c>
      <c r="I402" s="4" t="s">
        <v>30</v>
      </c>
      <c r="J402" s="4" t="str">
        <f>PROPER(Sales_Data!J402)</f>
        <v>South</v>
      </c>
      <c r="K402" s="4" t="str">
        <f>PROPER(Sales_Data!K402)</f>
        <v>Home Appliances</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53">
        <v>45699</v>
      </c>
      <c r="E403" s="49" t="s">
        <v>386</v>
      </c>
      <c r="F403" s="4" t="str">
        <f>TRIM(PROPER(Sales_Data!F403))</f>
        <v>Kavya Nair</v>
      </c>
      <c r="G403" s="8" t="s">
        <v>28</v>
      </c>
      <c r="H403" s="8" t="s">
        <v>1754</v>
      </c>
      <c r="I403" s="8" t="s">
        <v>138</v>
      </c>
      <c r="J403" s="4" t="str">
        <f>PROPER(Sales_Data!J403)</f>
        <v>West</v>
      </c>
      <c r="K403" s="4" t="str">
        <f>PROPER(Sales_Data!K403)</f>
        <v>Stationery</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52">
        <v>46094</v>
      </c>
      <c r="E404" s="48" t="s">
        <v>404</v>
      </c>
      <c r="F404" s="4" t="str">
        <f>TRIM(PROPER(Sales_Data!F404))</f>
        <v>Mohit Verma</v>
      </c>
      <c r="G404" s="4" t="s">
        <v>76</v>
      </c>
      <c r="H404" s="4" t="s">
        <v>1757</v>
      </c>
      <c r="I404" s="4" t="s">
        <v>105</v>
      </c>
      <c r="J404" s="4" t="str">
        <f>PROPER(Sales_Data!J404)</f>
        <v>West</v>
      </c>
      <c r="K404" s="4" t="str">
        <f>PROPER(Sales_Data!K404)</f>
        <v>Home Appliances</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53">
        <v>45931</v>
      </c>
      <c r="E405" s="49" t="s">
        <v>1760</v>
      </c>
      <c r="F405" s="4" t="str">
        <f>TRIM(PROPER(Sales_Data!F405))</f>
        <v>Kavya Nair</v>
      </c>
      <c r="G405" s="8" t="s">
        <v>28</v>
      </c>
      <c r="H405" s="8" t="s">
        <v>1761</v>
      </c>
      <c r="I405" s="8" t="s">
        <v>105</v>
      </c>
      <c r="J405" s="4" t="str">
        <f>PROPER(Sales_Data!J405)</f>
        <v>West</v>
      </c>
      <c r="K405" s="4" t="str">
        <f>PROPER(Sales_Data!K405)</f>
        <v>Home Appliances</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52">
        <v>46048</v>
      </c>
      <c r="E406" s="48" t="s">
        <v>1764</v>
      </c>
      <c r="F406" s="4" t="str">
        <f>TRIM(PROPER(Sales_Data!F406))</f>
        <v>Pooja Shah</v>
      </c>
      <c r="G406" s="4" t="s">
        <v>28</v>
      </c>
      <c r="H406" s="4" t="s">
        <v>1765</v>
      </c>
      <c r="I406" s="4" t="s">
        <v>114</v>
      </c>
      <c r="J406" s="4" t="str">
        <f>PROPER(Sales_Data!J406)</f>
        <v>West</v>
      </c>
      <c r="K406" s="4" t="str">
        <f>PROPER(Sales_Data!K406)</f>
        <v>Stationery</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53">
        <v>45840</v>
      </c>
      <c r="E407" s="49" t="s">
        <v>641</v>
      </c>
      <c r="F407" s="4" t="str">
        <f>TRIM(PROPER(Sales_Data!F407))</f>
        <v>Anita Gupta</v>
      </c>
      <c r="G407" s="8" t="s">
        <v>28</v>
      </c>
      <c r="H407" s="8" t="s">
        <v>1768</v>
      </c>
      <c r="I407" s="8" t="s">
        <v>294</v>
      </c>
      <c r="J407" s="4" t="str">
        <f>PROPER(Sales_Data!J407)</f>
        <v>East</v>
      </c>
      <c r="K407" s="4" t="str">
        <f>PROPER(Sales_Data!K407)</f>
        <v>Home Appliances</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52">
        <v>45935</v>
      </c>
      <c r="E408" s="48" t="s">
        <v>281</v>
      </c>
      <c r="F408" s="4" t="str">
        <f>TRIM(PROPER(Sales_Data!F408))</f>
        <v>Pooja Shah</v>
      </c>
      <c r="G408" s="4" t="s">
        <v>28</v>
      </c>
      <c r="H408" s="4" t="s">
        <v>1771</v>
      </c>
      <c r="I408" s="4" t="s">
        <v>114</v>
      </c>
      <c r="J408" s="4" t="str">
        <f>PROPER(Sales_Data!J408)</f>
        <v>West</v>
      </c>
      <c r="K408" s="4" t="str">
        <f>PROPER(Sales_Data!K408)</f>
        <v>Stationery</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53">
        <v>45807</v>
      </c>
      <c r="E409" s="49" t="s">
        <v>684</v>
      </c>
      <c r="F409" s="4" t="str">
        <f>TRIM(PROPER(Sales_Data!F409))</f>
        <v>Mohit Verma</v>
      </c>
      <c r="G409" s="8" t="s">
        <v>76</v>
      </c>
      <c r="H409" s="8" t="s">
        <v>1774</v>
      </c>
      <c r="I409" s="8" t="s">
        <v>105</v>
      </c>
      <c r="J409" s="4" t="str">
        <f>PROPER(Sales_Data!J409)</f>
        <v>West</v>
      </c>
      <c r="K409" s="4" t="str">
        <f>PROPER(Sales_Data!K409)</f>
        <v>Stationery</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52">
        <v>45684</v>
      </c>
      <c r="E410" s="48" t="s">
        <v>900</v>
      </c>
      <c r="F410" s="4" t="str">
        <f>TRIM(PROPER(Sales_Data!F410))</f>
        <v>Priya Patel</v>
      </c>
      <c r="G410" s="4" t="s">
        <v>28</v>
      </c>
      <c r="H410" s="4" t="s">
        <v>1777</v>
      </c>
      <c r="I410" s="4" t="s">
        <v>30</v>
      </c>
      <c r="J410" s="4" t="str">
        <f>PROPER(Sales_Data!J410)</f>
        <v>South</v>
      </c>
      <c r="K410" s="4" t="str">
        <f>PROPER(Sales_Data!K410)</f>
        <v>Stationery</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53">
        <v>46015</v>
      </c>
      <c r="E411" s="49" t="s">
        <v>216</v>
      </c>
      <c r="F411" s="4" t="str">
        <f>TRIM(PROPER(Sales_Data!F411))</f>
        <v>Rohit Singh</v>
      </c>
      <c r="G411" s="8" t="s">
        <v>76</v>
      </c>
      <c r="H411" s="8" t="s">
        <v>1780</v>
      </c>
      <c r="I411" s="8" t="s">
        <v>294</v>
      </c>
      <c r="J411" s="4" t="str">
        <f>PROPER(Sales_Data!J411)</f>
        <v>East</v>
      </c>
      <c r="K411" s="4" t="str">
        <f>PROPER(Sales_Data!K411)</f>
        <v>Electronics</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52">
        <v>46153</v>
      </c>
      <c r="E412" s="48" t="s">
        <v>1783</v>
      </c>
      <c r="F412" s="4" t="str">
        <f>TRIM(PROPER(Sales_Data!F412))</f>
        <v>Kavya Nair</v>
      </c>
      <c r="G412" s="4" t="s">
        <v>28</v>
      </c>
      <c r="H412" s="4" t="s">
        <v>1784</v>
      </c>
      <c r="I412" s="4" t="s">
        <v>30</v>
      </c>
      <c r="J412" s="4" t="str">
        <f>PROPER(Sales_Data!J412)</f>
        <v>South</v>
      </c>
      <c r="K412" s="4" t="str">
        <f>PROPER(Sales_Data!K412)</f>
        <v>Stationery</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53">
        <v>46064</v>
      </c>
      <c r="E413" s="49" t="s">
        <v>1689</v>
      </c>
      <c r="F413" s="4" t="str">
        <f>TRIM(PROPER(Sales_Data!F413))</f>
        <v>Priya Patel</v>
      </c>
      <c r="G413" s="8" t="s">
        <v>28</v>
      </c>
      <c r="H413" s="8" t="s">
        <v>1788</v>
      </c>
      <c r="I413" s="8" t="s">
        <v>30</v>
      </c>
      <c r="J413" s="4" t="str">
        <f>PROPER(Sales_Data!J413)</f>
        <v>South</v>
      </c>
      <c r="K413" s="4" t="str">
        <f>PROPER(Sales_Data!K413)</f>
        <v>Home Appliances</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52">
        <v>45704</v>
      </c>
      <c r="E414" s="48" t="s">
        <v>1110</v>
      </c>
      <c r="F414" s="4" t="str">
        <f>TRIM(PROPER(Sales_Data!F414))</f>
        <v>Sneha Joshi</v>
      </c>
      <c r="G414" s="4" t="s">
        <v>28</v>
      </c>
      <c r="H414" s="4" t="s">
        <v>1791</v>
      </c>
      <c r="I414" s="4" t="s">
        <v>59</v>
      </c>
      <c r="J414" s="4" t="str">
        <f>PROPER(Sales_Data!J414)</f>
        <v>South</v>
      </c>
      <c r="K414" s="4" t="str">
        <f>PROPER(Sales_Data!K414)</f>
        <v>Stationery</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53">
        <v>45756</v>
      </c>
      <c r="E415" s="49" t="s">
        <v>666</v>
      </c>
      <c r="F415" s="4" t="str">
        <f>TRIM(PROPER(Sales_Data!F415))</f>
        <v>Anita Gupta</v>
      </c>
      <c r="G415" s="8" t="s">
        <v>28</v>
      </c>
      <c r="H415" s="8" t="s">
        <v>1794</v>
      </c>
      <c r="I415" s="8" t="s">
        <v>138</v>
      </c>
      <c r="J415" s="4" t="str">
        <f>PROPER(Sales_Data!J415)</f>
        <v>West</v>
      </c>
      <c r="K415" s="4" t="str">
        <f>PROPER(Sales_Data!K415)</f>
        <v>Electronics</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52">
        <v>45672</v>
      </c>
      <c r="E416" s="48" t="s">
        <v>620</v>
      </c>
      <c r="F416" s="4" t="str">
        <f>TRIM(PROPER(Sales_Data!F416))</f>
        <v>Priya Patel</v>
      </c>
      <c r="G416" s="4" t="s">
        <v>28</v>
      </c>
      <c r="H416" s="4" t="s">
        <v>1797</v>
      </c>
      <c r="I416" s="4" t="s">
        <v>138</v>
      </c>
      <c r="J416" s="4" t="str">
        <f>PROPER(Sales_Data!J416)</f>
        <v>West</v>
      </c>
      <c r="K416" s="4" t="str">
        <f>PROPER(Sales_Data!K416)</f>
        <v>Stationery</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53">
        <v>46108</v>
      </c>
      <c r="E417" s="49" t="s">
        <v>66</v>
      </c>
      <c r="F417" s="4" t="str">
        <f>TRIM(PROPER(Sales_Data!F417))</f>
        <v>Arjun Rao</v>
      </c>
      <c r="G417" s="8" t="s">
        <v>76</v>
      </c>
      <c r="H417" s="8" t="s">
        <v>1801</v>
      </c>
      <c r="I417" s="8" t="s">
        <v>105</v>
      </c>
      <c r="J417" s="4" t="str">
        <f>PROPER(Sales_Data!J417)</f>
        <v>West</v>
      </c>
      <c r="K417" s="4" t="str">
        <f>PROPER(Sales_Data!K417)</f>
        <v>Electronics</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52">
        <v>46027</v>
      </c>
      <c r="E418" s="48" t="s">
        <v>440</v>
      </c>
      <c r="F418" s="4" t="str">
        <f>TRIM(PROPER(Sales_Data!F418))</f>
        <v>Vikas Mehta</v>
      </c>
      <c r="G418" s="4" t="s">
        <v>76</v>
      </c>
      <c r="H418" s="4" t="s">
        <v>1804</v>
      </c>
      <c r="I418" s="4" t="s">
        <v>294</v>
      </c>
      <c r="J418" s="4" t="str">
        <f>PROPER(Sales_Data!J418)</f>
        <v>East</v>
      </c>
      <c r="K418" s="4" t="str">
        <f>PROPER(Sales_Data!K418)</f>
        <v>Electronics</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53">
        <v>46129</v>
      </c>
      <c r="E419" s="49" t="s">
        <v>1081</v>
      </c>
      <c r="F419" s="4" t="str">
        <f>TRIM(PROPER(Sales_Data!F419))</f>
        <v>Arjun Rao</v>
      </c>
      <c r="G419" s="8" t="s">
        <v>76</v>
      </c>
      <c r="H419" s="8" t="s">
        <v>1808</v>
      </c>
      <c r="I419" s="8" t="s">
        <v>30</v>
      </c>
      <c r="J419" s="4" t="str">
        <f>PROPER(Sales_Data!J419)</f>
        <v>South</v>
      </c>
      <c r="K419" s="4" t="str">
        <f>PROPER(Sales_Data!K419)</f>
        <v>Electronics</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52">
        <v>45741</v>
      </c>
      <c r="E420" s="48" t="s">
        <v>1298</v>
      </c>
      <c r="F420" s="4" t="str">
        <f>TRIM(PROPER(Sales_Data!F420))</f>
        <v>Arjun Rao</v>
      </c>
      <c r="G420" s="4" t="s">
        <v>76</v>
      </c>
      <c r="H420" s="4" t="s">
        <v>1811</v>
      </c>
      <c r="I420" s="4" t="s">
        <v>105</v>
      </c>
      <c r="J420" s="4" t="str">
        <f>PROPER(Sales_Data!J420)</f>
        <v>West</v>
      </c>
      <c r="K420" s="4" t="str">
        <f>PROPER(Sales_Data!K420)</f>
        <v>Stationery</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53">
        <v>45774</v>
      </c>
      <c r="E421" s="49" t="s">
        <v>596</v>
      </c>
      <c r="F421" s="4" t="str">
        <f>TRIM(PROPER(Sales_Data!F421))</f>
        <v>Rohit Singh</v>
      </c>
      <c r="G421" s="8" t="s">
        <v>76</v>
      </c>
      <c r="H421" s="8" t="s">
        <v>1814</v>
      </c>
      <c r="I421" s="8" t="s">
        <v>105</v>
      </c>
      <c r="J421" s="4" t="str">
        <f>PROPER(Sales_Data!J421)</f>
        <v>West</v>
      </c>
      <c r="K421" s="4" t="str">
        <f>PROPER(Sales_Data!K421)</f>
        <v>Electronics</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52">
        <v>45919</v>
      </c>
      <c r="E422" s="48" t="s">
        <v>1817</v>
      </c>
      <c r="F422" s="4" t="str">
        <f>TRIM(PROPER(Sales_Data!F422))</f>
        <v>Mohit Verma</v>
      </c>
      <c r="G422" s="4" t="s">
        <v>76</v>
      </c>
      <c r="H422" s="4" t="s">
        <v>1818</v>
      </c>
      <c r="I422" s="4" t="s">
        <v>114</v>
      </c>
      <c r="J422" s="4" t="str">
        <f>PROPER(Sales_Data!J422)</f>
        <v>West</v>
      </c>
      <c r="K422" s="4" t="str">
        <f>PROPER(Sales_Data!K422)</f>
        <v>Electronics</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53">
        <v>45795</v>
      </c>
      <c r="E423" s="49" t="s">
        <v>1086</v>
      </c>
      <c r="F423" s="4" t="str">
        <f>TRIM(PROPER(Sales_Data!F423))</f>
        <v>Rohit Singh</v>
      </c>
      <c r="G423" s="8" t="s">
        <v>76</v>
      </c>
      <c r="H423" s="8" t="s">
        <v>1821</v>
      </c>
      <c r="I423" s="8" t="s">
        <v>212</v>
      </c>
      <c r="J423" s="4" t="str">
        <f>PROPER(Sales_Data!J423)</f>
        <v>North</v>
      </c>
      <c r="K423" s="4" t="str">
        <f>PROPER(Sales_Data!K423)</f>
        <v>Electronics</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52">
        <v>46020</v>
      </c>
      <c r="E424" s="48" t="s">
        <v>1444</v>
      </c>
      <c r="F424" s="4" t="str">
        <f>TRIM(PROPER(Sales_Data!F424))</f>
        <v>Amit Sharma</v>
      </c>
      <c r="G424" s="4" t="s">
        <v>76</v>
      </c>
      <c r="H424" s="4" t="s">
        <v>1825</v>
      </c>
      <c r="I424" s="4" t="s">
        <v>212</v>
      </c>
      <c r="J424" s="4" t="str">
        <f>PROPER(Sales_Data!J424)</f>
        <v>North</v>
      </c>
      <c r="K424" s="4" t="str">
        <f>PROPER(Sales_Data!K424)</f>
        <v>Home Appliances</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53">
        <v>45669</v>
      </c>
      <c r="E425" s="49" t="s">
        <v>760</v>
      </c>
      <c r="F425" s="4" t="str">
        <f>TRIM(PROPER(Sales_Data!F425))</f>
        <v>Rohit Singh</v>
      </c>
      <c r="G425" s="8" t="s">
        <v>76</v>
      </c>
      <c r="H425" s="8" t="s">
        <v>1828</v>
      </c>
      <c r="I425" s="8" t="s">
        <v>294</v>
      </c>
      <c r="J425" s="4" t="str">
        <f>PROPER(Sales_Data!J425)</f>
        <v>East</v>
      </c>
      <c r="K425" s="4" t="str">
        <f>PROPER(Sales_Data!K425)</f>
        <v>Stationery</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52">
        <v>46035</v>
      </c>
      <c r="E426" s="48" t="s">
        <v>1831</v>
      </c>
      <c r="F426" s="4" t="str">
        <f>TRIM(PROPER(Sales_Data!F426))</f>
        <v>Vikas Mehta</v>
      </c>
      <c r="G426" s="4" t="s">
        <v>76</v>
      </c>
      <c r="H426" s="4" t="s">
        <v>1006</v>
      </c>
      <c r="I426" s="4" t="s">
        <v>114</v>
      </c>
      <c r="J426" s="4" t="str">
        <f>PROPER(Sales_Data!J426)</f>
        <v>West</v>
      </c>
      <c r="K426" s="4" t="str">
        <f>PROPER(Sales_Data!K426)</f>
        <v>Electronics</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53">
        <v>46096</v>
      </c>
      <c r="E427" s="49" t="s">
        <v>636</v>
      </c>
      <c r="F427" s="4" t="str">
        <f>TRIM(PROPER(Sales_Data!F427))</f>
        <v>Priya Patel</v>
      </c>
      <c r="G427" s="8" t="s">
        <v>28</v>
      </c>
      <c r="H427" s="8" t="s">
        <v>1835</v>
      </c>
      <c r="I427" s="8" t="s">
        <v>105</v>
      </c>
      <c r="J427" s="4" t="str">
        <f>PROPER(Sales_Data!J427)</f>
        <v>West</v>
      </c>
      <c r="K427" s="4" t="str">
        <f>PROPER(Sales_Data!K427)</f>
        <v>Electronics</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52">
        <v>45986</v>
      </c>
      <c r="E428" s="48" t="s">
        <v>1838</v>
      </c>
      <c r="F428" s="4" t="str">
        <f>TRIM(PROPER(Sales_Data!F428))</f>
        <v>Arjun Rao</v>
      </c>
      <c r="G428" s="4" t="s">
        <v>76</v>
      </c>
      <c r="H428" s="4" t="s">
        <v>1839</v>
      </c>
      <c r="I428" s="4" t="s">
        <v>212</v>
      </c>
      <c r="J428" s="4" t="str">
        <f>PROPER(Sales_Data!J428)</f>
        <v>North</v>
      </c>
      <c r="K428" s="4" t="str">
        <f>PROPER(Sales_Data!K428)</f>
        <v>Home Appliances</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53">
        <v>45692</v>
      </c>
      <c r="E429" s="49" t="s">
        <v>1842</v>
      </c>
      <c r="F429" s="4" t="str">
        <f>TRIM(PROPER(Sales_Data!F429))</f>
        <v>Mohit Verma</v>
      </c>
      <c r="G429" s="8" t="s">
        <v>76</v>
      </c>
      <c r="H429" s="8" t="s">
        <v>1843</v>
      </c>
      <c r="I429" s="8" t="s">
        <v>114</v>
      </c>
      <c r="J429" s="4" t="str">
        <f>PROPER(Sales_Data!J429)</f>
        <v>West</v>
      </c>
      <c r="K429" s="4" t="str">
        <f>PROPER(Sales_Data!K429)</f>
        <v>Stationery</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52">
        <v>45775</v>
      </c>
      <c r="E430" s="48" t="s">
        <v>606</v>
      </c>
      <c r="F430" s="4" t="str">
        <f>TRIM(PROPER(Sales_Data!F430))</f>
        <v>Sneha Joshi</v>
      </c>
      <c r="G430" s="4" t="s">
        <v>28</v>
      </c>
      <c r="H430" s="4" t="s">
        <v>1846</v>
      </c>
      <c r="I430" s="4" t="s">
        <v>59</v>
      </c>
      <c r="J430" s="4" t="str">
        <f>PROPER(Sales_Data!J430)</f>
        <v>South</v>
      </c>
      <c r="K430" s="4" t="str">
        <f>PROPER(Sales_Data!K430)</f>
        <v>Home Appliances</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53">
        <v>45896</v>
      </c>
      <c r="E431" s="49" t="s">
        <v>1850</v>
      </c>
      <c r="F431" s="4" t="str">
        <f>TRIM(PROPER(Sales_Data!F431))</f>
        <v>Arjun Rao</v>
      </c>
      <c r="G431" s="8" t="s">
        <v>76</v>
      </c>
      <c r="H431" s="8" t="s">
        <v>1851</v>
      </c>
      <c r="I431" s="8" t="s">
        <v>212</v>
      </c>
      <c r="J431" s="4" t="str">
        <f>PROPER(Sales_Data!J431)</f>
        <v>North</v>
      </c>
      <c r="K431" s="4" t="str">
        <f>PROPER(Sales_Data!K431)</f>
        <v>Stationery</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52">
        <v>45942</v>
      </c>
      <c r="E432" s="48" t="s">
        <v>341</v>
      </c>
      <c r="F432" s="4" t="str">
        <f>TRIM(PROPER(Sales_Data!F432))</f>
        <v>Pooja Shah</v>
      </c>
      <c r="G432" s="4" t="s">
        <v>28</v>
      </c>
      <c r="H432" s="4" t="s">
        <v>1854</v>
      </c>
      <c r="I432" s="4" t="s">
        <v>212</v>
      </c>
      <c r="J432" s="4" t="str">
        <f>PROPER(Sales_Data!J432)</f>
        <v>North</v>
      </c>
      <c r="K432" s="4" t="str">
        <f>PROPER(Sales_Data!K432)</f>
        <v>Stationery</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53">
        <v>46036</v>
      </c>
      <c r="E433" s="49" t="s">
        <v>1128</v>
      </c>
      <c r="F433" s="4" t="str">
        <f>TRIM(PROPER(Sales_Data!F433))</f>
        <v>Sneha Joshi</v>
      </c>
      <c r="G433" s="8" t="s">
        <v>28</v>
      </c>
      <c r="H433" s="8" t="s">
        <v>1857</v>
      </c>
      <c r="I433" s="8" t="s">
        <v>105</v>
      </c>
      <c r="J433" s="4" t="str">
        <f>PROPER(Sales_Data!J433)</f>
        <v>West</v>
      </c>
      <c r="K433" s="4" t="str">
        <f>PROPER(Sales_Data!K433)</f>
        <v>Electronics</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52">
        <v>46152</v>
      </c>
      <c r="E434" s="48"/>
      <c r="F434" s="4" t="str">
        <f>TRIM(PROPER(Sales_Data!F434))</f>
        <v>Amit Sharma</v>
      </c>
      <c r="G434" s="4" t="s">
        <v>76</v>
      </c>
      <c r="H434" s="4" t="s">
        <v>1860</v>
      </c>
      <c r="I434" s="4" t="s">
        <v>294</v>
      </c>
      <c r="J434" s="4" t="str">
        <f>PROPER(Sales_Data!J434)</f>
        <v>East</v>
      </c>
      <c r="K434" s="4" t="str">
        <f>PROPER(Sales_Data!K434)</f>
        <v>Stationery</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53">
        <v>45689</v>
      </c>
      <c r="E435" s="49" t="s">
        <v>900</v>
      </c>
      <c r="F435" s="4" t="str">
        <f>TRIM(PROPER(Sales_Data!F435))</f>
        <v>Kavya Nair</v>
      </c>
      <c r="G435" s="8" t="s">
        <v>28</v>
      </c>
      <c r="H435" s="8" t="s">
        <v>1864</v>
      </c>
      <c r="I435" s="8" t="s">
        <v>294</v>
      </c>
      <c r="J435" s="4" t="str">
        <f>PROPER(Sales_Data!J435)</f>
        <v>East</v>
      </c>
      <c r="K435" s="4" t="str">
        <f>PROPER(Sales_Data!K435)</f>
        <v>Home Appliances</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52">
        <v>45710</v>
      </c>
      <c r="E436" s="48" t="s">
        <v>1157</v>
      </c>
      <c r="F436" s="4" t="str">
        <f>TRIM(PROPER(Sales_Data!F436))</f>
        <v>Amit Sharma</v>
      </c>
      <c r="G436" s="4" t="s">
        <v>76</v>
      </c>
      <c r="H436" s="4" t="s">
        <v>1868</v>
      </c>
      <c r="I436" s="4" t="s">
        <v>105</v>
      </c>
      <c r="J436" s="4" t="str">
        <f>PROPER(Sales_Data!J436)</f>
        <v>West</v>
      </c>
      <c r="K436" s="4" t="str">
        <f>PROPER(Sales_Data!K436)</f>
        <v>Home Appliances</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53">
        <v>45765</v>
      </c>
      <c r="E437" s="49" t="s">
        <v>1114</v>
      </c>
      <c r="F437" s="4" t="str">
        <f>TRIM(PROPER(Sales_Data!F437))</f>
        <v>Kavya Nair</v>
      </c>
      <c r="G437" s="8" t="s">
        <v>28</v>
      </c>
      <c r="H437" s="8" t="s">
        <v>1871</v>
      </c>
      <c r="I437" s="8" t="s">
        <v>138</v>
      </c>
      <c r="J437" s="4" t="str">
        <f>PROPER(Sales_Data!J437)</f>
        <v>West</v>
      </c>
      <c r="K437" s="4" t="str">
        <f>PROPER(Sales_Data!K437)</f>
        <v>Stationery</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52">
        <v>45967</v>
      </c>
      <c r="E438" s="48" t="s">
        <v>535</v>
      </c>
      <c r="F438" s="4" t="str">
        <f>TRIM(PROPER(Sales_Data!F438))</f>
        <v>Rohit Singh</v>
      </c>
      <c r="G438" s="4" t="s">
        <v>76</v>
      </c>
      <c r="H438" s="4" t="s">
        <v>1874</v>
      </c>
      <c r="I438" s="4" t="s">
        <v>30</v>
      </c>
      <c r="J438" s="4" t="str">
        <f>PROPER(Sales_Data!J438)</f>
        <v>South</v>
      </c>
      <c r="K438" s="4" t="str">
        <f>PROPER(Sales_Data!K438)</f>
        <v>Stationery</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53">
        <v>45736</v>
      </c>
      <c r="E439" s="49" t="s">
        <v>119</v>
      </c>
      <c r="F439" s="4" t="str">
        <f>TRIM(PROPER(Sales_Data!F439))</f>
        <v>Priya Patel</v>
      </c>
      <c r="G439" s="8" t="s">
        <v>28</v>
      </c>
      <c r="H439" s="8" t="s">
        <v>1877</v>
      </c>
      <c r="I439" s="8" t="s">
        <v>294</v>
      </c>
      <c r="J439" s="4" t="str">
        <f>PROPER(Sales_Data!J439)</f>
        <v>East</v>
      </c>
      <c r="K439" s="4" t="str">
        <f>PROPER(Sales_Data!K439)</f>
        <v>Electronics</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52">
        <v>45952</v>
      </c>
      <c r="E440" s="48" t="s">
        <v>1881</v>
      </c>
      <c r="F440" s="4" t="str">
        <f>TRIM(PROPER(Sales_Data!F440))</f>
        <v>Arjun Rao</v>
      </c>
      <c r="G440" s="4" t="s">
        <v>76</v>
      </c>
      <c r="H440" s="4" t="s">
        <v>1882</v>
      </c>
      <c r="I440" s="4" t="s">
        <v>138</v>
      </c>
      <c r="J440" s="4" t="str">
        <f>PROPER(Sales_Data!J440)</f>
        <v>West</v>
      </c>
      <c r="K440" s="4" t="str">
        <f>PROPER(Sales_Data!K440)</f>
        <v>Stationery</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53">
        <v>46022</v>
      </c>
      <c r="E441" s="49" t="s">
        <v>1199</v>
      </c>
      <c r="F441" s="4" t="str">
        <f>TRIM(PROPER(Sales_Data!F441))</f>
        <v>Arjun Rao</v>
      </c>
      <c r="G441" s="8" t="s">
        <v>76</v>
      </c>
      <c r="H441" s="8" t="s">
        <v>1886</v>
      </c>
      <c r="I441" s="8" t="s">
        <v>44</v>
      </c>
      <c r="J441" s="4" t="str">
        <f>PROPER(Sales_Data!J441)</f>
        <v>North</v>
      </c>
      <c r="K441" s="4" t="str">
        <f>PROPER(Sales_Data!K441)</f>
        <v>Stationery</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52">
        <v>45829</v>
      </c>
      <c r="E442" s="48" t="s">
        <v>193</v>
      </c>
      <c r="F442" s="4" t="str">
        <f>TRIM(PROPER(Sales_Data!F442))</f>
        <v>Amit Sharma</v>
      </c>
      <c r="G442" s="4" t="s">
        <v>76</v>
      </c>
      <c r="H442" s="4" t="s">
        <v>1889</v>
      </c>
      <c r="I442" s="4" t="s">
        <v>138</v>
      </c>
      <c r="J442" s="4" t="str">
        <f>PROPER(Sales_Data!J442)</f>
        <v>West</v>
      </c>
      <c r="K442" s="4" t="str">
        <f>PROPER(Sales_Data!K442)</f>
        <v>Home Appliances</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53">
        <v>45812</v>
      </c>
      <c r="E443" s="49" t="s">
        <v>1119</v>
      </c>
      <c r="F443" s="4" t="str">
        <f>TRIM(PROPER(Sales_Data!F443))</f>
        <v>Arjun Rao</v>
      </c>
      <c r="G443" s="8" t="s">
        <v>76</v>
      </c>
      <c r="H443" s="8" t="s">
        <v>1892</v>
      </c>
      <c r="I443" s="8" t="s">
        <v>212</v>
      </c>
      <c r="J443" s="4" t="str">
        <f>PROPER(Sales_Data!J443)</f>
        <v>North</v>
      </c>
      <c r="K443" s="4" t="str">
        <f>PROPER(Sales_Data!K443)</f>
        <v>Home Appliances</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52">
        <v>45807</v>
      </c>
      <c r="E444" s="48" t="s">
        <v>1465</v>
      </c>
      <c r="F444" s="4" t="str">
        <f>TRIM(PROPER(Sales_Data!F444))</f>
        <v>Rohit Singh</v>
      </c>
      <c r="G444" s="4" t="s">
        <v>76</v>
      </c>
      <c r="H444" s="4" t="s">
        <v>1895</v>
      </c>
      <c r="I444" s="4" t="s">
        <v>105</v>
      </c>
      <c r="J444" s="4" t="str">
        <f>PROPER(Sales_Data!J444)</f>
        <v>West</v>
      </c>
      <c r="K444" s="4" t="str">
        <f>PROPER(Sales_Data!K444)</f>
        <v>Stationery</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53">
        <v>45779</v>
      </c>
      <c r="E445" s="49" t="s">
        <v>1263</v>
      </c>
      <c r="F445" s="4" t="str">
        <f>TRIM(PROPER(Sales_Data!F445))</f>
        <v>Anita Gupta</v>
      </c>
      <c r="G445" s="8" t="s">
        <v>28</v>
      </c>
      <c r="H445" s="8" t="s">
        <v>1899</v>
      </c>
      <c r="I445" s="8" t="s">
        <v>138</v>
      </c>
      <c r="J445" s="4" t="str">
        <f>PROPER(Sales_Data!J445)</f>
        <v>West</v>
      </c>
      <c r="K445" s="4" t="str">
        <f>PROPER(Sales_Data!K445)</f>
        <v>Electronics</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52">
        <v>45691</v>
      </c>
      <c r="E446" s="48" t="s">
        <v>302</v>
      </c>
      <c r="F446" s="4" t="str">
        <f>TRIM(PROPER(Sales_Data!F446))</f>
        <v>Pooja Shah</v>
      </c>
      <c r="G446" s="4" t="s">
        <v>28</v>
      </c>
      <c r="H446" s="4" t="s">
        <v>1902</v>
      </c>
      <c r="I446" s="4" t="s">
        <v>30</v>
      </c>
      <c r="J446" s="4" t="str">
        <f>PROPER(Sales_Data!J446)</f>
        <v>South</v>
      </c>
      <c r="K446" s="4" t="str">
        <f>PROPER(Sales_Data!K446)</f>
        <v>Electronics</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53">
        <v>45837</v>
      </c>
      <c r="E447" s="49" t="s">
        <v>881</v>
      </c>
      <c r="F447" s="4" t="str">
        <f>TRIM(PROPER(Sales_Data!F447))</f>
        <v>Vikas Mehta</v>
      </c>
      <c r="G447" s="8" t="s">
        <v>76</v>
      </c>
      <c r="H447" s="8" t="s">
        <v>1906</v>
      </c>
      <c r="I447" s="8" t="s">
        <v>30</v>
      </c>
      <c r="J447" s="4" t="str">
        <f>PROPER(Sales_Data!J447)</f>
        <v>South</v>
      </c>
      <c r="K447" s="4" t="str">
        <f>PROPER(Sales_Data!K447)</f>
        <v>Stationery</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52">
        <v>46065</v>
      </c>
      <c r="E448" s="48" t="s">
        <v>170</v>
      </c>
      <c r="F448" s="4" t="str">
        <f>TRIM(PROPER(Sales_Data!F448))</f>
        <v>Kavya Nair</v>
      </c>
      <c r="G448" s="4" t="s">
        <v>28</v>
      </c>
      <c r="H448" s="4" t="s">
        <v>1909</v>
      </c>
      <c r="I448" s="4" t="s">
        <v>105</v>
      </c>
      <c r="J448" s="4" t="str">
        <f>PROPER(Sales_Data!J448)</f>
        <v>West</v>
      </c>
      <c r="K448" s="4" t="str">
        <f>PROPER(Sales_Data!K448)</f>
        <v>Stationery</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53">
        <v>45719</v>
      </c>
      <c r="E449" s="49" t="s">
        <v>910</v>
      </c>
      <c r="F449" s="4" t="str">
        <f>TRIM(PROPER(Sales_Data!F449))</f>
        <v>Kavya Nair</v>
      </c>
      <c r="G449" s="8" t="s">
        <v>28</v>
      </c>
      <c r="H449" s="8" t="s">
        <v>1913</v>
      </c>
      <c r="I449" s="8" t="s">
        <v>114</v>
      </c>
      <c r="J449" s="4" t="str">
        <f>PROPER(Sales_Data!J449)</f>
        <v>West</v>
      </c>
      <c r="K449" s="4" t="str">
        <f>PROPER(Sales_Data!K449)</f>
        <v>Electronics</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52">
        <v>46136</v>
      </c>
      <c r="E450" s="48" t="s">
        <v>1430</v>
      </c>
      <c r="F450" s="4" t="str">
        <f>TRIM(PROPER(Sales_Data!F450))</f>
        <v>Amit Sharma</v>
      </c>
      <c r="G450" s="4" t="s">
        <v>76</v>
      </c>
      <c r="H450" s="4" t="s">
        <v>1917</v>
      </c>
      <c r="I450" s="4" t="s">
        <v>138</v>
      </c>
      <c r="J450" s="4" t="str">
        <f>PROPER(Sales_Data!J450)</f>
        <v>West</v>
      </c>
      <c r="K450" s="4" t="str">
        <f>PROPER(Sales_Data!K450)</f>
        <v>Electronics</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53">
        <v>46145</v>
      </c>
      <c r="E451" s="49" t="s">
        <v>426</v>
      </c>
      <c r="F451" s="4" t="str">
        <f>TRIM(PROPER(Sales_Data!F451))</f>
        <v>Amit Sharma</v>
      </c>
      <c r="G451" s="8" t="s">
        <v>76</v>
      </c>
      <c r="H451" s="8" t="s">
        <v>1921</v>
      </c>
      <c r="I451" s="8" t="s">
        <v>294</v>
      </c>
      <c r="J451" s="4" t="str">
        <f>PROPER(Sales_Data!J451)</f>
        <v>East</v>
      </c>
      <c r="K451" s="4" t="str">
        <f>PROPER(Sales_Data!K451)</f>
        <v>Home Appliances</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52">
        <v>45807</v>
      </c>
      <c r="E452" s="48" t="s">
        <v>1924</v>
      </c>
      <c r="F452" s="4" t="str">
        <f>TRIM(PROPER(Sales_Data!F452))</f>
        <v>Mohit Verma</v>
      </c>
      <c r="G452" s="4" t="s">
        <v>76</v>
      </c>
      <c r="H452" s="4" t="s">
        <v>1925</v>
      </c>
      <c r="I452" s="4" t="s">
        <v>30</v>
      </c>
      <c r="J452" s="4" t="str">
        <f>PROPER(Sales_Data!J452)</f>
        <v>South</v>
      </c>
      <c r="K452" s="4" t="str">
        <f>PROPER(Sales_Data!K452)</f>
        <v>Stationery</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53">
        <v>45705</v>
      </c>
      <c r="E453" s="49" t="s">
        <v>1069</v>
      </c>
      <c r="F453" s="4" t="str">
        <f>TRIM(PROPER(Sales_Data!F453))</f>
        <v>Mohit Verma</v>
      </c>
      <c r="G453" s="8" t="s">
        <v>76</v>
      </c>
      <c r="H453" s="8" t="s">
        <v>1928</v>
      </c>
      <c r="I453" s="8" t="s">
        <v>44</v>
      </c>
      <c r="J453" s="4" t="str">
        <f>PROPER(Sales_Data!J453)</f>
        <v>North</v>
      </c>
      <c r="K453" s="4" t="str">
        <f>PROPER(Sales_Data!K453)</f>
        <v>Electronics</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52">
        <v>46103</v>
      </c>
      <c r="E454" s="48" t="s">
        <v>1932</v>
      </c>
      <c r="F454" s="4" t="str">
        <f>TRIM(PROPER(Sales_Data!F454))</f>
        <v>Pooja Shah</v>
      </c>
      <c r="G454" s="4" t="s">
        <v>28</v>
      </c>
      <c r="H454" s="4" t="s">
        <v>1933</v>
      </c>
      <c r="I454" s="4" t="s">
        <v>138</v>
      </c>
      <c r="J454" s="4" t="str">
        <f>PROPER(Sales_Data!J454)</f>
        <v>West</v>
      </c>
      <c r="K454" s="4" t="str">
        <f>PROPER(Sales_Data!K454)</f>
        <v>Electronics</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53">
        <v>46114</v>
      </c>
      <c r="E455" s="49" t="s">
        <v>1936</v>
      </c>
      <c r="F455" s="4" t="str">
        <f>TRIM(PROPER(Sales_Data!F455))</f>
        <v>Sneha Joshi</v>
      </c>
      <c r="G455" s="8" t="s">
        <v>28</v>
      </c>
      <c r="H455" s="8" t="s">
        <v>1937</v>
      </c>
      <c r="I455" s="8" t="s">
        <v>138</v>
      </c>
      <c r="J455" s="4" t="str">
        <f>PROPER(Sales_Data!J455)</f>
        <v>West</v>
      </c>
      <c r="K455" s="4" t="str">
        <f>PROPER(Sales_Data!K455)</f>
        <v>Electronics</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52">
        <v>45706</v>
      </c>
      <c r="E456" s="48" t="s">
        <v>387</v>
      </c>
      <c r="F456" s="4" t="str">
        <f>TRIM(PROPER(Sales_Data!F456))</f>
        <v>Mohit Verma</v>
      </c>
      <c r="G456" s="4" t="s">
        <v>76</v>
      </c>
      <c r="H456" s="4" t="s">
        <v>1940</v>
      </c>
      <c r="I456" s="4" t="s">
        <v>294</v>
      </c>
      <c r="J456" s="4" t="str">
        <f>PROPER(Sales_Data!J456)</f>
        <v>East</v>
      </c>
      <c r="K456" s="4" t="str">
        <f>PROPER(Sales_Data!K456)</f>
        <v>Home Appliances</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53">
        <v>46110</v>
      </c>
      <c r="E457" s="49" t="s">
        <v>740</v>
      </c>
      <c r="F457" s="4" t="str">
        <f>TRIM(PROPER(Sales_Data!F457))</f>
        <v>Pooja Shah</v>
      </c>
      <c r="G457" s="8" t="s">
        <v>28</v>
      </c>
      <c r="H457" s="8" t="s">
        <v>1943</v>
      </c>
      <c r="I457" s="8" t="s">
        <v>114</v>
      </c>
      <c r="J457" s="4" t="str">
        <f>PROPER(Sales_Data!J457)</f>
        <v>West</v>
      </c>
      <c r="K457" s="4" t="str">
        <f>PROPER(Sales_Data!K457)</f>
        <v>Electronics</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52">
        <v>45992</v>
      </c>
      <c r="E458" s="48" t="s">
        <v>918</v>
      </c>
      <c r="F458" s="4" t="str">
        <f>TRIM(PROPER(Sales_Data!F458))</f>
        <v>Amit Sharma</v>
      </c>
      <c r="G458" s="4" t="s">
        <v>76</v>
      </c>
      <c r="H458" s="4" t="s">
        <v>1946</v>
      </c>
      <c r="I458" s="4" t="s">
        <v>59</v>
      </c>
      <c r="J458" s="4" t="str">
        <f>PROPER(Sales_Data!J458)</f>
        <v>South</v>
      </c>
      <c r="K458" s="4" t="str">
        <f>PROPER(Sales_Data!K458)</f>
        <v>Electronics</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53">
        <v>45781</v>
      </c>
      <c r="E459" s="49" t="s">
        <v>597</v>
      </c>
      <c r="F459" s="4" t="str">
        <f>TRIM(PROPER(Sales_Data!F459))</f>
        <v>Priya Patel</v>
      </c>
      <c r="G459" s="8" t="s">
        <v>28</v>
      </c>
      <c r="H459" s="8" t="s">
        <v>1949</v>
      </c>
      <c r="I459" s="8" t="s">
        <v>138</v>
      </c>
      <c r="J459" s="4" t="str">
        <f>PROPER(Sales_Data!J459)</f>
        <v>West</v>
      </c>
      <c r="K459" s="4" t="str">
        <f>PROPER(Sales_Data!K459)</f>
        <v>Stationery</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52">
        <v>45892</v>
      </c>
      <c r="E460" s="48" t="s">
        <v>674</v>
      </c>
      <c r="F460" s="4" t="str">
        <f>TRIM(PROPER(Sales_Data!F460))</f>
        <v>Vikas Mehta</v>
      </c>
      <c r="G460" s="4" t="s">
        <v>76</v>
      </c>
      <c r="H460" s="4" t="s">
        <v>1952</v>
      </c>
      <c r="I460" s="4" t="s">
        <v>105</v>
      </c>
      <c r="J460" s="4" t="str">
        <f>PROPER(Sales_Data!J460)</f>
        <v>West</v>
      </c>
      <c r="K460" s="4" t="str">
        <f>PROPER(Sales_Data!K460)</f>
        <v>Home Appliances</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53">
        <v>45988</v>
      </c>
      <c r="E461" s="49" t="s">
        <v>1537</v>
      </c>
      <c r="F461" s="4" t="str">
        <f>TRIM(PROPER(Sales_Data!F461))</f>
        <v>Amit Sharma</v>
      </c>
      <c r="G461" s="8" t="s">
        <v>76</v>
      </c>
      <c r="H461" s="8" t="s">
        <v>1955</v>
      </c>
      <c r="I461" s="8" t="s">
        <v>59</v>
      </c>
      <c r="J461" s="4" t="str">
        <f>PROPER(Sales_Data!J461)</f>
        <v>South</v>
      </c>
      <c r="K461" s="4" t="str">
        <f>PROPER(Sales_Data!K461)</f>
        <v>Electronics</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52">
        <v>45806</v>
      </c>
      <c r="E462" s="48" t="s">
        <v>1188</v>
      </c>
      <c r="F462" s="4" t="str">
        <f>TRIM(PROPER(Sales_Data!F462))</f>
        <v>Amit Sharma</v>
      </c>
      <c r="G462" s="4" t="s">
        <v>76</v>
      </c>
      <c r="H462" s="4" t="s">
        <v>1959</v>
      </c>
      <c r="I462" s="4" t="s">
        <v>44</v>
      </c>
      <c r="J462" s="4" t="str">
        <f>PROPER(Sales_Data!J462)</f>
        <v>North</v>
      </c>
      <c r="K462" s="4" t="str">
        <f>PROPER(Sales_Data!K462)</f>
        <v>Electronics</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53">
        <v>45912</v>
      </c>
      <c r="E463" s="49" t="s">
        <v>128</v>
      </c>
      <c r="F463" s="4" t="str">
        <f>TRIM(PROPER(Sales_Data!F463))</f>
        <v>Rohit Singh</v>
      </c>
      <c r="G463" s="8" t="s">
        <v>76</v>
      </c>
      <c r="H463" s="8" t="s">
        <v>1962</v>
      </c>
      <c r="I463" s="8" t="s">
        <v>44</v>
      </c>
      <c r="J463" s="4" t="str">
        <f>PROPER(Sales_Data!J463)</f>
        <v>North</v>
      </c>
      <c r="K463" s="4" t="str">
        <f>PROPER(Sales_Data!K463)</f>
        <v>Stationery</v>
      </c>
      <c r="L463" s="8" t="s">
        <v>123</v>
      </c>
      <c r="M463" s="8">
        <v>1</v>
      </c>
      <c r="N463" s="8">
        <v>60</v>
      </c>
      <c r="O463" s="8">
        <v>10</v>
      </c>
      <c r="P463" s="8">
        <v>54</v>
      </c>
      <c r="Q463" s="8">
        <v>4</v>
      </c>
      <c r="R463" s="8" t="s">
        <v>48</v>
      </c>
      <c r="S463" s="8" t="s">
        <v>2140</v>
      </c>
      <c r="T463" s="10" t="s">
        <v>1963</v>
      </c>
      <c r="U463" s="9" t="s">
        <v>1964</v>
      </c>
      <c r="V463" s="8" t="s">
        <v>69</v>
      </c>
    </row>
    <row r="464" spans="1:22" x14ac:dyDescent="0.3">
      <c r="A464" s="3" t="s">
        <v>1965</v>
      </c>
      <c r="B464" s="4" t="s">
        <v>71</v>
      </c>
      <c r="C464" s="4" t="s">
        <v>92</v>
      </c>
      <c r="D464" s="52">
        <v>46085</v>
      </c>
      <c r="E464" s="48" t="s">
        <v>554</v>
      </c>
      <c r="F464" s="4" t="str">
        <f>TRIM(PROPER(Sales_Data!F464))</f>
        <v>Mohit Verma</v>
      </c>
      <c r="G464" s="4" t="s">
        <v>76</v>
      </c>
      <c r="H464" s="4" t="s">
        <v>1966</v>
      </c>
      <c r="I464" s="4" t="s">
        <v>30</v>
      </c>
      <c r="J464" s="4" t="str">
        <f>PROPER(Sales_Data!J464)</f>
        <v>South</v>
      </c>
      <c r="K464" s="4" t="str">
        <f>PROPER(Sales_Data!K464)</f>
        <v>Home Appliances</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53">
        <v>45681</v>
      </c>
      <c r="E465" s="49" t="s">
        <v>766</v>
      </c>
      <c r="F465" s="4" t="str">
        <f>TRIM(PROPER(Sales_Data!F465))</f>
        <v>Rohit Singh</v>
      </c>
      <c r="G465" s="8" t="s">
        <v>76</v>
      </c>
      <c r="H465" s="8" t="s">
        <v>1295</v>
      </c>
      <c r="I465" s="8" t="s">
        <v>114</v>
      </c>
      <c r="J465" s="4" t="str">
        <f>PROPER(Sales_Data!J465)</f>
        <v>West</v>
      </c>
      <c r="K465" s="4" t="str">
        <f>PROPER(Sales_Data!K465)</f>
        <v>Stationery</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52">
        <v>46004</v>
      </c>
      <c r="E466" s="48" t="s">
        <v>454</v>
      </c>
      <c r="F466" s="4" t="str">
        <f>TRIM(PROPER(Sales_Data!F466))</f>
        <v>Mohit Verma</v>
      </c>
      <c r="G466" s="4" t="s">
        <v>76</v>
      </c>
      <c r="H466" s="4" t="s">
        <v>1971</v>
      </c>
      <c r="I466" s="4" t="s">
        <v>59</v>
      </c>
      <c r="J466" s="4" t="str">
        <f>PROPER(Sales_Data!J466)</f>
        <v>South</v>
      </c>
      <c r="K466" s="4" t="str">
        <f>PROPER(Sales_Data!K466)</f>
        <v>Home Appliances</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53">
        <v>45870</v>
      </c>
      <c r="E467" s="49" t="s">
        <v>1282</v>
      </c>
      <c r="F467" s="4" t="str">
        <f>TRIM(PROPER(Sales_Data!F467))</f>
        <v>Arjun Rao</v>
      </c>
      <c r="G467" s="8" t="s">
        <v>76</v>
      </c>
      <c r="H467" s="8" t="s">
        <v>1974</v>
      </c>
      <c r="I467" s="8" t="s">
        <v>212</v>
      </c>
      <c r="J467" s="4" t="str">
        <f>PROPER(Sales_Data!J467)</f>
        <v>North</v>
      </c>
      <c r="K467" s="4" t="str">
        <f>PROPER(Sales_Data!K467)</f>
        <v>Electronics</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52">
        <v>45658</v>
      </c>
      <c r="E468" s="48" t="s">
        <v>513</v>
      </c>
      <c r="F468" s="4" t="str">
        <f>TRIM(PROPER(Sales_Data!F468))</f>
        <v>Pooja Shah</v>
      </c>
      <c r="G468" s="4" t="s">
        <v>28</v>
      </c>
      <c r="H468" s="4" t="s">
        <v>1977</v>
      </c>
      <c r="I468" s="4" t="s">
        <v>114</v>
      </c>
      <c r="J468" s="4" t="str">
        <f>PROPER(Sales_Data!J468)</f>
        <v>West</v>
      </c>
      <c r="K468" s="4" t="str">
        <f>PROPER(Sales_Data!K468)</f>
        <v>Home Appliances</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53">
        <v>45755</v>
      </c>
      <c r="E469" s="49" t="s">
        <v>577</v>
      </c>
      <c r="F469" s="4" t="str">
        <f>TRIM(PROPER(Sales_Data!F469))</f>
        <v>Kavya Nair</v>
      </c>
      <c r="G469" s="8" t="s">
        <v>28</v>
      </c>
      <c r="H469" s="8" t="s">
        <v>1980</v>
      </c>
      <c r="I469" s="8" t="s">
        <v>138</v>
      </c>
      <c r="J469" s="4" t="str">
        <f>PROPER(Sales_Data!J469)</f>
        <v>West</v>
      </c>
      <c r="K469" s="4" t="str">
        <f>PROPER(Sales_Data!K469)</f>
        <v>Stationery</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52">
        <v>45767</v>
      </c>
      <c r="E470" s="48" t="s">
        <v>210</v>
      </c>
      <c r="F470" s="4" t="str">
        <f>TRIM(PROPER(Sales_Data!F470))</f>
        <v>Priya Patel</v>
      </c>
      <c r="G470" s="4" t="s">
        <v>28</v>
      </c>
      <c r="H470" s="4" t="s">
        <v>1983</v>
      </c>
      <c r="I470" s="4" t="s">
        <v>105</v>
      </c>
      <c r="J470" s="4" t="str">
        <f>PROPER(Sales_Data!J470)</f>
        <v>West</v>
      </c>
      <c r="K470" s="4" t="str">
        <f>PROPER(Sales_Data!K470)</f>
        <v>Stationery</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53">
        <v>45963</v>
      </c>
      <c r="E471" s="49" t="s">
        <v>864</v>
      </c>
      <c r="F471" s="4" t="str">
        <f>TRIM(PROPER(Sales_Data!F471))</f>
        <v>Amit Sharma</v>
      </c>
      <c r="G471" s="8" t="s">
        <v>76</v>
      </c>
      <c r="H471" s="8" t="s">
        <v>1986</v>
      </c>
      <c r="I471" s="8" t="s">
        <v>114</v>
      </c>
      <c r="J471" s="4" t="str">
        <f>PROPER(Sales_Data!J471)</f>
        <v>West</v>
      </c>
      <c r="K471" s="4" t="str">
        <f>PROPER(Sales_Data!K471)</f>
        <v>Electronics</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52">
        <v>45948</v>
      </c>
      <c r="E472" s="48" t="s">
        <v>1880</v>
      </c>
      <c r="F472" s="4" t="str">
        <f>TRIM(PROPER(Sales_Data!F472))</f>
        <v>Kavya Nair</v>
      </c>
      <c r="G472" s="4" t="s">
        <v>28</v>
      </c>
      <c r="H472" s="4" t="s">
        <v>1990</v>
      </c>
      <c r="I472" s="4" t="s">
        <v>59</v>
      </c>
      <c r="J472" s="4" t="str">
        <f>PROPER(Sales_Data!J472)</f>
        <v>South</v>
      </c>
      <c r="K472" s="4" t="str">
        <f>PROPER(Sales_Data!K472)</f>
        <v>Electronics</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53">
        <v>45774</v>
      </c>
      <c r="E473" s="49" t="s">
        <v>199</v>
      </c>
      <c r="F473" s="4" t="str">
        <f>TRIM(PROPER(Sales_Data!F473))</f>
        <v>Pooja Shah</v>
      </c>
      <c r="G473" s="8" t="s">
        <v>28</v>
      </c>
      <c r="H473" s="8" t="s">
        <v>1993</v>
      </c>
      <c r="I473" s="8" t="s">
        <v>114</v>
      </c>
      <c r="J473" s="4" t="str">
        <f>PROPER(Sales_Data!J473)</f>
        <v>West</v>
      </c>
      <c r="K473" s="4" t="str">
        <f>PROPER(Sales_Data!K473)</f>
        <v>Electronics</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52">
        <v>45799</v>
      </c>
      <c r="E474" s="48" t="s">
        <v>678</v>
      </c>
      <c r="F474" s="4" t="str">
        <f>TRIM(PROPER(Sales_Data!F474))</f>
        <v>Sneha Joshi</v>
      </c>
      <c r="G474" s="4" t="s">
        <v>28</v>
      </c>
      <c r="H474" s="4" t="s">
        <v>1996</v>
      </c>
      <c r="I474" s="4" t="s">
        <v>44</v>
      </c>
      <c r="J474" s="4" t="str">
        <f>PROPER(Sales_Data!J474)</f>
        <v>North</v>
      </c>
      <c r="K474" s="4" t="str">
        <f>PROPER(Sales_Data!K474)</f>
        <v>Electronics</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53">
        <v>46050</v>
      </c>
      <c r="E475" s="49" t="s">
        <v>322</v>
      </c>
      <c r="F475" s="4" t="str">
        <f>TRIM(PROPER(Sales_Data!F475))</f>
        <v>Mohit Verma</v>
      </c>
      <c r="G475" s="8" t="s">
        <v>76</v>
      </c>
      <c r="H475" s="8" t="s">
        <v>1999</v>
      </c>
      <c r="I475" s="8" t="s">
        <v>44</v>
      </c>
      <c r="J475" s="4" t="str">
        <f>PROPER(Sales_Data!J475)</f>
        <v>North</v>
      </c>
      <c r="K475" s="4" t="str">
        <f>PROPER(Sales_Data!K475)</f>
        <v>Stationery</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52">
        <v>45692</v>
      </c>
      <c r="E476" s="48" t="s">
        <v>1373</v>
      </c>
      <c r="F476" s="4" t="str">
        <f>TRIM(PROPER(Sales_Data!F476))</f>
        <v>Amit Sharma</v>
      </c>
      <c r="G476" s="4" t="s">
        <v>76</v>
      </c>
      <c r="H476" s="4" t="s">
        <v>2002</v>
      </c>
      <c r="I476" s="4" t="s">
        <v>105</v>
      </c>
      <c r="J476" s="4" t="str">
        <f>PROPER(Sales_Data!J476)</f>
        <v>West</v>
      </c>
      <c r="K476" s="4" t="str">
        <f>PROPER(Sales_Data!K476)</f>
        <v>Electronics</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53">
        <v>45766</v>
      </c>
      <c r="E477" s="49" t="s">
        <v>1114</v>
      </c>
      <c r="F477" s="4" t="str">
        <f>TRIM(PROPER(Sales_Data!F477))</f>
        <v>Rohit Singh</v>
      </c>
      <c r="G477" s="8" t="s">
        <v>76</v>
      </c>
      <c r="H477" s="8" t="s">
        <v>2005</v>
      </c>
      <c r="I477" s="8" t="s">
        <v>294</v>
      </c>
      <c r="J477" s="4" t="str">
        <f>PROPER(Sales_Data!J477)</f>
        <v>East</v>
      </c>
      <c r="K477" s="4" t="str">
        <f>PROPER(Sales_Data!K477)</f>
        <v>Electronics</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52">
        <v>45678</v>
      </c>
      <c r="E478" s="48" t="s">
        <v>1705</v>
      </c>
      <c r="F478" s="4" t="str">
        <f>TRIM(PROPER(Sales_Data!F478))</f>
        <v>Pooja Shah</v>
      </c>
      <c r="G478" s="4" t="s">
        <v>28</v>
      </c>
      <c r="H478" s="4" t="s">
        <v>2008</v>
      </c>
      <c r="I478" s="4" t="s">
        <v>105</v>
      </c>
      <c r="J478" s="4" t="str">
        <f>PROPER(Sales_Data!J478)</f>
        <v>West</v>
      </c>
      <c r="K478" s="4" t="str">
        <f>PROPER(Sales_Data!K478)</f>
        <v>Stationery</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53">
        <v>45918</v>
      </c>
      <c r="E479" s="49" t="s">
        <v>73</v>
      </c>
      <c r="F479" s="4" t="str">
        <f>TRIM(PROPER(Sales_Data!F479))</f>
        <v>Kavya Nair</v>
      </c>
      <c r="G479" s="8" t="s">
        <v>28</v>
      </c>
      <c r="H479" s="8" t="s">
        <v>2011</v>
      </c>
      <c r="I479" s="8" t="s">
        <v>59</v>
      </c>
      <c r="J479" s="4" t="str">
        <f>PROPER(Sales_Data!J479)</f>
        <v>South</v>
      </c>
      <c r="K479" s="4" t="str">
        <f>PROPER(Sales_Data!K479)</f>
        <v>Electronics</v>
      </c>
      <c r="L479" s="8" t="s">
        <v>78</v>
      </c>
      <c r="M479" s="8">
        <v>5</v>
      </c>
      <c r="N479" s="8">
        <v>1200</v>
      </c>
      <c r="O479" s="8">
        <v>10</v>
      </c>
      <c r="P479" s="8">
        <v>5400</v>
      </c>
      <c r="Q479" s="8">
        <v>1</v>
      </c>
      <c r="R479" s="8" t="s">
        <v>34</v>
      </c>
      <c r="S479" s="8" t="s">
        <v>2140</v>
      </c>
      <c r="T479" s="10" t="s">
        <v>2012</v>
      </c>
      <c r="U479" s="9" t="s">
        <v>2013</v>
      </c>
      <c r="V479" s="8" t="s">
        <v>38</v>
      </c>
    </row>
    <row r="480" spans="1:22" x14ac:dyDescent="0.3">
      <c r="A480" s="3" t="s">
        <v>2014</v>
      </c>
      <c r="B480" s="4" t="s">
        <v>168</v>
      </c>
      <c r="C480" s="4" t="s">
        <v>259</v>
      </c>
      <c r="D480" s="52">
        <v>45949</v>
      </c>
      <c r="E480" s="48" t="s">
        <v>702</v>
      </c>
      <c r="F480" s="4" t="str">
        <f>TRIM(PROPER(Sales_Data!F480))</f>
        <v>Anita Gupta</v>
      </c>
      <c r="G480" s="4" t="s">
        <v>28</v>
      </c>
      <c r="H480" s="4" t="s">
        <v>2016</v>
      </c>
      <c r="I480" s="4" t="s">
        <v>294</v>
      </c>
      <c r="J480" s="4" t="str">
        <f>PROPER(Sales_Data!J480)</f>
        <v>East</v>
      </c>
      <c r="K480" s="4" t="str">
        <f>PROPER(Sales_Data!K480)</f>
        <v>Stationery</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53">
        <v>46034</v>
      </c>
      <c r="E481" s="49" t="s">
        <v>587</v>
      </c>
      <c r="F481" s="4" t="str">
        <f>TRIM(PROPER(Sales_Data!F481))</f>
        <v>Rohit Singh</v>
      </c>
      <c r="G481" s="8" t="s">
        <v>76</v>
      </c>
      <c r="H481" s="8" t="s">
        <v>2019</v>
      </c>
      <c r="I481" s="8" t="s">
        <v>138</v>
      </c>
      <c r="J481" s="4" t="str">
        <f>PROPER(Sales_Data!J481)</f>
        <v>West</v>
      </c>
      <c r="K481" s="4" t="str">
        <f>PROPER(Sales_Data!K481)</f>
        <v>Electronics</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52">
        <v>45683</v>
      </c>
      <c r="E482" s="48" t="s">
        <v>1863</v>
      </c>
      <c r="F482" s="4" t="str">
        <f>TRIM(PROPER(Sales_Data!F482))</f>
        <v>Kavya Nair</v>
      </c>
      <c r="G482" s="4" t="s">
        <v>28</v>
      </c>
      <c r="H482" s="4" t="s">
        <v>2023</v>
      </c>
      <c r="I482" s="4" t="s">
        <v>59</v>
      </c>
      <c r="J482" s="4" t="str">
        <f>PROPER(Sales_Data!J482)</f>
        <v>South</v>
      </c>
      <c r="K482" s="4" t="str">
        <f>PROPER(Sales_Data!K482)</f>
        <v>Electronics</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53">
        <v>46119</v>
      </c>
      <c r="E483" s="49" t="s">
        <v>161</v>
      </c>
      <c r="F483" s="4" t="str">
        <f>TRIM(PROPER(Sales_Data!F483))</f>
        <v>Rohit Singh</v>
      </c>
      <c r="G483" s="8" t="s">
        <v>76</v>
      </c>
      <c r="H483" s="8" t="s">
        <v>2026</v>
      </c>
      <c r="I483" s="8" t="s">
        <v>294</v>
      </c>
      <c r="J483" s="4" t="str">
        <f>PROPER(Sales_Data!J483)</f>
        <v>East</v>
      </c>
      <c r="K483" s="4" t="str">
        <f>PROPER(Sales_Data!K483)</f>
        <v>Home Appliances</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52">
        <v>45834</v>
      </c>
      <c r="E484" s="48" t="s">
        <v>881</v>
      </c>
      <c r="F484" s="4" t="str">
        <f>TRIM(PROPER(Sales_Data!F484))</f>
        <v>Mohit Verma</v>
      </c>
      <c r="G484" s="4" t="s">
        <v>76</v>
      </c>
      <c r="H484" s="4" t="s">
        <v>2030</v>
      </c>
      <c r="I484" s="4" t="s">
        <v>294</v>
      </c>
      <c r="J484" s="4" t="str">
        <f>PROPER(Sales_Data!J484)</f>
        <v>East</v>
      </c>
      <c r="K484" s="4" t="str">
        <f>PROPER(Sales_Data!K484)</f>
        <v>Electronics</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53">
        <v>45846</v>
      </c>
      <c r="E485" s="49" t="s">
        <v>1572</v>
      </c>
      <c r="F485" s="4" t="str">
        <f>TRIM(PROPER(Sales_Data!F485))</f>
        <v>Kavya Nair</v>
      </c>
      <c r="G485" s="8" t="s">
        <v>28</v>
      </c>
      <c r="H485" s="8" t="s">
        <v>2033</v>
      </c>
      <c r="I485" s="8" t="s">
        <v>30</v>
      </c>
      <c r="J485" s="4" t="str">
        <f>PROPER(Sales_Data!J485)</f>
        <v>South</v>
      </c>
      <c r="K485" s="4" t="str">
        <f>PROPER(Sales_Data!K485)</f>
        <v>Electronics</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52">
        <v>46092</v>
      </c>
      <c r="E486" s="48" t="s">
        <v>65</v>
      </c>
      <c r="F486" s="4" t="str">
        <f>TRIM(PROPER(Sales_Data!F486))</f>
        <v>Amit Sharma</v>
      </c>
      <c r="G486" s="4" t="s">
        <v>76</v>
      </c>
      <c r="H486" s="4" t="s">
        <v>2037</v>
      </c>
      <c r="I486" s="4" t="s">
        <v>138</v>
      </c>
      <c r="J486" s="4" t="str">
        <f>PROPER(Sales_Data!J486)</f>
        <v>West</v>
      </c>
      <c r="K486" s="4" t="str">
        <f>PROPER(Sales_Data!K486)</f>
        <v>Electronics</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53">
        <v>46104</v>
      </c>
      <c r="E487" s="49" t="s">
        <v>1932</v>
      </c>
      <c r="F487" s="4" t="str">
        <f>TRIM(PROPER(Sales_Data!F487))</f>
        <v>Priya Patel</v>
      </c>
      <c r="G487" s="8" t="s">
        <v>28</v>
      </c>
      <c r="H487" s="8" t="s">
        <v>1082</v>
      </c>
      <c r="I487" s="8" t="s">
        <v>212</v>
      </c>
      <c r="J487" s="4" t="str">
        <f>PROPER(Sales_Data!J487)</f>
        <v>North</v>
      </c>
      <c r="K487" s="4" t="str">
        <f>PROPER(Sales_Data!K487)</f>
        <v>Electronics</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52">
        <v>45961</v>
      </c>
      <c r="E488" s="48" t="s">
        <v>291</v>
      </c>
      <c r="F488" s="4" t="str">
        <f>TRIM(PROPER(Sales_Data!F488))</f>
        <v>Sneha Joshi</v>
      </c>
      <c r="G488" s="4" t="s">
        <v>28</v>
      </c>
      <c r="H488" s="4" t="s">
        <v>2043</v>
      </c>
      <c r="I488" s="4" t="s">
        <v>294</v>
      </c>
      <c r="J488" s="4" t="str">
        <f>PROPER(Sales_Data!J488)</f>
        <v>East</v>
      </c>
      <c r="K488" s="4" t="str">
        <f>PROPER(Sales_Data!K488)</f>
        <v>Electronics</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53">
        <v>46147</v>
      </c>
      <c r="E489" s="49" t="s">
        <v>1238</v>
      </c>
      <c r="F489" s="4" t="str">
        <f>TRIM(PROPER(Sales_Data!F489))</f>
        <v>Pooja Shah</v>
      </c>
      <c r="G489" s="8" t="s">
        <v>28</v>
      </c>
      <c r="H489" s="8" t="s">
        <v>2047</v>
      </c>
      <c r="I489" s="8" t="s">
        <v>294</v>
      </c>
      <c r="J489" s="4" t="str">
        <f>PROPER(Sales_Data!J489)</f>
        <v>East</v>
      </c>
      <c r="K489" s="4" t="str">
        <f>PROPER(Sales_Data!K489)</f>
        <v>Stationery</v>
      </c>
      <c r="L489" s="8" t="s">
        <v>227</v>
      </c>
      <c r="M489" s="8">
        <v>18</v>
      </c>
      <c r="N489" s="8">
        <v>20</v>
      </c>
      <c r="O489" s="8">
        <v>10</v>
      </c>
      <c r="P489" s="8">
        <v>324</v>
      </c>
      <c r="Q489" s="8">
        <v>5</v>
      </c>
      <c r="R489" s="8" t="s">
        <v>79</v>
      </c>
      <c r="S489" s="8" t="s">
        <v>2140</v>
      </c>
      <c r="T489" s="10" t="s">
        <v>2048</v>
      </c>
      <c r="U489" s="9" t="s">
        <v>2049</v>
      </c>
      <c r="V489" s="8" t="s">
        <v>64</v>
      </c>
    </row>
    <row r="490" spans="1:22" x14ac:dyDescent="0.3">
      <c r="A490" s="3" t="s">
        <v>2050</v>
      </c>
      <c r="B490" s="4" t="s">
        <v>168</v>
      </c>
      <c r="C490" s="4" t="s">
        <v>40</v>
      </c>
      <c r="D490" s="52">
        <v>45711</v>
      </c>
      <c r="E490" s="48" t="s">
        <v>272</v>
      </c>
      <c r="F490" s="4" t="str">
        <f>TRIM(PROPER(Sales_Data!F490))</f>
        <v>Anita Gupta</v>
      </c>
      <c r="G490" s="4" t="s">
        <v>28</v>
      </c>
      <c r="H490" s="4" t="s">
        <v>2052</v>
      </c>
      <c r="I490" s="4" t="s">
        <v>114</v>
      </c>
      <c r="J490" s="4" t="str">
        <f>PROPER(Sales_Data!J490)</f>
        <v>West</v>
      </c>
      <c r="K490" s="4" t="str">
        <f>PROPER(Sales_Data!K490)</f>
        <v>Electronics</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53">
        <v>45672</v>
      </c>
      <c r="E491" s="49" t="s">
        <v>1378</v>
      </c>
      <c r="F491" s="4" t="str">
        <f>TRIM(PROPER(Sales_Data!F491))</f>
        <v>Amit Sharma</v>
      </c>
      <c r="G491" s="8" t="s">
        <v>76</v>
      </c>
      <c r="H491" s="8" t="s">
        <v>2055</v>
      </c>
      <c r="I491" s="8" t="s">
        <v>30</v>
      </c>
      <c r="J491" s="4" t="str">
        <f>PROPER(Sales_Data!J491)</f>
        <v>South</v>
      </c>
      <c r="K491" s="4" t="str">
        <f>PROPER(Sales_Data!K491)</f>
        <v>Home Appliances</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52">
        <v>45746</v>
      </c>
      <c r="E492" s="48" t="s">
        <v>1507</v>
      </c>
      <c r="F492" s="4" t="str">
        <f>TRIM(PROPER(Sales_Data!F492))</f>
        <v>Priya Patel</v>
      </c>
      <c r="G492" s="4" t="s">
        <v>28</v>
      </c>
      <c r="H492" s="4" t="s">
        <v>2059</v>
      </c>
      <c r="I492" s="4" t="s">
        <v>114</v>
      </c>
      <c r="J492" s="4" t="str">
        <f>PROPER(Sales_Data!J492)</f>
        <v>West</v>
      </c>
      <c r="K492" s="4" t="str">
        <f>PROPER(Sales_Data!K492)</f>
        <v>Home Appliances</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53">
        <v>46136</v>
      </c>
      <c r="E493" s="49" t="s">
        <v>1098</v>
      </c>
      <c r="F493" s="4" t="str">
        <f>TRIM(PROPER(Sales_Data!F493))</f>
        <v>Arjun Rao</v>
      </c>
      <c r="G493" s="8" t="s">
        <v>76</v>
      </c>
      <c r="H493" s="8" t="s">
        <v>2062</v>
      </c>
      <c r="I493" s="8" t="s">
        <v>44</v>
      </c>
      <c r="J493" s="4" t="str">
        <f>PROPER(Sales_Data!J493)</f>
        <v>North</v>
      </c>
      <c r="K493" s="4" t="str">
        <f>PROPER(Sales_Data!K493)</f>
        <v>Home Appliances</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52">
        <v>45858</v>
      </c>
      <c r="E494" s="48" t="s">
        <v>839</v>
      </c>
      <c r="F494" s="4" t="str">
        <f>TRIM(PROPER(Sales_Data!F494))</f>
        <v>Rohit Singh</v>
      </c>
      <c r="G494" s="4" t="s">
        <v>76</v>
      </c>
      <c r="H494" s="4" t="s">
        <v>2066</v>
      </c>
      <c r="I494" s="4" t="s">
        <v>30</v>
      </c>
      <c r="J494" s="4" t="str">
        <f>PROPER(Sales_Data!J494)</f>
        <v>South</v>
      </c>
      <c r="K494" s="4" t="str">
        <f>PROPER(Sales_Data!K494)</f>
        <v>Electronics</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53">
        <v>45867</v>
      </c>
      <c r="E495" s="49" t="s">
        <v>756</v>
      </c>
      <c r="F495" s="4" t="str">
        <f>TRIM(PROPER(Sales_Data!F495))</f>
        <v>Arjun Rao</v>
      </c>
      <c r="G495" s="8" t="s">
        <v>76</v>
      </c>
      <c r="H495" s="8" t="s">
        <v>2069</v>
      </c>
      <c r="I495" s="8" t="s">
        <v>138</v>
      </c>
      <c r="J495" s="4" t="str">
        <f>PROPER(Sales_Data!J495)</f>
        <v>West</v>
      </c>
      <c r="K495" s="4" t="str">
        <f>PROPER(Sales_Data!K495)</f>
        <v>Electronics</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52">
        <v>45951</v>
      </c>
      <c r="E496" s="48" t="s">
        <v>1650</v>
      </c>
      <c r="F496" s="4" t="str">
        <f>TRIM(PROPER(Sales_Data!F496))</f>
        <v>Mohit Verma</v>
      </c>
      <c r="G496" s="4" t="s">
        <v>76</v>
      </c>
      <c r="H496" s="4" t="s">
        <v>2072</v>
      </c>
      <c r="I496" s="4" t="s">
        <v>114</v>
      </c>
      <c r="J496" s="4" t="str">
        <f>PROPER(Sales_Data!J496)</f>
        <v>West</v>
      </c>
      <c r="K496" s="4" t="str">
        <f>PROPER(Sales_Data!K496)</f>
        <v>Electronics</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53">
        <v>46098</v>
      </c>
      <c r="E497" s="49" t="s">
        <v>1932</v>
      </c>
      <c r="F497" s="4" t="str">
        <f>TRIM(PROPER(Sales_Data!F497))</f>
        <v>Anita Gupta</v>
      </c>
      <c r="G497" s="8" t="s">
        <v>28</v>
      </c>
      <c r="H497" s="8" t="s">
        <v>2076</v>
      </c>
      <c r="I497" s="8" t="s">
        <v>212</v>
      </c>
      <c r="J497" s="4" t="str">
        <f>PROPER(Sales_Data!J497)</f>
        <v>North</v>
      </c>
      <c r="K497" s="4" t="str">
        <f>PROPER(Sales_Data!K497)</f>
        <v>Home Appliances</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52">
        <v>45711</v>
      </c>
      <c r="E498" s="48" t="s">
        <v>272</v>
      </c>
      <c r="F498" s="4" t="str">
        <f>TRIM(PROPER(Sales_Data!F498))</f>
        <v>Arjun Rao</v>
      </c>
      <c r="G498" s="4" t="s">
        <v>76</v>
      </c>
      <c r="H498" s="4" t="s">
        <v>2079</v>
      </c>
      <c r="I498" s="4" t="s">
        <v>212</v>
      </c>
      <c r="J498" s="4" t="str">
        <f>PROPER(Sales_Data!J498)</f>
        <v>North</v>
      </c>
      <c r="K498" s="4" t="str">
        <f>PROPER(Sales_Data!K498)</f>
        <v>Electronics</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53">
        <v>46002</v>
      </c>
      <c r="E499" s="49" t="s">
        <v>611</v>
      </c>
      <c r="F499" s="4" t="str">
        <f>TRIM(PROPER(Sales_Data!F499))</f>
        <v>Vikas Mehta</v>
      </c>
      <c r="G499" s="8" t="s">
        <v>76</v>
      </c>
      <c r="H499" s="8" t="s">
        <v>2082</v>
      </c>
      <c r="I499" s="8" t="s">
        <v>44</v>
      </c>
      <c r="J499" s="4" t="str">
        <f>PROPER(Sales_Data!J499)</f>
        <v>North</v>
      </c>
      <c r="K499" s="4" t="str">
        <f>PROPER(Sales_Data!K499)</f>
        <v>Electronics</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52">
        <v>45842</v>
      </c>
      <c r="E500" s="48" t="s">
        <v>2085</v>
      </c>
      <c r="F500" s="4" t="str">
        <f>TRIM(PROPER(Sales_Data!F500))</f>
        <v>Priya Patel</v>
      </c>
      <c r="G500" s="4" t="s">
        <v>28</v>
      </c>
      <c r="H500" s="4" t="s">
        <v>2086</v>
      </c>
      <c r="I500" s="4" t="s">
        <v>105</v>
      </c>
      <c r="J500" s="4" t="str">
        <f>PROPER(Sales_Data!J500)</f>
        <v>West</v>
      </c>
      <c r="K500" s="4" t="str">
        <f>PROPER(Sales_Data!K500)</f>
        <v>Electronics</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54">
        <v>45916</v>
      </c>
      <c r="E501" s="50" t="s">
        <v>129</v>
      </c>
      <c r="F501" s="4" t="str">
        <f>TRIM(PROPER(Sales_Data!F501))</f>
        <v>Priya Patel</v>
      </c>
      <c r="G501" s="12" t="s">
        <v>28</v>
      </c>
      <c r="H501" s="12" t="s">
        <v>2091</v>
      </c>
      <c r="I501" s="12" t="s">
        <v>59</v>
      </c>
      <c r="J501" s="4" t="str">
        <f>PROPER(Sales_Data!J501)</f>
        <v>South</v>
      </c>
      <c r="K501" s="4" t="str">
        <f>PROPER(Sales_Data!K501)</f>
        <v>Home Appliances</v>
      </c>
      <c r="L501" s="12" t="s">
        <v>97</v>
      </c>
      <c r="M501" s="12">
        <v>20</v>
      </c>
      <c r="N501" s="12">
        <v>3500</v>
      </c>
      <c r="O501" s="12">
        <v>0</v>
      </c>
      <c r="P501" s="12">
        <v>70000</v>
      </c>
      <c r="Q501" s="12">
        <v>1</v>
      </c>
      <c r="R501" s="12" t="s">
        <v>48</v>
      </c>
      <c r="S501" s="12" t="s">
        <v>151</v>
      </c>
      <c r="T501" s="12" t="s">
        <v>144</v>
      </c>
      <c r="U501" s="13" t="s">
        <v>2092</v>
      </c>
      <c r="V501" s="12" t="s">
        <v>64</v>
      </c>
    </row>
  </sheetData>
  <conditionalFormatting sqref="O2:O501">
    <cfRule type="cellIs" dxfId="0" priority="1" operator="greaterThan">
      <formula>20</formula>
    </cfRule>
  </conditionalFormatting>
  <dataValidations count="2">
    <dataValidation type="list" allowBlank="1" showInputMessage="1" showErrorMessage="1" sqref="R2:R501" xr:uid="{08C4796D-F9E5-4AD1-9B2E-4046F10F995E}">
      <formula1>"UPI, Cash, Card, NetBanking"</formula1>
    </dataValidation>
    <dataValidation type="whole" showInputMessage="1" showErrorMessage="1" sqref="M2:M501" xr:uid="{A04DC638-FB48-417D-92A8-EC3147C8BD8D}">
      <formula1>1</formula1>
      <formula2>20</formula2>
    </dataValidation>
  </dataValidations>
  <hyperlinks>
    <hyperlink ref="T2" r:id="rId4" xr:uid="{6644D487-30FD-4DB1-9B4E-77EB1780FA4B}"/>
    <hyperlink ref="T5" r:id="rId5" xr:uid="{4C924FB7-EFFA-4D0F-A1B2-7F1CF83529EE}"/>
    <hyperlink ref="T9" r:id="rId6" xr:uid="{3FC137C3-8855-4493-BB9E-2EB76909D948}"/>
    <hyperlink ref="T11" r:id="rId7" xr:uid="{52F52E53-15BD-4272-8A46-BC1777E1F773}"/>
    <hyperlink ref="T16" r:id="rId8" xr:uid="{2C1A6C84-2E3D-4335-973D-705811C5CBCA}"/>
    <hyperlink ref="T15" r:id="rId9" xr:uid="{86648E50-E219-4AFF-893A-08C8D78DB317}"/>
    <hyperlink ref="T20" r:id="rId10" xr:uid="{8D837069-CB5E-4FD2-8692-D770BB04D0DC}"/>
    <hyperlink ref="T61" r:id="rId11" xr:uid="{9E9FB9E0-8D41-49EE-9C0D-16363DB056C9}"/>
    <hyperlink ref="T72" r:id="rId12" xr:uid="{4C483889-05D9-4C9F-BF89-0848DE23C13D}"/>
    <hyperlink ref="T294" r:id="rId13" xr:uid="{A772950E-CF13-4073-87C0-ABD08B10E146}"/>
    <hyperlink ref="T489" r:id="rId14" xr:uid="{58FD6DFF-25F7-4217-A357-018E0DFFA098}"/>
    <hyperlink ref="T479" r:id="rId15" xr:uid="{65AE5ACC-59FE-426D-A619-523384B520C2}"/>
    <hyperlink ref="T463" r:id="rId16" xr:uid="{0C162548-BB5F-4E86-A97C-DE4DDD4519F2}"/>
    <hyperlink ref="T450" r:id="rId17" xr:uid="{31AF8A12-455E-4A3C-82BB-1FF068AF8FB0}"/>
  </hyperlinks>
  <pageMargins left="0.7" right="0.7" top="0.75" bottom="0.75" header="0.3" footer="0.3"/>
  <drawing r:id="rId18"/>
  <extLst>
    <ext xmlns:x15="http://schemas.microsoft.com/office/spreadsheetml/2010/11/main" uri="{7E03D99C-DC04-49d9-9315-930204A7B6E9}">
      <x15:timelineRefs>
        <x15:timelineRef r:id="rId19"/>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Sales_Data</vt:lpstr>
      <vt:lpstr>Product_master</vt:lpstr>
      <vt:lpstr>Customer_master</vt:lpstr>
      <vt:lpstr>Q1</vt:lpstr>
      <vt:lpstr>Q2</vt:lpstr>
      <vt:lpstr>Q3</vt:lpstr>
      <vt:lpstr>Product Lookup Report (Q4)</vt:lpstr>
      <vt:lpstr>Sales Summary Report (Q5)</vt:lpstr>
      <vt:lpstr>Sales Statistics Report(Q6)</vt:lpstr>
      <vt:lpstr>Product Performance (Q7)</vt:lpstr>
      <vt:lpstr>Financial Analysis Report (Q8)</vt:lpstr>
      <vt:lpstr>Cleaned_Data (Q9)</vt:lpstr>
      <vt:lpstr>Sales Dashboard (Q10)</vt:lpstr>
      <vt:lpstr>Priliminary analysis (rough)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Rawat</dc:creator>
  <cp:lastModifiedBy>Manish Rawat</cp:lastModifiedBy>
  <dcterms:created xsi:type="dcterms:W3CDTF">2015-06-05T18:17:20Z</dcterms:created>
  <dcterms:modified xsi:type="dcterms:W3CDTF">2026-09-06T08:13:19Z</dcterms:modified>
</cp:coreProperties>
</file>